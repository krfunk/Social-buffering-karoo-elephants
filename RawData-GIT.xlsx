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ylafunk/Documents/PhD/StressData/StressData/"/>
    </mc:Choice>
  </mc:AlternateContent>
  <xr:revisionPtr revIDLastSave="0" documentId="13_ncr:1_{132BA6E7-44D4-5747-8FE6-554B542A1F41}" xr6:coauthVersionLast="47" xr6:coauthVersionMax="47" xr10:uidLastSave="{00000000-0000-0000-0000-000000000000}"/>
  <bookViews>
    <workbookView xWindow="3960" yWindow="760" windowWidth="26280" windowHeight="17400" xr2:uid="{00000000-000D-0000-FFFF-FFFF00000000}"/>
  </bookViews>
  <sheets>
    <sheet name="fGCM conc. in AE" sheetId="20" r:id="rId1"/>
    <sheet name="PostDarting" sheetId="27" r:id="rId2"/>
    <sheet name="AllEXCEPTDarting" sheetId="28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41" i="20" l="1"/>
  <c r="AM241" i="20"/>
  <c r="AL241" i="20"/>
  <c r="AG241" i="20"/>
  <c r="AF241" i="20"/>
  <c r="AE241" i="20"/>
  <c r="S241" i="20"/>
  <c r="L241" i="20"/>
  <c r="K241" i="20"/>
  <c r="J241" i="20"/>
  <c r="I241" i="20"/>
  <c r="AN357" i="20"/>
  <c r="AM357" i="20"/>
  <c r="AL357" i="20"/>
  <c r="AG357" i="20"/>
  <c r="AF357" i="20"/>
  <c r="AE357" i="20"/>
  <c r="S357" i="20"/>
  <c r="L357" i="20"/>
  <c r="K357" i="20"/>
  <c r="J357" i="20"/>
  <c r="I357" i="20"/>
  <c r="AL250" i="28"/>
  <c r="AL284" i="28"/>
  <c r="AL275" i="28"/>
  <c r="AL6" i="28"/>
  <c r="AL252" i="28"/>
  <c r="AL265" i="28"/>
  <c r="AL262" i="28"/>
  <c r="AL306" i="28"/>
  <c r="AL257" i="28"/>
  <c r="AL169" i="28"/>
  <c r="AL283" i="28"/>
  <c r="AL323" i="28"/>
  <c r="AK323" i="28"/>
  <c r="AJ323" i="28"/>
  <c r="AE323" i="28"/>
  <c r="AD323" i="28"/>
  <c r="AC323" i="28"/>
  <c r="Q323" i="28"/>
  <c r="K323" i="28"/>
  <c r="J323" i="28"/>
  <c r="I323" i="28"/>
  <c r="AL322" i="28"/>
  <c r="AK322" i="28"/>
  <c r="AJ322" i="28"/>
  <c r="AE322" i="28"/>
  <c r="AD322" i="28"/>
  <c r="AC322" i="28"/>
  <c r="Q322" i="28"/>
  <c r="K322" i="28"/>
  <c r="J322" i="28"/>
  <c r="I322" i="28"/>
  <c r="AL321" i="28"/>
  <c r="AK321" i="28"/>
  <c r="AJ321" i="28"/>
  <c r="AE321" i="28"/>
  <c r="AD321" i="28"/>
  <c r="AC321" i="28"/>
  <c r="Q321" i="28"/>
  <c r="K321" i="28"/>
  <c r="J321" i="28"/>
  <c r="I321" i="28"/>
  <c r="AL320" i="28"/>
  <c r="AK320" i="28"/>
  <c r="AJ320" i="28"/>
  <c r="AE320" i="28"/>
  <c r="AD320" i="28"/>
  <c r="AC320" i="28"/>
  <c r="Q320" i="28"/>
  <c r="K320" i="28"/>
  <c r="J320" i="28"/>
  <c r="I320" i="28"/>
  <c r="AL319" i="28"/>
  <c r="AK319" i="28"/>
  <c r="AJ319" i="28"/>
  <c r="AE319" i="28"/>
  <c r="AD319" i="28"/>
  <c r="AC319" i="28"/>
  <c r="Q319" i="28"/>
  <c r="K319" i="28"/>
  <c r="J319" i="28"/>
  <c r="I319" i="28"/>
  <c r="AL318" i="28"/>
  <c r="AK318" i="28"/>
  <c r="AJ318" i="28"/>
  <c r="AE318" i="28"/>
  <c r="AD318" i="28"/>
  <c r="AC318" i="28"/>
  <c r="Q318" i="28"/>
  <c r="K318" i="28"/>
  <c r="J318" i="28"/>
  <c r="I318" i="28"/>
  <c r="AK317" i="28"/>
  <c r="AJ317" i="28"/>
  <c r="AE317" i="28"/>
  <c r="AD317" i="28"/>
  <c r="AC317" i="28"/>
  <c r="Q317" i="28"/>
  <c r="K317" i="28"/>
  <c r="J317" i="28"/>
  <c r="I317" i="28"/>
  <c r="AK316" i="28"/>
  <c r="AJ316" i="28"/>
  <c r="AE316" i="28"/>
  <c r="AD316" i="28"/>
  <c r="AC316" i="28"/>
  <c r="Q316" i="28"/>
  <c r="K316" i="28"/>
  <c r="J316" i="28"/>
  <c r="I316" i="28"/>
  <c r="AL315" i="28"/>
  <c r="AK315" i="28"/>
  <c r="AJ315" i="28"/>
  <c r="AE315" i="28"/>
  <c r="AD315" i="28"/>
  <c r="AC315" i="28"/>
  <c r="Q315" i="28"/>
  <c r="K315" i="28"/>
  <c r="J315" i="28"/>
  <c r="I315" i="28"/>
  <c r="AK314" i="28"/>
  <c r="AJ314" i="28"/>
  <c r="AE314" i="28"/>
  <c r="AD314" i="28"/>
  <c r="AC314" i="28"/>
  <c r="Q314" i="28"/>
  <c r="K314" i="28"/>
  <c r="J314" i="28"/>
  <c r="I314" i="28"/>
  <c r="AK313" i="28"/>
  <c r="AJ313" i="28"/>
  <c r="AE313" i="28"/>
  <c r="AD313" i="28"/>
  <c r="AC313" i="28"/>
  <c r="Q313" i="28"/>
  <c r="K313" i="28"/>
  <c r="J313" i="28"/>
  <c r="I313" i="28"/>
  <c r="AL312" i="28"/>
  <c r="AK312" i="28"/>
  <c r="AJ312" i="28"/>
  <c r="AE312" i="28"/>
  <c r="AD312" i="28"/>
  <c r="AC312" i="28"/>
  <c r="Q312" i="28"/>
  <c r="K312" i="28"/>
  <c r="J312" i="28"/>
  <c r="I312" i="28"/>
  <c r="AL311" i="28"/>
  <c r="AK311" i="28"/>
  <c r="AJ311" i="28"/>
  <c r="AE311" i="28"/>
  <c r="AD311" i="28"/>
  <c r="AC311" i="28"/>
  <c r="Q311" i="28"/>
  <c r="K311" i="28"/>
  <c r="J311" i="28"/>
  <c r="I311" i="28"/>
  <c r="AL310" i="28"/>
  <c r="AK310" i="28"/>
  <c r="AJ310" i="28"/>
  <c r="AE310" i="28"/>
  <c r="AD310" i="28"/>
  <c r="AC310" i="28"/>
  <c r="Q310" i="28"/>
  <c r="K310" i="28"/>
  <c r="J310" i="28"/>
  <c r="I310" i="28"/>
  <c r="AK309" i="28"/>
  <c r="AJ309" i="28"/>
  <c r="AE309" i="28"/>
  <c r="AD309" i="28"/>
  <c r="AC309" i="28"/>
  <c r="Q309" i="28"/>
  <c r="K309" i="28"/>
  <c r="J309" i="28"/>
  <c r="I309" i="28"/>
  <c r="AL308" i="28"/>
  <c r="AK308" i="28"/>
  <c r="AJ308" i="28"/>
  <c r="AE308" i="28"/>
  <c r="AD308" i="28"/>
  <c r="AC308" i="28"/>
  <c r="Q308" i="28"/>
  <c r="K308" i="28"/>
  <c r="J308" i="28"/>
  <c r="I308" i="28"/>
  <c r="AK307" i="28"/>
  <c r="AJ307" i="28"/>
  <c r="AE307" i="28"/>
  <c r="AD307" i="28"/>
  <c r="AC307" i="28"/>
  <c r="Q307" i="28"/>
  <c r="K307" i="28"/>
  <c r="J307" i="28"/>
  <c r="I307" i="28"/>
  <c r="AK306" i="28"/>
  <c r="AJ306" i="28"/>
  <c r="AE306" i="28"/>
  <c r="AD306" i="28"/>
  <c r="AC306" i="28"/>
  <c r="Q306" i="28"/>
  <c r="K306" i="28"/>
  <c r="J306" i="28"/>
  <c r="I306" i="28"/>
  <c r="AL305" i="28"/>
  <c r="AK305" i="28"/>
  <c r="AJ305" i="28"/>
  <c r="AE305" i="28"/>
  <c r="AD305" i="28"/>
  <c r="AC305" i="28"/>
  <c r="Q305" i="28"/>
  <c r="K305" i="28"/>
  <c r="J305" i="28"/>
  <c r="I305" i="28"/>
  <c r="AL304" i="28"/>
  <c r="AK304" i="28"/>
  <c r="AJ304" i="28"/>
  <c r="AE304" i="28"/>
  <c r="AD304" i="28"/>
  <c r="AC304" i="28"/>
  <c r="Q304" i="28"/>
  <c r="K304" i="28"/>
  <c r="J304" i="28"/>
  <c r="I304" i="28"/>
  <c r="AL303" i="28"/>
  <c r="AK303" i="28"/>
  <c r="AJ303" i="28"/>
  <c r="AE303" i="28"/>
  <c r="AD303" i="28"/>
  <c r="AC303" i="28"/>
  <c r="Q303" i="28"/>
  <c r="K303" i="28"/>
  <c r="J303" i="28"/>
  <c r="I303" i="28"/>
  <c r="AK302" i="28"/>
  <c r="AJ302" i="28"/>
  <c r="AE302" i="28"/>
  <c r="AD302" i="28"/>
  <c r="AC302" i="28"/>
  <c r="Q302" i="28"/>
  <c r="K302" i="28"/>
  <c r="J302" i="28"/>
  <c r="I302" i="28"/>
  <c r="AL301" i="28"/>
  <c r="AK301" i="28"/>
  <c r="AJ301" i="28"/>
  <c r="AE301" i="28"/>
  <c r="AD301" i="28"/>
  <c r="AC301" i="28"/>
  <c r="Q301" i="28"/>
  <c r="K301" i="28"/>
  <c r="J301" i="28"/>
  <c r="I301" i="28"/>
  <c r="AK300" i="28"/>
  <c r="AJ300" i="28"/>
  <c r="AE300" i="28"/>
  <c r="AD300" i="28"/>
  <c r="AC300" i="28"/>
  <c r="Q300" i="28"/>
  <c r="K300" i="28"/>
  <c r="J300" i="28"/>
  <c r="I300" i="28"/>
  <c r="AL299" i="28"/>
  <c r="AK299" i="28"/>
  <c r="AJ299" i="28"/>
  <c r="AE299" i="28"/>
  <c r="AD299" i="28"/>
  <c r="AC299" i="28"/>
  <c r="Q299" i="28"/>
  <c r="K299" i="28"/>
  <c r="J299" i="28"/>
  <c r="I299" i="28"/>
  <c r="AL298" i="28"/>
  <c r="AK298" i="28"/>
  <c r="AJ298" i="28"/>
  <c r="AE298" i="28"/>
  <c r="AD298" i="28"/>
  <c r="AC298" i="28"/>
  <c r="Q298" i="28"/>
  <c r="K298" i="28"/>
  <c r="J298" i="28"/>
  <c r="I298" i="28"/>
  <c r="AK297" i="28"/>
  <c r="AJ297" i="28"/>
  <c r="AE297" i="28"/>
  <c r="AD297" i="28"/>
  <c r="AC297" i="28"/>
  <c r="Q297" i="28"/>
  <c r="K297" i="28"/>
  <c r="J297" i="28"/>
  <c r="I297" i="28"/>
  <c r="AK296" i="28"/>
  <c r="AJ296" i="28"/>
  <c r="AE296" i="28"/>
  <c r="AD296" i="28"/>
  <c r="AC296" i="28"/>
  <c r="Q296" i="28"/>
  <c r="K296" i="28"/>
  <c r="J296" i="28"/>
  <c r="I296" i="28"/>
  <c r="AK295" i="28"/>
  <c r="AJ295" i="28"/>
  <c r="AE295" i="28"/>
  <c r="AD295" i="28"/>
  <c r="AC295" i="28"/>
  <c r="Q295" i="28"/>
  <c r="K295" i="28"/>
  <c r="J295" i="28"/>
  <c r="I295" i="28"/>
  <c r="AL294" i="28"/>
  <c r="AK294" i="28"/>
  <c r="AJ294" i="28"/>
  <c r="AE294" i="28"/>
  <c r="AD294" i="28"/>
  <c r="AC294" i="28"/>
  <c r="Q294" i="28"/>
  <c r="K294" i="28"/>
  <c r="J294" i="28"/>
  <c r="I294" i="28"/>
  <c r="AL293" i="28"/>
  <c r="AK293" i="28"/>
  <c r="AJ293" i="28"/>
  <c r="AE293" i="28"/>
  <c r="AD293" i="28"/>
  <c r="AC293" i="28"/>
  <c r="Q293" i="28"/>
  <c r="K293" i="28"/>
  <c r="J293" i="28"/>
  <c r="I293" i="28"/>
  <c r="AL292" i="28"/>
  <c r="AK292" i="28"/>
  <c r="AJ292" i="28"/>
  <c r="AE292" i="28"/>
  <c r="AD292" i="28"/>
  <c r="AC292" i="28"/>
  <c r="Q292" i="28"/>
  <c r="K292" i="28"/>
  <c r="J292" i="28"/>
  <c r="I292" i="28"/>
  <c r="AL291" i="28"/>
  <c r="AK291" i="28"/>
  <c r="AJ291" i="28"/>
  <c r="AE291" i="28"/>
  <c r="AD291" i="28"/>
  <c r="AC291" i="28"/>
  <c r="Q291" i="28"/>
  <c r="K291" i="28"/>
  <c r="J291" i="28"/>
  <c r="I291" i="28"/>
  <c r="AK290" i="28"/>
  <c r="AJ290" i="28"/>
  <c r="AE290" i="28"/>
  <c r="AD290" i="28"/>
  <c r="AC290" i="28"/>
  <c r="Q290" i="28"/>
  <c r="K290" i="28"/>
  <c r="J290" i="28"/>
  <c r="I290" i="28"/>
  <c r="AK289" i="28"/>
  <c r="AJ289" i="28"/>
  <c r="AE289" i="28"/>
  <c r="AD289" i="28"/>
  <c r="AC289" i="28"/>
  <c r="Q289" i="28"/>
  <c r="K289" i="28"/>
  <c r="J289" i="28"/>
  <c r="I289" i="28"/>
  <c r="AL288" i="28"/>
  <c r="AK288" i="28"/>
  <c r="AJ288" i="28"/>
  <c r="AE288" i="28"/>
  <c r="AD288" i="28"/>
  <c r="AC288" i="28"/>
  <c r="Q288" i="28"/>
  <c r="K288" i="28"/>
  <c r="J288" i="28"/>
  <c r="I288" i="28"/>
  <c r="AL287" i="28"/>
  <c r="AK287" i="28"/>
  <c r="AJ287" i="28"/>
  <c r="AE287" i="28"/>
  <c r="AD287" i="28"/>
  <c r="AC287" i="28"/>
  <c r="Q287" i="28"/>
  <c r="K287" i="28"/>
  <c r="J287" i="28"/>
  <c r="I287" i="28"/>
  <c r="AK286" i="28"/>
  <c r="AJ286" i="28"/>
  <c r="AE286" i="28"/>
  <c r="AD286" i="28"/>
  <c r="AC286" i="28"/>
  <c r="Q286" i="28"/>
  <c r="K286" i="28"/>
  <c r="J286" i="28"/>
  <c r="I286" i="28"/>
  <c r="AL285" i="28"/>
  <c r="AK285" i="28"/>
  <c r="AJ285" i="28"/>
  <c r="AE285" i="28"/>
  <c r="AD285" i="28"/>
  <c r="AC285" i="28"/>
  <c r="Q285" i="28"/>
  <c r="K285" i="28"/>
  <c r="J285" i="28"/>
  <c r="I285" i="28"/>
  <c r="AK284" i="28"/>
  <c r="AJ284" i="28"/>
  <c r="AE284" i="28"/>
  <c r="AD284" i="28"/>
  <c r="AC284" i="28"/>
  <c r="Q284" i="28"/>
  <c r="K284" i="28"/>
  <c r="J284" i="28"/>
  <c r="I284" i="28"/>
  <c r="AK283" i="28"/>
  <c r="AJ283" i="28"/>
  <c r="AE283" i="28"/>
  <c r="AD283" i="28"/>
  <c r="AC283" i="28"/>
  <c r="Q283" i="28"/>
  <c r="K283" i="28"/>
  <c r="J283" i="28"/>
  <c r="I283" i="28"/>
  <c r="AK282" i="28"/>
  <c r="AJ282" i="28"/>
  <c r="AE282" i="28"/>
  <c r="AD282" i="28"/>
  <c r="AC282" i="28"/>
  <c r="Q282" i="28"/>
  <c r="K282" i="28"/>
  <c r="J282" i="28"/>
  <c r="I282" i="28"/>
  <c r="AL281" i="28"/>
  <c r="AK281" i="28"/>
  <c r="AJ281" i="28"/>
  <c r="AE281" i="28"/>
  <c r="AD281" i="28"/>
  <c r="AC281" i="28"/>
  <c r="Q281" i="28"/>
  <c r="K281" i="28"/>
  <c r="J281" i="28"/>
  <c r="I281" i="28"/>
  <c r="AK280" i="28"/>
  <c r="AJ280" i="28"/>
  <c r="AE280" i="28"/>
  <c r="AD280" i="28"/>
  <c r="AC280" i="28"/>
  <c r="Q280" i="28"/>
  <c r="K280" i="28"/>
  <c r="J280" i="28"/>
  <c r="I280" i="28"/>
  <c r="AL279" i="28"/>
  <c r="AK279" i="28"/>
  <c r="AJ279" i="28"/>
  <c r="AE279" i="28"/>
  <c r="AD279" i="28"/>
  <c r="AC279" i="28"/>
  <c r="Q279" i="28"/>
  <c r="K279" i="28"/>
  <c r="J279" i="28"/>
  <c r="I279" i="28"/>
  <c r="AL278" i="28"/>
  <c r="AK278" i="28"/>
  <c r="AJ278" i="28"/>
  <c r="AE278" i="28"/>
  <c r="AD278" i="28"/>
  <c r="AC278" i="28"/>
  <c r="Q278" i="28"/>
  <c r="K278" i="28"/>
  <c r="J278" i="28"/>
  <c r="I278" i="28"/>
  <c r="AL277" i="28"/>
  <c r="AK277" i="28"/>
  <c r="AJ277" i="28"/>
  <c r="AE277" i="28"/>
  <c r="AD277" i="28"/>
  <c r="AC277" i="28"/>
  <c r="Q277" i="28"/>
  <c r="K277" i="28"/>
  <c r="J277" i="28"/>
  <c r="I277" i="28"/>
  <c r="AL276" i="28"/>
  <c r="AK276" i="28"/>
  <c r="AJ276" i="28"/>
  <c r="AE276" i="28"/>
  <c r="AD276" i="28"/>
  <c r="AC276" i="28"/>
  <c r="Q276" i="28"/>
  <c r="K276" i="28"/>
  <c r="J276" i="28"/>
  <c r="I276" i="28"/>
  <c r="AK275" i="28"/>
  <c r="AJ275" i="28"/>
  <c r="AE275" i="28"/>
  <c r="AD275" i="28"/>
  <c r="AC275" i="28"/>
  <c r="Q275" i="28"/>
  <c r="K275" i="28"/>
  <c r="J275" i="28"/>
  <c r="I275" i="28"/>
  <c r="AL274" i="28"/>
  <c r="AK274" i="28"/>
  <c r="AJ274" i="28"/>
  <c r="AE274" i="28"/>
  <c r="AD274" i="28"/>
  <c r="AC274" i="28"/>
  <c r="Q274" i="28"/>
  <c r="K274" i="28"/>
  <c r="J274" i="28"/>
  <c r="I274" i="28"/>
  <c r="AL273" i="28"/>
  <c r="AK273" i="28"/>
  <c r="AJ273" i="28"/>
  <c r="AE273" i="28"/>
  <c r="AD273" i="28"/>
  <c r="AC273" i="28"/>
  <c r="Q273" i="28"/>
  <c r="K273" i="28"/>
  <c r="J273" i="28"/>
  <c r="I273" i="28"/>
  <c r="AL272" i="28"/>
  <c r="AK272" i="28"/>
  <c r="AJ272" i="28"/>
  <c r="AE272" i="28"/>
  <c r="AD272" i="28"/>
  <c r="AC272" i="28"/>
  <c r="Q272" i="28"/>
  <c r="K272" i="28"/>
  <c r="J272" i="28"/>
  <c r="I272" i="28"/>
  <c r="AK271" i="28"/>
  <c r="AJ271" i="28"/>
  <c r="AE271" i="28"/>
  <c r="AD271" i="28"/>
  <c r="AC271" i="28"/>
  <c r="Q271" i="28"/>
  <c r="K271" i="28"/>
  <c r="J271" i="28"/>
  <c r="I271" i="28"/>
  <c r="AK270" i="28"/>
  <c r="AJ270" i="28"/>
  <c r="AE270" i="28"/>
  <c r="AD270" i="28"/>
  <c r="AC270" i="28"/>
  <c r="Q270" i="28"/>
  <c r="K270" i="28"/>
  <c r="J270" i="28"/>
  <c r="I270" i="28"/>
  <c r="AK269" i="28"/>
  <c r="AJ269" i="28"/>
  <c r="AE269" i="28"/>
  <c r="AD269" i="28"/>
  <c r="AC269" i="28"/>
  <c r="Q269" i="28"/>
  <c r="K269" i="28"/>
  <c r="J269" i="28"/>
  <c r="I269" i="28"/>
  <c r="AL268" i="28"/>
  <c r="AK268" i="28"/>
  <c r="AJ268" i="28"/>
  <c r="AE268" i="28"/>
  <c r="AD268" i="28"/>
  <c r="AC268" i="28"/>
  <c r="Q268" i="28"/>
  <c r="K268" i="28"/>
  <c r="J268" i="28"/>
  <c r="I268" i="28"/>
  <c r="AL267" i="28"/>
  <c r="AK267" i="28"/>
  <c r="AJ267" i="28"/>
  <c r="AE267" i="28"/>
  <c r="AD267" i="28"/>
  <c r="AC267" i="28"/>
  <c r="Q267" i="28"/>
  <c r="K267" i="28"/>
  <c r="J267" i="28"/>
  <c r="I267" i="28"/>
  <c r="AL266" i="28"/>
  <c r="AK266" i="28"/>
  <c r="AJ266" i="28"/>
  <c r="AE266" i="28"/>
  <c r="AD266" i="28"/>
  <c r="AC266" i="28"/>
  <c r="Q266" i="28"/>
  <c r="K266" i="28"/>
  <c r="J266" i="28"/>
  <c r="I266" i="28"/>
  <c r="AK265" i="28"/>
  <c r="AJ265" i="28"/>
  <c r="AE265" i="28"/>
  <c r="AD265" i="28"/>
  <c r="AC265" i="28"/>
  <c r="Q265" i="28"/>
  <c r="K265" i="28"/>
  <c r="J265" i="28"/>
  <c r="I265" i="28"/>
  <c r="AK264" i="28"/>
  <c r="AJ264" i="28"/>
  <c r="AE264" i="28"/>
  <c r="AD264" i="28"/>
  <c r="AC264" i="28"/>
  <c r="Q264" i="28"/>
  <c r="K264" i="28"/>
  <c r="J264" i="28"/>
  <c r="I264" i="28"/>
  <c r="AL263" i="28"/>
  <c r="AK263" i="28"/>
  <c r="AJ263" i="28"/>
  <c r="AE263" i="28"/>
  <c r="AD263" i="28"/>
  <c r="AC263" i="28"/>
  <c r="Q263" i="28"/>
  <c r="K263" i="28"/>
  <c r="J263" i="28"/>
  <c r="I263" i="28"/>
  <c r="AK262" i="28"/>
  <c r="AJ262" i="28"/>
  <c r="AE262" i="28"/>
  <c r="AD262" i="28"/>
  <c r="AC262" i="28"/>
  <c r="Q262" i="28"/>
  <c r="K262" i="28"/>
  <c r="J262" i="28"/>
  <c r="I262" i="28"/>
  <c r="AL261" i="28"/>
  <c r="AK261" i="28"/>
  <c r="AJ261" i="28"/>
  <c r="AE261" i="28"/>
  <c r="AD261" i="28"/>
  <c r="AC261" i="28"/>
  <c r="Q261" i="28"/>
  <c r="K261" i="28"/>
  <c r="J261" i="28"/>
  <c r="I261" i="28"/>
  <c r="AL260" i="28"/>
  <c r="AK260" i="28"/>
  <c r="AJ260" i="28"/>
  <c r="AE260" i="28"/>
  <c r="AD260" i="28"/>
  <c r="AC260" i="28"/>
  <c r="Q260" i="28"/>
  <c r="K260" i="28"/>
  <c r="J260" i="28"/>
  <c r="I260" i="28"/>
  <c r="AK259" i="28"/>
  <c r="AJ259" i="28"/>
  <c r="AE259" i="28"/>
  <c r="AD259" i="28"/>
  <c r="AC259" i="28"/>
  <c r="Q259" i="28"/>
  <c r="K259" i="28"/>
  <c r="J259" i="28"/>
  <c r="I259" i="28"/>
  <c r="AL258" i="28"/>
  <c r="AK258" i="28"/>
  <c r="AJ258" i="28"/>
  <c r="AE258" i="28"/>
  <c r="AD258" i="28"/>
  <c r="AC258" i="28"/>
  <c r="Q258" i="28"/>
  <c r="K258" i="28"/>
  <c r="J258" i="28"/>
  <c r="I258" i="28"/>
  <c r="AK257" i="28"/>
  <c r="AJ257" i="28"/>
  <c r="AE257" i="28"/>
  <c r="AD257" i="28"/>
  <c r="AC257" i="28"/>
  <c r="Q257" i="28"/>
  <c r="K257" i="28"/>
  <c r="J257" i="28"/>
  <c r="I257" i="28"/>
  <c r="AL256" i="28"/>
  <c r="AK256" i="28"/>
  <c r="AJ256" i="28"/>
  <c r="AE256" i="28"/>
  <c r="AD256" i="28"/>
  <c r="AC256" i="28"/>
  <c r="Q256" i="28"/>
  <c r="K256" i="28"/>
  <c r="J256" i="28"/>
  <c r="I256" i="28"/>
  <c r="AK255" i="28"/>
  <c r="AJ255" i="28"/>
  <c r="AE255" i="28"/>
  <c r="AD255" i="28"/>
  <c r="AC255" i="28"/>
  <c r="Q255" i="28"/>
  <c r="K255" i="28"/>
  <c r="J255" i="28"/>
  <c r="I255" i="28"/>
  <c r="AL254" i="28"/>
  <c r="AK254" i="28"/>
  <c r="AJ254" i="28"/>
  <c r="AE254" i="28"/>
  <c r="AD254" i="28"/>
  <c r="AC254" i="28"/>
  <c r="Q254" i="28"/>
  <c r="K254" i="28"/>
  <c r="J254" i="28"/>
  <c r="I254" i="28"/>
  <c r="AL253" i="28"/>
  <c r="AK253" i="28"/>
  <c r="AJ253" i="28"/>
  <c r="AE253" i="28"/>
  <c r="AD253" i="28"/>
  <c r="AC253" i="28"/>
  <c r="Q253" i="28"/>
  <c r="K253" i="28"/>
  <c r="J253" i="28"/>
  <c r="I253" i="28"/>
  <c r="AK252" i="28"/>
  <c r="AJ252" i="28"/>
  <c r="AE252" i="28"/>
  <c r="AD252" i="28"/>
  <c r="AC252" i="28"/>
  <c r="Q252" i="28"/>
  <c r="K252" i="28"/>
  <c r="J252" i="28"/>
  <c r="I252" i="28"/>
  <c r="AL251" i="28"/>
  <c r="AK251" i="28"/>
  <c r="AJ251" i="28"/>
  <c r="AE251" i="28"/>
  <c r="AD251" i="28"/>
  <c r="AC251" i="28"/>
  <c r="Q251" i="28"/>
  <c r="K251" i="28"/>
  <c r="J251" i="28"/>
  <c r="I251" i="28"/>
  <c r="AK250" i="28"/>
  <c r="AJ250" i="28"/>
  <c r="AE250" i="28"/>
  <c r="AD250" i="28"/>
  <c r="AC250" i="28"/>
  <c r="Q250" i="28"/>
  <c r="K250" i="28"/>
  <c r="J250" i="28"/>
  <c r="I250" i="28"/>
  <c r="AL249" i="28"/>
  <c r="AK249" i="28"/>
  <c r="AJ249" i="28"/>
  <c r="AE249" i="28"/>
  <c r="AD249" i="28"/>
  <c r="AC249" i="28"/>
  <c r="Q249" i="28"/>
  <c r="K249" i="28"/>
  <c r="J249" i="28"/>
  <c r="I249" i="28"/>
  <c r="AK248" i="28"/>
  <c r="AJ248" i="28"/>
  <c r="AE248" i="28"/>
  <c r="AD248" i="28"/>
  <c r="AC248" i="28"/>
  <c r="Q248" i="28"/>
  <c r="K248" i="28"/>
  <c r="J248" i="28"/>
  <c r="I248" i="28"/>
  <c r="AK247" i="28"/>
  <c r="AJ247" i="28"/>
  <c r="AE247" i="28"/>
  <c r="AD247" i="28"/>
  <c r="AC247" i="28"/>
  <c r="Q247" i="28"/>
  <c r="K247" i="28"/>
  <c r="J247" i="28"/>
  <c r="I247" i="28"/>
  <c r="AK246" i="28"/>
  <c r="AJ246" i="28"/>
  <c r="AE246" i="28"/>
  <c r="AD246" i="28"/>
  <c r="AC246" i="28"/>
  <c r="Q246" i="28"/>
  <c r="K246" i="28"/>
  <c r="J246" i="28"/>
  <c r="I246" i="28"/>
  <c r="AL245" i="28"/>
  <c r="AK245" i="28"/>
  <c r="AJ245" i="28"/>
  <c r="AE245" i="28"/>
  <c r="AD245" i="28"/>
  <c r="AC245" i="28"/>
  <c r="Q245" i="28"/>
  <c r="K245" i="28"/>
  <c r="J245" i="28"/>
  <c r="I245" i="28"/>
  <c r="AL244" i="28"/>
  <c r="AK244" i="28"/>
  <c r="AJ244" i="28"/>
  <c r="AE244" i="28"/>
  <c r="AD244" i="28"/>
  <c r="AC244" i="28"/>
  <c r="Q244" i="28"/>
  <c r="K244" i="28"/>
  <c r="J244" i="28"/>
  <c r="I244" i="28"/>
  <c r="AL243" i="28"/>
  <c r="AK243" i="28"/>
  <c r="AJ243" i="28"/>
  <c r="AE243" i="28"/>
  <c r="AD243" i="28"/>
  <c r="AC243" i="28"/>
  <c r="Q243" i="28"/>
  <c r="K243" i="28"/>
  <c r="J243" i="28"/>
  <c r="I243" i="28"/>
  <c r="AL242" i="28"/>
  <c r="AK242" i="28"/>
  <c r="AJ242" i="28"/>
  <c r="AE242" i="28"/>
  <c r="AD242" i="28"/>
  <c r="AC242" i="28"/>
  <c r="Q242" i="28"/>
  <c r="K242" i="28"/>
  <c r="J242" i="28"/>
  <c r="I242" i="28"/>
  <c r="AK241" i="28"/>
  <c r="AJ241" i="28"/>
  <c r="AE241" i="28"/>
  <c r="AD241" i="28"/>
  <c r="AC241" i="28"/>
  <c r="Q241" i="28"/>
  <c r="K241" i="28"/>
  <c r="J241" i="28"/>
  <c r="I241" i="28"/>
  <c r="AL240" i="28"/>
  <c r="AK240" i="28"/>
  <c r="AJ240" i="28"/>
  <c r="AE240" i="28"/>
  <c r="AD240" i="28"/>
  <c r="AC240" i="28"/>
  <c r="Q240" i="28"/>
  <c r="K240" i="28"/>
  <c r="J240" i="28"/>
  <c r="I240" i="28"/>
  <c r="AL239" i="28"/>
  <c r="AK239" i="28"/>
  <c r="AJ239" i="28"/>
  <c r="AE239" i="28"/>
  <c r="AD239" i="28"/>
  <c r="AC239" i="28"/>
  <c r="Q239" i="28"/>
  <c r="K239" i="28"/>
  <c r="J239" i="28"/>
  <c r="I239" i="28"/>
  <c r="AL238" i="28"/>
  <c r="AK238" i="28"/>
  <c r="AJ238" i="28"/>
  <c r="AE238" i="28"/>
  <c r="AD238" i="28"/>
  <c r="AC238" i="28"/>
  <c r="Q238" i="28"/>
  <c r="K238" i="28"/>
  <c r="J238" i="28"/>
  <c r="I238" i="28"/>
  <c r="AL237" i="28"/>
  <c r="AK237" i="28"/>
  <c r="AJ237" i="28"/>
  <c r="AE237" i="28"/>
  <c r="AD237" i="28"/>
  <c r="AC237" i="28"/>
  <c r="Q237" i="28"/>
  <c r="K237" i="28"/>
  <c r="J237" i="28"/>
  <c r="I237" i="28"/>
  <c r="AK236" i="28"/>
  <c r="AJ236" i="28"/>
  <c r="AE236" i="28"/>
  <c r="AD236" i="28"/>
  <c r="AC236" i="28"/>
  <c r="Q236" i="28"/>
  <c r="K236" i="28"/>
  <c r="J236" i="28"/>
  <c r="I236" i="28"/>
  <c r="AL235" i="28"/>
  <c r="AK235" i="28"/>
  <c r="AJ235" i="28"/>
  <c r="AE235" i="28"/>
  <c r="AD235" i="28"/>
  <c r="AC235" i="28"/>
  <c r="Q235" i="28"/>
  <c r="K235" i="28"/>
  <c r="J235" i="28"/>
  <c r="I235" i="28"/>
  <c r="AL234" i="28"/>
  <c r="AK234" i="28"/>
  <c r="AJ234" i="28"/>
  <c r="AE234" i="28"/>
  <c r="AD234" i="28"/>
  <c r="AC234" i="28"/>
  <c r="Q234" i="28"/>
  <c r="K234" i="28"/>
  <c r="J234" i="28"/>
  <c r="I234" i="28"/>
  <c r="AK233" i="28"/>
  <c r="AJ233" i="28"/>
  <c r="AE233" i="28"/>
  <c r="AD233" i="28"/>
  <c r="AC233" i="28"/>
  <c r="Q233" i="28"/>
  <c r="K233" i="28"/>
  <c r="J233" i="28"/>
  <c r="I233" i="28"/>
  <c r="AL232" i="28"/>
  <c r="AK232" i="28"/>
  <c r="AJ232" i="28"/>
  <c r="AE232" i="28"/>
  <c r="AD232" i="28"/>
  <c r="AC232" i="28"/>
  <c r="Q232" i="28"/>
  <c r="K232" i="28"/>
  <c r="J232" i="28"/>
  <c r="I232" i="28"/>
  <c r="AL231" i="28"/>
  <c r="AK231" i="28"/>
  <c r="AJ231" i="28"/>
  <c r="AE231" i="28"/>
  <c r="AD231" i="28"/>
  <c r="AC231" i="28"/>
  <c r="Q231" i="28"/>
  <c r="K231" i="28"/>
  <c r="J231" i="28"/>
  <c r="I231" i="28"/>
  <c r="AL230" i="28"/>
  <c r="AK230" i="28"/>
  <c r="AJ230" i="28"/>
  <c r="AE230" i="28"/>
  <c r="AD230" i="28"/>
  <c r="AC230" i="28"/>
  <c r="Q230" i="28"/>
  <c r="K230" i="28"/>
  <c r="J230" i="28"/>
  <c r="I230" i="28"/>
  <c r="AK229" i="28"/>
  <c r="AJ229" i="28"/>
  <c r="AE229" i="28"/>
  <c r="AD229" i="28"/>
  <c r="AC229" i="28"/>
  <c r="Q229" i="28"/>
  <c r="K229" i="28"/>
  <c r="J229" i="28"/>
  <c r="I229" i="28"/>
  <c r="AL228" i="28"/>
  <c r="AK228" i="28"/>
  <c r="AJ228" i="28"/>
  <c r="AE228" i="28"/>
  <c r="AD228" i="28"/>
  <c r="AC228" i="28"/>
  <c r="Q228" i="28"/>
  <c r="K228" i="28"/>
  <c r="J228" i="28"/>
  <c r="I228" i="28"/>
  <c r="AL227" i="28"/>
  <c r="AK227" i="28"/>
  <c r="AJ227" i="28"/>
  <c r="AE227" i="28"/>
  <c r="AD227" i="28"/>
  <c r="AC227" i="28"/>
  <c r="Q227" i="28"/>
  <c r="K227" i="28"/>
  <c r="J227" i="28"/>
  <c r="I227" i="28"/>
  <c r="AK226" i="28"/>
  <c r="AJ226" i="28"/>
  <c r="AE226" i="28"/>
  <c r="AD226" i="28"/>
  <c r="AC226" i="28"/>
  <c r="Q226" i="28"/>
  <c r="K226" i="28"/>
  <c r="J226" i="28"/>
  <c r="I226" i="28"/>
  <c r="AK225" i="28"/>
  <c r="AJ225" i="28"/>
  <c r="AE225" i="28"/>
  <c r="AD225" i="28"/>
  <c r="AC225" i="28"/>
  <c r="Q225" i="28"/>
  <c r="K225" i="28"/>
  <c r="J225" i="28"/>
  <c r="I225" i="28"/>
  <c r="AL224" i="28"/>
  <c r="AK224" i="28"/>
  <c r="AJ224" i="28"/>
  <c r="AE224" i="28"/>
  <c r="AD224" i="28"/>
  <c r="AC224" i="28"/>
  <c r="Q224" i="28"/>
  <c r="K224" i="28"/>
  <c r="J224" i="28"/>
  <c r="I224" i="28"/>
  <c r="AL223" i="28"/>
  <c r="AK223" i="28"/>
  <c r="AJ223" i="28"/>
  <c r="AE223" i="28"/>
  <c r="AD223" i="28"/>
  <c r="AC223" i="28"/>
  <c r="Q223" i="28"/>
  <c r="K223" i="28"/>
  <c r="J223" i="28"/>
  <c r="I223" i="28"/>
  <c r="AL222" i="28"/>
  <c r="AK222" i="28"/>
  <c r="AJ222" i="28"/>
  <c r="AE222" i="28"/>
  <c r="AD222" i="28"/>
  <c r="AC222" i="28"/>
  <c r="Q222" i="28"/>
  <c r="K222" i="28"/>
  <c r="J222" i="28"/>
  <c r="I222" i="28"/>
  <c r="AL221" i="28"/>
  <c r="AK221" i="28"/>
  <c r="AJ221" i="28"/>
  <c r="AE221" i="28"/>
  <c r="AD221" i="28"/>
  <c r="AC221" i="28"/>
  <c r="Q221" i="28"/>
  <c r="K221" i="28"/>
  <c r="J221" i="28"/>
  <c r="I221" i="28"/>
  <c r="AL220" i="28"/>
  <c r="AK220" i="28"/>
  <c r="AJ220" i="28"/>
  <c r="AE220" i="28"/>
  <c r="AD220" i="28"/>
  <c r="AC220" i="28"/>
  <c r="Q220" i="28"/>
  <c r="K220" i="28"/>
  <c r="J220" i="28"/>
  <c r="I220" i="28"/>
  <c r="AL219" i="28"/>
  <c r="AK219" i="28"/>
  <c r="AJ219" i="28"/>
  <c r="AE219" i="28"/>
  <c r="AD219" i="28"/>
  <c r="AC219" i="28"/>
  <c r="Q219" i="28"/>
  <c r="K219" i="28"/>
  <c r="J219" i="28"/>
  <c r="I219" i="28"/>
  <c r="AL218" i="28"/>
  <c r="AK218" i="28"/>
  <c r="AJ218" i="28"/>
  <c r="AE218" i="28"/>
  <c r="AD218" i="28"/>
  <c r="AC218" i="28"/>
  <c r="Q218" i="28"/>
  <c r="K218" i="28"/>
  <c r="J218" i="28"/>
  <c r="I218" i="28"/>
  <c r="AL217" i="28"/>
  <c r="AK217" i="28"/>
  <c r="AJ217" i="28"/>
  <c r="AE217" i="28"/>
  <c r="AD217" i="28"/>
  <c r="AC217" i="28"/>
  <c r="Q217" i="28"/>
  <c r="K217" i="28"/>
  <c r="J217" i="28"/>
  <c r="I217" i="28"/>
  <c r="AL216" i="28"/>
  <c r="AK216" i="28"/>
  <c r="AJ216" i="28"/>
  <c r="AE216" i="28"/>
  <c r="AD216" i="28"/>
  <c r="AC216" i="28"/>
  <c r="Q216" i="28"/>
  <c r="K216" i="28"/>
  <c r="J216" i="28"/>
  <c r="I216" i="28"/>
  <c r="AK215" i="28"/>
  <c r="AJ215" i="28"/>
  <c r="AE215" i="28"/>
  <c r="AD215" i="28"/>
  <c r="AC215" i="28"/>
  <c r="Q215" i="28"/>
  <c r="K215" i="28"/>
  <c r="J215" i="28"/>
  <c r="I215" i="28"/>
  <c r="AL214" i="28"/>
  <c r="AK214" i="28"/>
  <c r="AJ214" i="28"/>
  <c r="AE214" i="28"/>
  <c r="AD214" i="28"/>
  <c r="AC214" i="28"/>
  <c r="Q214" i="28"/>
  <c r="K214" i="28"/>
  <c r="J214" i="28"/>
  <c r="I214" i="28"/>
  <c r="AL213" i="28"/>
  <c r="AK213" i="28"/>
  <c r="AJ213" i="28"/>
  <c r="AE213" i="28"/>
  <c r="AD213" i="28"/>
  <c r="AC213" i="28"/>
  <c r="Q213" i="28"/>
  <c r="K213" i="28"/>
  <c r="J213" i="28"/>
  <c r="I213" i="28"/>
  <c r="AL212" i="28"/>
  <c r="AK212" i="28"/>
  <c r="AJ212" i="28"/>
  <c r="AE212" i="28"/>
  <c r="AD212" i="28"/>
  <c r="AC212" i="28"/>
  <c r="Q212" i="28"/>
  <c r="K212" i="28"/>
  <c r="J212" i="28"/>
  <c r="I212" i="28"/>
  <c r="AL211" i="28"/>
  <c r="AK211" i="28"/>
  <c r="AJ211" i="28"/>
  <c r="AE211" i="28"/>
  <c r="AD211" i="28"/>
  <c r="AC211" i="28"/>
  <c r="Q211" i="28"/>
  <c r="K211" i="28"/>
  <c r="J211" i="28"/>
  <c r="I211" i="28"/>
  <c r="AK210" i="28"/>
  <c r="AJ210" i="28"/>
  <c r="AE210" i="28"/>
  <c r="AD210" i="28"/>
  <c r="AC210" i="28"/>
  <c r="Q210" i="28"/>
  <c r="K210" i="28"/>
  <c r="J210" i="28"/>
  <c r="I210" i="28"/>
  <c r="AL209" i="28"/>
  <c r="AK209" i="28"/>
  <c r="AJ209" i="28"/>
  <c r="AE209" i="28"/>
  <c r="AD209" i="28"/>
  <c r="AC209" i="28"/>
  <c r="Q209" i="28"/>
  <c r="K209" i="28"/>
  <c r="J209" i="28"/>
  <c r="I209" i="28"/>
  <c r="AL208" i="28"/>
  <c r="AK208" i="28"/>
  <c r="AJ208" i="28"/>
  <c r="AE208" i="28"/>
  <c r="AD208" i="28"/>
  <c r="AC208" i="28"/>
  <c r="Q208" i="28"/>
  <c r="K208" i="28"/>
  <c r="J208" i="28"/>
  <c r="I208" i="28"/>
  <c r="AL207" i="28"/>
  <c r="AK207" i="28"/>
  <c r="AJ207" i="28"/>
  <c r="AE207" i="28"/>
  <c r="AD207" i="28"/>
  <c r="AC207" i="28"/>
  <c r="Q207" i="28"/>
  <c r="K207" i="28"/>
  <c r="J207" i="28"/>
  <c r="I207" i="28"/>
  <c r="AL206" i="28"/>
  <c r="AK206" i="28"/>
  <c r="AJ206" i="28"/>
  <c r="AE206" i="28"/>
  <c r="AD206" i="28"/>
  <c r="AC206" i="28"/>
  <c r="Q206" i="28"/>
  <c r="K206" i="28"/>
  <c r="J206" i="28"/>
  <c r="I206" i="28"/>
  <c r="AL205" i="28"/>
  <c r="AK205" i="28"/>
  <c r="AJ205" i="28"/>
  <c r="AE205" i="28"/>
  <c r="AD205" i="28"/>
  <c r="AC205" i="28"/>
  <c r="Q205" i="28"/>
  <c r="K205" i="28"/>
  <c r="J205" i="28"/>
  <c r="I205" i="28"/>
  <c r="AL204" i="28"/>
  <c r="AK204" i="28"/>
  <c r="AJ204" i="28"/>
  <c r="AE204" i="28"/>
  <c r="AD204" i="28"/>
  <c r="AC204" i="28"/>
  <c r="Q204" i="28"/>
  <c r="K204" i="28"/>
  <c r="J204" i="28"/>
  <c r="I204" i="28"/>
  <c r="AK203" i="28"/>
  <c r="AJ203" i="28"/>
  <c r="AE203" i="28"/>
  <c r="AD203" i="28"/>
  <c r="AC203" i="28"/>
  <c r="Q203" i="28"/>
  <c r="K203" i="28"/>
  <c r="J203" i="28"/>
  <c r="I203" i="28"/>
  <c r="AL202" i="28"/>
  <c r="AK202" i="28"/>
  <c r="AJ202" i="28"/>
  <c r="AE202" i="28"/>
  <c r="AD202" i="28"/>
  <c r="AC202" i="28"/>
  <c r="Q202" i="28"/>
  <c r="K202" i="28"/>
  <c r="J202" i="28"/>
  <c r="I202" i="28"/>
  <c r="AL201" i="28"/>
  <c r="AK201" i="28"/>
  <c r="AJ201" i="28"/>
  <c r="AE201" i="28"/>
  <c r="AD201" i="28"/>
  <c r="AC201" i="28"/>
  <c r="Q201" i="28"/>
  <c r="K201" i="28"/>
  <c r="J201" i="28"/>
  <c r="I201" i="28"/>
  <c r="AL200" i="28"/>
  <c r="AK200" i="28"/>
  <c r="AJ200" i="28"/>
  <c r="AE200" i="28"/>
  <c r="AD200" i="28"/>
  <c r="AC200" i="28"/>
  <c r="Q200" i="28"/>
  <c r="K200" i="28"/>
  <c r="J200" i="28"/>
  <c r="I200" i="28"/>
  <c r="AL199" i="28"/>
  <c r="AK199" i="28"/>
  <c r="AJ199" i="28"/>
  <c r="AE199" i="28"/>
  <c r="AD199" i="28"/>
  <c r="AC199" i="28"/>
  <c r="Q199" i="28"/>
  <c r="K199" i="28"/>
  <c r="J199" i="28"/>
  <c r="L199" i="28" s="1"/>
  <c r="I199" i="28"/>
  <c r="AL198" i="28"/>
  <c r="AK198" i="28"/>
  <c r="AJ198" i="28"/>
  <c r="AE198" i="28"/>
  <c r="AD198" i="28"/>
  <c r="AC198" i="28"/>
  <c r="Q198" i="28"/>
  <c r="K198" i="28"/>
  <c r="J198" i="28"/>
  <c r="I198" i="28"/>
  <c r="AL197" i="28"/>
  <c r="AK197" i="28"/>
  <c r="AJ197" i="28"/>
  <c r="AE197" i="28"/>
  <c r="AD197" i="28"/>
  <c r="AC197" i="28"/>
  <c r="Q197" i="28"/>
  <c r="K197" i="28"/>
  <c r="J197" i="28"/>
  <c r="I197" i="28"/>
  <c r="AL196" i="28"/>
  <c r="AK196" i="28"/>
  <c r="AJ196" i="28"/>
  <c r="AE196" i="28"/>
  <c r="AD196" i="28"/>
  <c r="AC196" i="28"/>
  <c r="Q196" i="28"/>
  <c r="K196" i="28"/>
  <c r="J196" i="28"/>
  <c r="I196" i="28"/>
  <c r="AL195" i="28"/>
  <c r="AK195" i="28"/>
  <c r="AJ195" i="28"/>
  <c r="AE195" i="28"/>
  <c r="AD195" i="28"/>
  <c r="AC195" i="28"/>
  <c r="Q195" i="28"/>
  <c r="K195" i="28"/>
  <c r="J195" i="28"/>
  <c r="I195" i="28"/>
  <c r="AL194" i="28"/>
  <c r="AK194" i="28"/>
  <c r="AJ194" i="28"/>
  <c r="AE194" i="28"/>
  <c r="AD194" i="28"/>
  <c r="AC194" i="28"/>
  <c r="Q194" i="28"/>
  <c r="K194" i="28"/>
  <c r="J194" i="28"/>
  <c r="I194" i="28"/>
  <c r="AL193" i="28"/>
  <c r="AK193" i="28"/>
  <c r="AJ193" i="28"/>
  <c r="AE193" i="28"/>
  <c r="AD193" i="28"/>
  <c r="AC193" i="28"/>
  <c r="Q193" i="28"/>
  <c r="K193" i="28"/>
  <c r="J193" i="28"/>
  <c r="I193" i="28"/>
  <c r="AL192" i="28"/>
  <c r="AK192" i="28"/>
  <c r="AJ192" i="28"/>
  <c r="AE192" i="28"/>
  <c r="AD192" i="28"/>
  <c r="AC192" i="28"/>
  <c r="Q192" i="28"/>
  <c r="K192" i="28"/>
  <c r="J192" i="28"/>
  <c r="I192" i="28"/>
  <c r="AL191" i="28"/>
  <c r="AK191" i="28"/>
  <c r="AJ191" i="28"/>
  <c r="AE191" i="28"/>
  <c r="AD191" i="28"/>
  <c r="AC191" i="28"/>
  <c r="Q191" i="28"/>
  <c r="K191" i="28"/>
  <c r="J191" i="28"/>
  <c r="I191" i="28"/>
  <c r="AL190" i="28"/>
  <c r="AK190" i="28"/>
  <c r="AJ190" i="28"/>
  <c r="AE190" i="28"/>
  <c r="AD190" i="28"/>
  <c r="AC190" i="28"/>
  <c r="Q190" i="28"/>
  <c r="K190" i="28"/>
  <c r="J190" i="28"/>
  <c r="I190" i="28"/>
  <c r="AK189" i="28"/>
  <c r="AJ189" i="28"/>
  <c r="AE189" i="28"/>
  <c r="AD189" i="28"/>
  <c r="AC189" i="28"/>
  <c r="Q189" i="28"/>
  <c r="K189" i="28"/>
  <c r="J189" i="28"/>
  <c r="I189" i="28"/>
  <c r="AL188" i="28"/>
  <c r="AK188" i="28"/>
  <c r="AJ188" i="28"/>
  <c r="AE188" i="28"/>
  <c r="AD188" i="28"/>
  <c r="AC188" i="28"/>
  <c r="Q188" i="28"/>
  <c r="K188" i="28"/>
  <c r="J188" i="28"/>
  <c r="I188" i="28"/>
  <c r="AL187" i="28"/>
  <c r="AK187" i="28"/>
  <c r="AJ187" i="28"/>
  <c r="AE187" i="28"/>
  <c r="AD187" i="28"/>
  <c r="AC187" i="28"/>
  <c r="Q187" i="28"/>
  <c r="K187" i="28"/>
  <c r="J187" i="28"/>
  <c r="I187" i="28"/>
  <c r="AL186" i="28"/>
  <c r="AK186" i="28"/>
  <c r="AJ186" i="28"/>
  <c r="AE186" i="28"/>
  <c r="AD186" i="28"/>
  <c r="AC186" i="28"/>
  <c r="Q186" i="28"/>
  <c r="K186" i="28"/>
  <c r="J186" i="28"/>
  <c r="I186" i="28"/>
  <c r="AL185" i="28"/>
  <c r="AK185" i="28"/>
  <c r="AJ185" i="28"/>
  <c r="AE185" i="28"/>
  <c r="AD185" i="28"/>
  <c r="AC185" i="28"/>
  <c r="Q185" i="28"/>
  <c r="K185" i="28"/>
  <c r="J185" i="28"/>
  <c r="I185" i="28"/>
  <c r="AL184" i="28"/>
  <c r="AK184" i="28"/>
  <c r="AJ184" i="28"/>
  <c r="AE184" i="28"/>
  <c r="AD184" i="28"/>
  <c r="AC184" i="28"/>
  <c r="Q184" i="28"/>
  <c r="K184" i="28"/>
  <c r="J184" i="28"/>
  <c r="I184" i="28"/>
  <c r="AL183" i="28"/>
  <c r="AK183" i="28"/>
  <c r="AJ183" i="28"/>
  <c r="AE183" i="28"/>
  <c r="AD183" i="28"/>
  <c r="AC183" i="28"/>
  <c r="Q183" i="28"/>
  <c r="K183" i="28"/>
  <c r="J183" i="28"/>
  <c r="I183" i="28"/>
  <c r="AL182" i="28"/>
  <c r="AK182" i="28"/>
  <c r="AJ182" i="28"/>
  <c r="AE182" i="28"/>
  <c r="AD182" i="28"/>
  <c r="AC182" i="28"/>
  <c r="Q182" i="28"/>
  <c r="K182" i="28"/>
  <c r="J182" i="28"/>
  <c r="I182" i="28"/>
  <c r="AL181" i="28"/>
  <c r="AK181" i="28"/>
  <c r="AJ181" i="28"/>
  <c r="AE181" i="28"/>
  <c r="AD181" i="28"/>
  <c r="AC181" i="28"/>
  <c r="Q181" i="28"/>
  <c r="K181" i="28"/>
  <c r="J181" i="28"/>
  <c r="I181" i="28"/>
  <c r="AL180" i="28"/>
  <c r="AK180" i="28"/>
  <c r="AJ180" i="28"/>
  <c r="AE180" i="28"/>
  <c r="AD180" i="28"/>
  <c r="AC180" i="28"/>
  <c r="Q180" i="28"/>
  <c r="K180" i="28"/>
  <c r="J180" i="28"/>
  <c r="I180" i="28"/>
  <c r="AL179" i="28"/>
  <c r="AK179" i="28"/>
  <c r="AJ179" i="28"/>
  <c r="AE179" i="28"/>
  <c r="AD179" i="28"/>
  <c r="AC179" i="28"/>
  <c r="Q179" i="28"/>
  <c r="K179" i="28"/>
  <c r="J179" i="28"/>
  <c r="I179" i="28"/>
  <c r="AL178" i="28"/>
  <c r="AK178" i="28"/>
  <c r="AJ178" i="28"/>
  <c r="AE178" i="28"/>
  <c r="AD178" i="28"/>
  <c r="AC178" i="28"/>
  <c r="Q178" i="28"/>
  <c r="K178" i="28"/>
  <c r="J178" i="28"/>
  <c r="I178" i="28"/>
  <c r="AK177" i="28"/>
  <c r="AJ177" i="28"/>
  <c r="AE177" i="28"/>
  <c r="AD177" i="28"/>
  <c r="AC177" i="28"/>
  <c r="Q177" i="28"/>
  <c r="K177" i="28"/>
  <c r="J177" i="28"/>
  <c r="I177" i="28"/>
  <c r="AL176" i="28"/>
  <c r="AK176" i="28"/>
  <c r="AJ176" i="28"/>
  <c r="AE176" i="28"/>
  <c r="AD176" i="28"/>
  <c r="AC176" i="28"/>
  <c r="Q176" i="28"/>
  <c r="K176" i="28"/>
  <c r="J176" i="28"/>
  <c r="I176" i="28"/>
  <c r="AL175" i="28"/>
  <c r="AK175" i="28"/>
  <c r="AJ175" i="28"/>
  <c r="AE175" i="28"/>
  <c r="AD175" i="28"/>
  <c r="AC175" i="28"/>
  <c r="Q175" i="28"/>
  <c r="K175" i="28"/>
  <c r="J175" i="28"/>
  <c r="I175" i="28"/>
  <c r="AL174" i="28"/>
  <c r="AK174" i="28"/>
  <c r="AJ174" i="28"/>
  <c r="AE174" i="28"/>
  <c r="AD174" i="28"/>
  <c r="AC174" i="28"/>
  <c r="Q174" i="28"/>
  <c r="K174" i="28"/>
  <c r="J174" i="28"/>
  <c r="I174" i="28"/>
  <c r="AL173" i="28"/>
  <c r="AK173" i="28"/>
  <c r="AJ173" i="28"/>
  <c r="AE173" i="28"/>
  <c r="AD173" i="28"/>
  <c r="AC173" i="28"/>
  <c r="Q173" i="28"/>
  <c r="K173" i="28"/>
  <c r="J173" i="28"/>
  <c r="I173" i="28"/>
  <c r="AL172" i="28"/>
  <c r="AK172" i="28"/>
  <c r="AJ172" i="28"/>
  <c r="AE172" i="28"/>
  <c r="AD172" i="28"/>
  <c r="AC172" i="28"/>
  <c r="Q172" i="28"/>
  <c r="K172" i="28"/>
  <c r="J172" i="28"/>
  <c r="I172" i="28"/>
  <c r="AL171" i="28"/>
  <c r="AK171" i="28"/>
  <c r="AJ171" i="28"/>
  <c r="AE171" i="28"/>
  <c r="AD171" i="28"/>
  <c r="AC171" i="28"/>
  <c r="Q171" i="28"/>
  <c r="K171" i="28"/>
  <c r="J171" i="28"/>
  <c r="I171" i="28"/>
  <c r="AK170" i="28"/>
  <c r="AJ170" i="28"/>
  <c r="AE170" i="28"/>
  <c r="AD170" i="28"/>
  <c r="AC170" i="28"/>
  <c r="Q170" i="28"/>
  <c r="K170" i="28"/>
  <c r="J170" i="28"/>
  <c r="I170" i="28"/>
  <c r="AK169" i="28"/>
  <c r="AJ169" i="28"/>
  <c r="AE169" i="28"/>
  <c r="AD169" i="28"/>
  <c r="AC169" i="28"/>
  <c r="Q169" i="28"/>
  <c r="K169" i="28"/>
  <c r="J169" i="28"/>
  <c r="I169" i="28"/>
  <c r="AL168" i="28"/>
  <c r="AK168" i="28"/>
  <c r="AJ168" i="28"/>
  <c r="AE168" i="28"/>
  <c r="AD168" i="28"/>
  <c r="AC168" i="28"/>
  <c r="Q168" i="28"/>
  <c r="K168" i="28"/>
  <c r="J168" i="28"/>
  <c r="I168" i="28"/>
  <c r="AL167" i="28"/>
  <c r="AK167" i="28"/>
  <c r="AJ167" i="28"/>
  <c r="AE167" i="28"/>
  <c r="AD167" i="28"/>
  <c r="AC167" i="28"/>
  <c r="Q167" i="28"/>
  <c r="K167" i="28"/>
  <c r="J167" i="28"/>
  <c r="I167" i="28"/>
  <c r="AL166" i="28"/>
  <c r="AK166" i="28"/>
  <c r="AJ166" i="28"/>
  <c r="AE166" i="28"/>
  <c r="AD166" i="28"/>
  <c r="AC166" i="28"/>
  <c r="Q166" i="28"/>
  <c r="K166" i="28"/>
  <c r="J166" i="28"/>
  <c r="I166" i="28"/>
  <c r="AL165" i="28"/>
  <c r="AK165" i="28"/>
  <c r="AJ165" i="28"/>
  <c r="AE165" i="28"/>
  <c r="AD165" i="28"/>
  <c r="AC165" i="28"/>
  <c r="Q165" i="28"/>
  <c r="K165" i="28"/>
  <c r="J165" i="28"/>
  <c r="I165" i="28"/>
  <c r="AL164" i="28"/>
  <c r="AK164" i="28"/>
  <c r="AJ164" i="28"/>
  <c r="AE164" i="28"/>
  <c r="AD164" i="28"/>
  <c r="AC164" i="28"/>
  <c r="Q164" i="28"/>
  <c r="K164" i="28"/>
  <c r="J164" i="28"/>
  <c r="I164" i="28"/>
  <c r="AL163" i="28"/>
  <c r="AK163" i="28"/>
  <c r="AJ163" i="28"/>
  <c r="AE163" i="28"/>
  <c r="AD163" i="28"/>
  <c r="AC163" i="28"/>
  <c r="Q163" i="28"/>
  <c r="K163" i="28"/>
  <c r="J163" i="28"/>
  <c r="I163" i="28"/>
  <c r="AL162" i="28"/>
  <c r="AK162" i="28"/>
  <c r="AJ162" i="28"/>
  <c r="AE162" i="28"/>
  <c r="AD162" i="28"/>
  <c r="AC162" i="28"/>
  <c r="Q162" i="28"/>
  <c r="K162" i="28"/>
  <c r="J162" i="28"/>
  <c r="I162" i="28"/>
  <c r="AL161" i="28"/>
  <c r="AK161" i="28"/>
  <c r="AJ161" i="28"/>
  <c r="AE161" i="28"/>
  <c r="AD161" i="28"/>
  <c r="AC161" i="28"/>
  <c r="Q161" i="28"/>
  <c r="K161" i="28"/>
  <c r="J161" i="28"/>
  <c r="I161" i="28"/>
  <c r="AL160" i="28"/>
  <c r="AK160" i="28"/>
  <c r="AJ160" i="28"/>
  <c r="AE160" i="28"/>
  <c r="AD160" i="28"/>
  <c r="AC160" i="28"/>
  <c r="Q160" i="28"/>
  <c r="K160" i="28"/>
  <c r="J160" i="28"/>
  <c r="I160" i="28"/>
  <c r="AL159" i="28"/>
  <c r="AK159" i="28"/>
  <c r="AJ159" i="28"/>
  <c r="AE159" i="28"/>
  <c r="AD159" i="28"/>
  <c r="AC159" i="28"/>
  <c r="Q159" i="28"/>
  <c r="K159" i="28"/>
  <c r="J159" i="28"/>
  <c r="I159" i="28"/>
  <c r="AL158" i="28"/>
  <c r="AK158" i="28"/>
  <c r="AJ158" i="28"/>
  <c r="AE158" i="28"/>
  <c r="AD158" i="28"/>
  <c r="AC158" i="28"/>
  <c r="Q158" i="28"/>
  <c r="K158" i="28"/>
  <c r="J158" i="28"/>
  <c r="I158" i="28"/>
  <c r="AL157" i="28"/>
  <c r="AK157" i="28"/>
  <c r="AJ157" i="28"/>
  <c r="AE157" i="28"/>
  <c r="AD157" i="28"/>
  <c r="AC157" i="28"/>
  <c r="Q157" i="28"/>
  <c r="K157" i="28"/>
  <c r="J157" i="28"/>
  <c r="I157" i="28"/>
  <c r="AL156" i="28"/>
  <c r="AK156" i="28"/>
  <c r="AJ156" i="28"/>
  <c r="AE156" i="28"/>
  <c r="AD156" i="28"/>
  <c r="AC156" i="28"/>
  <c r="Q156" i="28"/>
  <c r="K156" i="28"/>
  <c r="J156" i="28"/>
  <c r="I156" i="28"/>
  <c r="AL155" i="28"/>
  <c r="AK155" i="28"/>
  <c r="AJ155" i="28"/>
  <c r="AE155" i="28"/>
  <c r="AD155" i="28"/>
  <c r="AC155" i="28"/>
  <c r="Q155" i="28"/>
  <c r="K155" i="28"/>
  <c r="J155" i="28"/>
  <c r="I155" i="28"/>
  <c r="AL154" i="28"/>
  <c r="AK154" i="28"/>
  <c r="AJ154" i="28"/>
  <c r="AE154" i="28"/>
  <c r="AD154" i="28"/>
  <c r="AC154" i="28"/>
  <c r="Q154" i="28"/>
  <c r="K154" i="28"/>
  <c r="J154" i="28"/>
  <c r="I154" i="28"/>
  <c r="AK153" i="28"/>
  <c r="AJ153" i="28"/>
  <c r="AE153" i="28"/>
  <c r="AD153" i="28"/>
  <c r="AC153" i="28"/>
  <c r="Q153" i="28"/>
  <c r="K153" i="28"/>
  <c r="J153" i="28"/>
  <c r="I153" i="28"/>
  <c r="AL152" i="28"/>
  <c r="AK152" i="28"/>
  <c r="AJ152" i="28"/>
  <c r="AE152" i="28"/>
  <c r="AD152" i="28"/>
  <c r="AC152" i="28"/>
  <c r="Q152" i="28"/>
  <c r="K152" i="28"/>
  <c r="J152" i="28"/>
  <c r="I152" i="28"/>
  <c r="AL151" i="28"/>
  <c r="AK151" i="28"/>
  <c r="AJ151" i="28"/>
  <c r="AE151" i="28"/>
  <c r="AD151" i="28"/>
  <c r="AC151" i="28"/>
  <c r="Q151" i="28"/>
  <c r="K151" i="28"/>
  <c r="J151" i="28"/>
  <c r="I151" i="28"/>
  <c r="AL150" i="28"/>
  <c r="AK150" i="28"/>
  <c r="AJ150" i="28"/>
  <c r="AE150" i="28"/>
  <c r="AD150" i="28"/>
  <c r="AC150" i="28"/>
  <c r="Q150" i="28"/>
  <c r="K150" i="28"/>
  <c r="J150" i="28"/>
  <c r="I150" i="28"/>
  <c r="AK149" i="28"/>
  <c r="AJ149" i="28"/>
  <c r="AE149" i="28"/>
  <c r="AD149" i="28"/>
  <c r="AC149" i="28"/>
  <c r="Q149" i="28"/>
  <c r="K149" i="28"/>
  <c r="J149" i="28"/>
  <c r="I149" i="28"/>
  <c r="AL148" i="28"/>
  <c r="AK148" i="28"/>
  <c r="AJ148" i="28"/>
  <c r="AE148" i="28"/>
  <c r="AD148" i="28"/>
  <c r="AC148" i="28"/>
  <c r="Q148" i="28"/>
  <c r="K148" i="28"/>
  <c r="J148" i="28"/>
  <c r="I148" i="28"/>
  <c r="AL147" i="28"/>
  <c r="AK147" i="28"/>
  <c r="AJ147" i="28"/>
  <c r="AE147" i="28"/>
  <c r="AD147" i="28"/>
  <c r="AC147" i="28"/>
  <c r="Q147" i="28"/>
  <c r="K147" i="28"/>
  <c r="J147" i="28"/>
  <c r="I147" i="28"/>
  <c r="AL146" i="28"/>
  <c r="AK146" i="28"/>
  <c r="AJ146" i="28"/>
  <c r="AE146" i="28"/>
  <c r="AD146" i="28"/>
  <c r="AC146" i="28"/>
  <c r="Q146" i="28"/>
  <c r="K146" i="28"/>
  <c r="J146" i="28"/>
  <c r="I146" i="28"/>
  <c r="AL145" i="28"/>
  <c r="AK145" i="28"/>
  <c r="AJ145" i="28"/>
  <c r="AE145" i="28"/>
  <c r="AD145" i="28"/>
  <c r="AC145" i="28"/>
  <c r="Q145" i="28"/>
  <c r="K145" i="28"/>
  <c r="J145" i="28"/>
  <c r="I145" i="28"/>
  <c r="AL144" i="28"/>
  <c r="AK144" i="28"/>
  <c r="AJ144" i="28"/>
  <c r="AE144" i="28"/>
  <c r="AD144" i="28"/>
  <c r="AC144" i="28"/>
  <c r="Q144" i="28"/>
  <c r="K144" i="28"/>
  <c r="J144" i="28"/>
  <c r="I144" i="28"/>
  <c r="AL143" i="28"/>
  <c r="AK143" i="28"/>
  <c r="AJ143" i="28"/>
  <c r="AE143" i="28"/>
  <c r="AD143" i="28"/>
  <c r="AC143" i="28"/>
  <c r="Q143" i="28"/>
  <c r="K143" i="28"/>
  <c r="J143" i="28"/>
  <c r="I143" i="28"/>
  <c r="AL142" i="28"/>
  <c r="AK142" i="28"/>
  <c r="AJ142" i="28"/>
  <c r="AE142" i="28"/>
  <c r="AD142" i="28"/>
  <c r="AC142" i="28"/>
  <c r="Q142" i="28"/>
  <c r="K142" i="28"/>
  <c r="J142" i="28"/>
  <c r="I142" i="28"/>
  <c r="AL141" i="28"/>
  <c r="AK141" i="28"/>
  <c r="AJ141" i="28"/>
  <c r="AE141" i="28"/>
  <c r="AD141" i="28"/>
  <c r="AC141" i="28"/>
  <c r="Q141" i="28"/>
  <c r="K141" i="28"/>
  <c r="J141" i="28"/>
  <c r="I141" i="28"/>
  <c r="AL140" i="28"/>
  <c r="AK140" i="28"/>
  <c r="AJ140" i="28"/>
  <c r="AE140" i="28"/>
  <c r="AD140" i="28"/>
  <c r="AC140" i="28"/>
  <c r="Q140" i="28"/>
  <c r="K140" i="28"/>
  <c r="J140" i="28"/>
  <c r="I140" i="28"/>
  <c r="AK139" i="28"/>
  <c r="AJ139" i="28"/>
  <c r="AE139" i="28"/>
  <c r="AD139" i="28"/>
  <c r="AC139" i="28"/>
  <c r="Q139" i="28"/>
  <c r="K139" i="28"/>
  <c r="J139" i="28"/>
  <c r="I139" i="28"/>
  <c r="AL138" i="28"/>
  <c r="AK138" i="28"/>
  <c r="AJ138" i="28"/>
  <c r="AE138" i="28"/>
  <c r="AD138" i="28"/>
  <c r="AC138" i="28"/>
  <c r="Q138" i="28"/>
  <c r="K138" i="28"/>
  <c r="J138" i="28"/>
  <c r="I138" i="28"/>
  <c r="AL137" i="28"/>
  <c r="AK137" i="28"/>
  <c r="AJ137" i="28"/>
  <c r="AE137" i="28"/>
  <c r="AD137" i="28"/>
  <c r="AC137" i="28"/>
  <c r="Q137" i="28"/>
  <c r="K137" i="28"/>
  <c r="J137" i="28"/>
  <c r="I137" i="28"/>
  <c r="AL136" i="28"/>
  <c r="AK136" i="28"/>
  <c r="AJ136" i="28"/>
  <c r="AE136" i="28"/>
  <c r="AD136" i="28"/>
  <c r="AC136" i="28"/>
  <c r="Q136" i="28"/>
  <c r="K136" i="28"/>
  <c r="J136" i="28"/>
  <c r="I136" i="28"/>
  <c r="AK135" i="28"/>
  <c r="AJ135" i="28"/>
  <c r="AE135" i="28"/>
  <c r="AD135" i="28"/>
  <c r="AC135" i="28"/>
  <c r="Q135" i="28"/>
  <c r="K135" i="28"/>
  <c r="J135" i="28"/>
  <c r="I135" i="28"/>
  <c r="AL134" i="28"/>
  <c r="AK134" i="28"/>
  <c r="AJ134" i="28"/>
  <c r="AE134" i="28"/>
  <c r="AD134" i="28"/>
  <c r="AC134" i="28"/>
  <c r="Q134" i="28"/>
  <c r="K134" i="28"/>
  <c r="J134" i="28"/>
  <c r="I134" i="28"/>
  <c r="AL133" i="28"/>
  <c r="AK133" i="28"/>
  <c r="AJ133" i="28"/>
  <c r="AE133" i="28"/>
  <c r="AD133" i="28"/>
  <c r="AC133" i="28"/>
  <c r="Q133" i="28"/>
  <c r="K133" i="28"/>
  <c r="J133" i="28"/>
  <c r="I133" i="28"/>
  <c r="AL132" i="28"/>
  <c r="AK132" i="28"/>
  <c r="AJ132" i="28"/>
  <c r="AE132" i="28"/>
  <c r="AD132" i="28"/>
  <c r="AC132" i="28"/>
  <c r="Q132" i="28"/>
  <c r="K132" i="28"/>
  <c r="J132" i="28"/>
  <c r="I132" i="28"/>
  <c r="AL131" i="28"/>
  <c r="AK131" i="28"/>
  <c r="AJ131" i="28"/>
  <c r="AE131" i="28"/>
  <c r="AD131" i="28"/>
  <c r="AC131" i="28"/>
  <c r="Q131" i="28"/>
  <c r="K131" i="28"/>
  <c r="J131" i="28"/>
  <c r="I131" i="28"/>
  <c r="AL130" i="28"/>
  <c r="AK130" i="28"/>
  <c r="AJ130" i="28"/>
  <c r="AE130" i="28"/>
  <c r="AD130" i="28"/>
  <c r="AC130" i="28"/>
  <c r="Q130" i="28"/>
  <c r="K130" i="28"/>
  <c r="J130" i="28"/>
  <c r="I130" i="28"/>
  <c r="AL129" i="28"/>
  <c r="AK129" i="28"/>
  <c r="AJ129" i="28"/>
  <c r="AE129" i="28"/>
  <c r="AD129" i="28"/>
  <c r="AC129" i="28"/>
  <c r="Q129" i="28"/>
  <c r="K129" i="28"/>
  <c r="J129" i="28"/>
  <c r="I129" i="28"/>
  <c r="AL128" i="28"/>
  <c r="AK128" i="28"/>
  <c r="AJ128" i="28"/>
  <c r="AE128" i="28"/>
  <c r="AD128" i="28"/>
  <c r="AC128" i="28"/>
  <c r="Q128" i="28"/>
  <c r="K128" i="28"/>
  <c r="J128" i="28"/>
  <c r="I128" i="28"/>
  <c r="AL127" i="28"/>
  <c r="AK127" i="28"/>
  <c r="AJ127" i="28"/>
  <c r="AE127" i="28"/>
  <c r="AD127" i="28"/>
  <c r="AC127" i="28"/>
  <c r="Q127" i="28"/>
  <c r="K127" i="28"/>
  <c r="J127" i="28"/>
  <c r="I127" i="28"/>
  <c r="AL126" i="28"/>
  <c r="AK126" i="28"/>
  <c r="AJ126" i="28"/>
  <c r="AE126" i="28"/>
  <c r="AD126" i="28"/>
  <c r="AC126" i="28"/>
  <c r="Q126" i="28"/>
  <c r="K126" i="28"/>
  <c r="J126" i="28"/>
  <c r="I126" i="28"/>
  <c r="AL125" i="28"/>
  <c r="AK125" i="28"/>
  <c r="AJ125" i="28"/>
  <c r="AE125" i="28"/>
  <c r="AD125" i="28"/>
  <c r="AC125" i="28"/>
  <c r="Q125" i="28"/>
  <c r="K125" i="28"/>
  <c r="J125" i="28"/>
  <c r="I125" i="28"/>
  <c r="AL124" i="28"/>
  <c r="AK124" i="28"/>
  <c r="AJ124" i="28"/>
  <c r="AE124" i="28"/>
  <c r="AD124" i="28"/>
  <c r="AC124" i="28"/>
  <c r="Q124" i="28"/>
  <c r="K124" i="28"/>
  <c r="J124" i="28"/>
  <c r="I124" i="28"/>
  <c r="AL123" i="28"/>
  <c r="AK123" i="28"/>
  <c r="AJ123" i="28"/>
  <c r="AE123" i="28"/>
  <c r="AD123" i="28"/>
  <c r="AC123" i="28"/>
  <c r="Q123" i="28"/>
  <c r="K123" i="28"/>
  <c r="J123" i="28"/>
  <c r="I123" i="28"/>
  <c r="AL122" i="28"/>
  <c r="AK122" i="28"/>
  <c r="AJ122" i="28"/>
  <c r="AE122" i="28"/>
  <c r="AD122" i="28"/>
  <c r="AC122" i="28"/>
  <c r="Q122" i="28"/>
  <c r="K122" i="28"/>
  <c r="J122" i="28"/>
  <c r="I122" i="28"/>
  <c r="AL121" i="28"/>
  <c r="AK121" i="28"/>
  <c r="AJ121" i="28"/>
  <c r="AE121" i="28"/>
  <c r="AD121" i="28"/>
  <c r="AC121" i="28"/>
  <c r="Q121" i="28"/>
  <c r="K121" i="28"/>
  <c r="J121" i="28"/>
  <c r="I121" i="28"/>
  <c r="AK120" i="28"/>
  <c r="AJ120" i="28"/>
  <c r="AE120" i="28"/>
  <c r="AD120" i="28"/>
  <c r="AC120" i="28"/>
  <c r="Q120" i="28"/>
  <c r="K120" i="28"/>
  <c r="J120" i="28"/>
  <c r="I120" i="28"/>
  <c r="AL119" i="28"/>
  <c r="AK119" i="28"/>
  <c r="AJ119" i="28"/>
  <c r="AE119" i="28"/>
  <c r="AD119" i="28"/>
  <c r="AC119" i="28"/>
  <c r="Q119" i="28"/>
  <c r="K119" i="28"/>
  <c r="J119" i="28"/>
  <c r="I119" i="28"/>
  <c r="AL118" i="28"/>
  <c r="AK118" i="28"/>
  <c r="AJ118" i="28"/>
  <c r="AE118" i="28"/>
  <c r="AD118" i="28"/>
  <c r="AC118" i="28"/>
  <c r="Q118" i="28"/>
  <c r="K118" i="28"/>
  <c r="J118" i="28"/>
  <c r="I118" i="28"/>
  <c r="AL117" i="28"/>
  <c r="AK117" i="28"/>
  <c r="AJ117" i="28"/>
  <c r="AE117" i="28"/>
  <c r="AD117" i="28"/>
  <c r="AC117" i="28"/>
  <c r="Q117" i="28"/>
  <c r="K117" i="28"/>
  <c r="J117" i="28"/>
  <c r="I117" i="28"/>
  <c r="AL116" i="28"/>
  <c r="AK116" i="28"/>
  <c r="AJ116" i="28"/>
  <c r="AE116" i="28"/>
  <c r="AD116" i="28"/>
  <c r="AC116" i="28"/>
  <c r="Q116" i="28"/>
  <c r="K116" i="28"/>
  <c r="J116" i="28"/>
  <c r="I116" i="28"/>
  <c r="AL115" i="28"/>
  <c r="AK115" i="28"/>
  <c r="AJ115" i="28"/>
  <c r="AE115" i="28"/>
  <c r="AD115" i="28"/>
  <c r="AC115" i="28"/>
  <c r="Q115" i="28"/>
  <c r="K115" i="28"/>
  <c r="J115" i="28"/>
  <c r="I115" i="28"/>
  <c r="AL114" i="28"/>
  <c r="AK114" i="28"/>
  <c r="AJ114" i="28"/>
  <c r="AE114" i="28"/>
  <c r="AD114" i="28"/>
  <c r="AC114" i="28"/>
  <c r="Q114" i="28"/>
  <c r="K114" i="28"/>
  <c r="J114" i="28"/>
  <c r="I114" i="28"/>
  <c r="AL113" i="28"/>
  <c r="AK113" i="28"/>
  <c r="AJ113" i="28"/>
  <c r="AE113" i="28"/>
  <c r="AD113" i="28"/>
  <c r="AC113" i="28"/>
  <c r="Q113" i="28"/>
  <c r="K113" i="28"/>
  <c r="J113" i="28"/>
  <c r="I113" i="28"/>
  <c r="AL112" i="28"/>
  <c r="AK112" i="28"/>
  <c r="AJ112" i="28"/>
  <c r="AE112" i="28"/>
  <c r="AD112" i="28"/>
  <c r="AC112" i="28"/>
  <c r="Q112" i="28"/>
  <c r="K112" i="28"/>
  <c r="J112" i="28"/>
  <c r="I112" i="28"/>
  <c r="AL111" i="28"/>
  <c r="AK111" i="28"/>
  <c r="AJ111" i="28"/>
  <c r="AE111" i="28"/>
  <c r="AD111" i="28"/>
  <c r="AC111" i="28"/>
  <c r="Q111" i="28"/>
  <c r="K111" i="28"/>
  <c r="J111" i="28"/>
  <c r="I111" i="28"/>
  <c r="AL110" i="28"/>
  <c r="AK110" i="28"/>
  <c r="AJ110" i="28"/>
  <c r="AE110" i="28"/>
  <c r="AD110" i="28"/>
  <c r="AC110" i="28"/>
  <c r="Q110" i="28"/>
  <c r="K110" i="28"/>
  <c r="J110" i="28"/>
  <c r="I110" i="28"/>
  <c r="AL109" i="28"/>
  <c r="AK109" i="28"/>
  <c r="AJ109" i="28"/>
  <c r="AE109" i="28"/>
  <c r="AD109" i="28"/>
  <c r="AC109" i="28"/>
  <c r="Q109" i="28"/>
  <c r="K109" i="28"/>
  <c r="J109" i="28"/>
  <c r="I109" i="28"/>
  <c r="AL108" i="28"/>
  <c r="AK108" i="28"/>
  <c r="AJ108" i="28"/>
  <c r="AE108" i="28"/>
  <c r="AD108" i="28"/>
  <c r="AC108" i="28"/>
  <c r="Q108" i="28"/>
  <c r="K108" i="28"/>
  <c r="J108" i="28"/>
  <c r="I108" i="28"/>
  <c r="AL107" i="28"/>
  <c r="AK107" i="28"/>
  <c r="AJ107" i="28"/>
  <c r="AE107" i="28"/>
  <c r="AD107" i="28"/>
  <c r="AC107" i="28"/>
  <c r="Q107" i="28"/>
  <c r="K107" i="28"/>
  <c r="J107" i="28"/>
  <c r="I107" i="28"/>
  <c r="AL106" i="28"/>
  <c r="AK106" i="28"/>
  <c r="AJ106" i="28"/>
  <c r="AE106" i="28"/>
  <c r="AD106" i="28"/>
  <c r="AC106" i="28"/>
  <c r="Q106" i="28"/>
  <c r="K106" i="28"/>
  <c r="J106" i="28"/>
  <c r="I106" i="28"/>
  <c r="AL105" i="28"/>
  <c r="AK105" i="28"/>
  <c r="AJ105" i="28"/>
  <c r="AE105" i="28"/>
  <c r="AD105" i="28"/>
  <c r="AC105" i="28"/>
  <c r="Q105" i="28"/>
  <c r="K105" i="28"/>
  <c r="J105" i="28"/>
  <c r="I105" i="28"/>
  <c r="AL104" i="28"/>
  <c r="AK104" i="28"/>
  <c r="AJ104" i="28"/>
  <c r="AE104" i="28"/>
  <c r="AD104" i="28"/>
  <c r="AC104" i="28"/>
  <c r="Q104" i="28"/>
  <c r="K104" i="28"/>
  <c r="J104" i="28"/>
  <c r="I104" i="28"/>
  <c r="AL103" i="28"/>
  <c r="AK103" i="28"/>
  <c r="AJ103" i="28"/>
  <c r="AE103" i="28"/>
  <c r="AD103" i="28"/>
  <c r="AC103" i="28"/>
  <c r="Q103" i="28"/>
  <c r="K103" i="28"/>
  <c r="J103" i="28"/>
  <c r="I103" i="28"/>
  <c r="AL102" i="28"/>
  <c r="AK102" i="28"/>
  <c r="AJ102" i="28"/>
  <c r="AE102" i="28"/>
  <c r="AD102" i="28"/>
  <c r="AC102" i="28"/>
  <c r="Q102" i="28"/>
  <c r="K102" i="28"/>
  <c r="J102" i="28"/>
  <c r="I102" i="28"/>
  <c r="AL101" i="28"/>
  <c r="AK101" i="28"/>
  <c r="AJ101" i="28"/>
  <c r="AE101" i="28"/>
  <c r="AD101" i="28"/>
  <c r="AC101" i="28"/>
  <c r="Q101" i="28"/>
  <c r="K101" i="28"/>
  <c r="J101" i="28"/>
  <c r="I101" i="28"/>
  <c r="AL100" i="28"/>
  <c r="AK100" i="28"/>
  <c r="AJ100" i="28"/>
  <c r="AE100" i="28"/>
  <c r="AD100" i="28"/>
  <c r="AC100" i="28"/>
  <c r="Q100" i="28"/>
  <c r="K100" i="28"/>
  <c r="J100" i="28"/>
  <c r="I100" i="28"/>
  <c r="AL99" i="28"/>
  <c r="AK99" i="28"/>
  <c r="AJ99" i="28"/>
  <c r="AE99" i="28"/>
  <c r="AD99" i="28"/>
  <c r="AC99" i="28"/>
  <c r="Q99" i="28"/>
  <c r="K99" i="28"/>
  <c r="J99" i="28"/>
  <c r="I99" i="28"/>
  <c r="AL98" i="28"/>
  <c r="AK98" i="28"/>
  <c r="AJ98" i="28"/>
  <c r="AE98" i="28"/>
  <c r="AD98" i="28"/>
  <c r="AC98" i="28"/>
  <c r="Q98" i="28"/>
  <c r="K98" i="28"/>
  <c r="J98" i="28"/>
  <c r="I98" i="28"/>
  <c r="AK97" i="28"/>
  <c r="AJ97" i="28"/>
  <c r="AE97" i="28"/>
  <c r="AD97" i="28"/>
  <c r="AC97" i="28"/>
  <c r="Q97" i="28"/>
  <c r="K97" i="28"/>
  <c r="J97" i="28"/>
  <c r="I97" i="28"/>
  <c r="AL96" i="28"/>
  <c r="AK96" i="28"/>
  <c r="AJ96" i="28"/>
  <c r="AE96" i="28"/>
  <c r="AD96" i="28"/>
  <c r="AC96" i="28"/>
  <c r="Q96" i="28"/>
  <c r="K96" i="28"/>
  <c r="J96" i="28"/>
  <c r="I96" i="28"/>
  <c r="AL95" i="28"/>
  <c r="AK95" i="28"/>
  <c r="AJ95" i="28"/>
  <c r="AE95" i="28"/>
  <c r="AD95" i="28"/>
  <c r="AC95" i="28"/>
  <c r="Q95" i="28"/>
  <c r="K95" i="28"/>
  <c r="J95" i="28"/>
  <c r="I95" i="28"/>
  <c r="AL94" i="28"/>
  <c r="AK94" i="28"/>
  <c r="AJ94" i="28"/>
  <c r="AE94" i="28"/>
  <c r="AD94" i="28"/>
  <c r="AC94" i="28"/>
  <c r="Q94" i="28"/>
  <c r="K94" i="28"/>
  <c r="J94" i="28"/>
  <c r="I94" i="28"/>
  <c r="AL93" i="28"/>
  <c r="AK93" i="28"/>
  <c r="AJ93" i="28"/>
  <c r="AE93" i="28"/>
  <c r="AD93" i="28"/>
  <c r="AC93" i="28"/>
  <c r="Q93" i="28"/>
  <c r="K93" i="28"/>
  <c r="J93" i="28"/>
  <c r="I93" i="28"/>
  <c r="AL92" i="28"/>
  <c r="AK92" i="28"/>
  <c r="AJ92" i="28"/>
  <c r="AE92" i="28"/>
  <c r="AD92" i="28"/>
  <c r="AC92" i="28"/>
  <c r="Q92" i="28"/>
  <c r="K92" i="28"/>
  <c r="J92" i="28"/>
  <c r="I92" i="28"/>
  <c r="AL91" i="28"/>
  <c r="AK91" i="28"/>
  <c r="AJ91" i="28"/>
  <c r="AE91" i="28"/>
  <c r="AD91" i="28"/>
  <c r="AC91" i="28"/>
  <c r="Q91" i="28"/>
  <c r="K91" i="28"/>
  <c r="J91" i="28"/>
  <c r="I91" i="28"/>
  <c r="AL90" i="28"/>
  <c r="AK90" i="28"/>
  <c r="AJ90" i="28"/>
  <c r="AE90" i="28"/>
  <c r="AD90" i="28"/>
  <c r="AC90" i="28"/>
  <c r="Q90" i="28"/>
  <c r="K90" i="28"/>
  <c r="J90" i="28"/>
  <c r="I90" i="28"/>
  <c r="AL89" i="28"/>
  <c r="AK89" i="28"/>
  <c r="AJ89" i="28"/>
  <c r="AE89" i="28"/>
  <c r="AD89" i="28"/>
  <c r="AC89" i="28"/>
  <c r="Q89" i="28"/>
  <c r="K89" i="28"/>
  <c r="J89" i="28"/>
  <c r="I89" i="28"/>
  <c r="AL88" i="28"/>
  <c r="AK88" i="28"/>
  <c r="AJ88" i="28"/>
  <c r="AE88" i="28"/>
  <c r="AD88" i="28"/>
  <c r="AC88" i="28"/>
  <c r="Q88" i="28"/>
  <c r="K88" i="28"/>
  <c r="J88" i="28"/>
  <c r="I88" i="28"/>
  <c r="AL87" i="28"/>
  <c r="AK87" i="28"/>
  <c r="AJ87" i="28"/>
  <c r="AE87" i="28"/>
  <c r="AD87" i="28"/>
  <c r="AC87" i="28"/>
  <c r="Q87" i="28"/>
  <c r="K87" i="28"/>
  <c r="J87" i="28"/>
  <c r="I87" i="28"/>
  <c r="AL86" i="28"/>
  <c r="AK86" i="28"/>
  <c r="AJ86" i="28"/>
  <c r="AE86" i="28"/>
  <c r="AD86" i="28"/>
  <c r="AC86" i="28"/>
  <c r="Q86" i="28"/>
  <c r="K86" i="28"/>
  <c r="J86" i="28"/>
  <c r="I86" i="28"/>
  <c r="AL85" i="28"/>
  <c r="AK85" i="28"/>
  <c r="AJ85" i="28"/>
  <c r="AE85" i="28"/>
  <c r="AD85" i="28"/>
  <c r="AC85" i="28"/>
  <c r="Q85" i="28"/>
  <c r="K85" i="28"/>
  <c r="J85" i="28"/>
  <c r="I85" i="28"/>
  <c r="AL84" i="28"/>
  <c r="AK84" i="28"/>
  <c r="AJ84" i="28"/>
  <c r="AE84" i="28"/>
  <c r="AD84" i="28"/>
  <c r="AC84" i="28"/>
  <c r="Q84" i="28"/>
  <c r="K84" i="28"/>
  <c r="J84" i="28"/>
  <c r="I84" i="28"/>
  <c r="AL83" i="28"/>
  <c r="AK83" i="28"/>
  <c r="AJ83" i="28"/>
  <c r="AE83" i="28"/>
  <c r="AD83" i="28"/>
  <c r="AC83" i="28"/>
  <c r="Q83" i="28"/>
  <c r="K83" i="28"/>
  <c r="J83" i="28"/>
  <c r="I83" i="28"/>
  <c r="AL82" i="28"/>
  <c r="AK82" i="28"/>
  <c r="AJ82" i="28"/>
  <c r="AE82" i="28"/>
  <c r="AD82" i="28"/>
  <c r="AC82" i="28"/>
  <c r="Q82" i="28"/>
  <c r="K82" i="28"/>
  <c r="J82" i="28"/>
  <c r="I82" i="28"/>
  <c r="AL81" i="28"/>
  <c r="AK81" i="28"/>
  <c r="AJ81" i="28"/>
  <c r="AE81" i="28"/>
  <c r="AD81" i="28"/>
  <c r="AC81" i="28"/>
  <c r="Q81" i="28"/>
  <c r="K81" i="28"/>
  <c r="J81" i="28"/>
  <c r="I81" i="28"/>
  <c r="AL80" i="28"/>
  <c r="AK80" i="28"/>
  <c r="AJ80" i="28"/>
  <c r="AE80" i="28"/>
  <c r="AD80" i="28"/>
  <c r="AC80" i="28"/>
  <c r="Q80" i="28"/>
  <c r="K80" i="28"/>
  <c r="J80" i="28"/>
  <c r="I80" i="28"/>
  <c r="AL79" i="28"/>
  <c r="AK79" i="28"/>
  <c r="AJ79" i="28"/>
  <c r="AE79" i="28"/>
  <c r="AD79" i="28"/>
  <c r="AC79" i="28"/>
  <c r="Q79" i="28"/>
  <c r="K79" i="28"/>
  <c r="J79" i="28"/>
  <c r="I79" i="28"/>
  <c r="AL78" i="28"/>
  <c r="AK78" i="28"/>
  <c r="AJ78" i="28"/>
  <c r="AE78" i="28"/>
  <c r="AD78" i="28"/>
  <c r="AC78" i="28"/>
  <c r="Q78" i="28"/>
  <c r="K78" i="28"/>
  <c r="J78" i="28"/>
  <c r="I78" i="28"/>
  <c r="AL77" i="28"/>
  <c r="AK77" i="28"/>
  <c r="AJ77" i="28"/>
  <c r="AE77" i="28"/>
  <c r="AD77" i="28"/>
  <c r="AC77" i="28"/>
  <c r="Q77" i="28"/>
  <c r="K77" i="28"/>
  <c r="J77" i="28"/>
  <c r="I77" i="28"/>
  <c r="AL76" i="28"/>
  <c r="AK76" i="28"/>
  <c r="AJ76" i="28"/>
  <c r="AE76" i="28"/>
  <c r="AD76" i="28"/>
  <c r="AC76" i="28"/>
  <c r="Q76" i="28"/>
  <c r="K76" i="28"/>
  <c r="J76" i="28"/>
  <c r="I76" i="28"/>
  <c r="AL75" i="28"/>
  <c r="AK75" i="28"/>
  <c r="AJ75" i="28"/>
  <c r="AE75" i="28"/>
  <c r="AD75" i="28"/>
  <c r="AC75" i="28"/>
  <c r="Q75" i="28"/>
  <c r="K75" i="28"/>
  <c r="J75" i="28"/>
  <c r="I75" i="28"/>
  <c r="AL74" i="28"/>
  <c r="AK74" i="28"/>
  <c r="AJ74" i="28"/>
  <c r="AE74" i="28"/>
  <c r="AD74" i="28"/>
  <c r="AC74" i="28"/>
  <c r="Q74" i="28"/>
  <c r="K74" i="28"/>
  <c r="J74" i="28"/>
  <c r="I74" i="28"/>
  <c r="AL73" i="28"/>
  <c r="AK73" i="28"/>
  <c r="AJ73" i="28"/>
  <c r="AE73" i="28"/>
  <c r="AD73" i="28"/>
  <c r="AC73" i="28"/>
  <c r="Q73" i="28"/>
  <c r="K73" i="28"/>
  <c r="J73" i="28"/>
  <c r="I73" i="28"/>
  <c r="AL72" i="28"/>
  <c r="AK72" i="28"/>
  <c r="AJ72" i="28"/>
  <c r="AE72" i="28"/>
  <c r="AD72" i="28"/>
  <c r="AC72" i="28"/>
  <c r="Q72" i="28"/>
  <c r="K72" i="28"/>
  <c r="J72" i="28"/>
  <c r="I72" i="28"/>
  <c r="AL71" i="28"/>
  <c r="AK71" i="28"/>
  <c r="AJ71" i="28"/>
  <c r="AE71" i="28"/>
  <c r="AD71" i="28"/>
  <c r="AC71" i="28"/>
  <c r="Q71" i="28"/>
  <c r="K71" i="28"/>
  <c r="J71" i="28"/>
  <c r="I71" i="28"/>
  <c r="AL70" i="28"/>
  <c r="AK70" i="28"/>
  <c r="AJ70" i="28"/>
  <c r="AE70" i="28"/>
  <c r="AD70" i="28"/>
  <c r="AC70" i="28"/>
  <c r="Q70" i="28"/>
  <c r="K70" i="28"/>
  <c r="J70" i="28"/>
  <c r="I70" i="28"/>
  <c r="AL69" i="28"/>
  <c r="AK69" i="28"/>
  <c r="AJ69" i="28"/>
  <c r="AE69" i="28"/>
  <c r="AD69" i="28"/>
  <c r="AC69" i="28"/>
  <c r="Q69" i="28"/>
  <c r="K69" i="28"/>
  <c r="J69" i="28"/>
  <c r="I69" i="28"/>
  <c r="AL68" i="28"/>
  <c r="AK68" i="28"/>
  <c r="AJ68" i="28"/>
  <c r="AE68" i="28"/>
  <c r="AD68" i="28"/>
  <c r="AC68" i="28"/>
  <c r="Q68" i="28"/>
  <c r="K68" i="28"/>
  <c r="J68" i="28"/>
  <c r="I68" i="28"/>
  <c r="AL67" i="28"/>
  <c r="AK67" i="28"/>
  <c r="AJ67" i="28"/>
  <c r="AE67" i="28"/>
  <c r="AD67" i="28"/>
  <c r="AC67" i="28"/>
  <c r="Q67" i="28"/>
  <c r="K67" i="28"/>
  <c r="J67" i="28"/>
  <c r="I67" i="28"/>
  <c r="AL66" i="28"/>
  <c r="AK66" i="28"/>
  <c r="AJ66" i="28"/>
  <c r="AE66" i="28"/>
  <c r="AD66" i="28"/>
  <c r="AC66" i="28"/>
  <c r="Q66" i="28"/>
  <c r="K66" i="28"/>
  <c r="J66" i="28"/>
  <c r="I66" i="28"/>
  <c r="AL65" i="28"/>
  <c r="AK65" i="28"/>
  <c r="AJ65" i="28"/>
  <c r="AE65" i="28"/>
  <c r="AD65" i="28"/>
  <c r="AC65" i="28"/>
  <c r="Q65" i="28"/>
  <c r="K65" i="28"/>
  <c r="J65" i="28"/>
  <c r="I65" i="28"/>
  <c r="AL64" i="28"/>
  <c r="AK64" i="28"/>
  <c r="AJ64" i="28"/>
  <c r="AE64" i="28"/>
  <c r="AD64" i="28"/>
  <c r="AC64" i="28"/>
  <c r="Q64" i="28"/>
  <c r="K64" i="28"/>
  <c r="J64" i="28"/>
  <c r="I64" i="28"/>
  <c r="AL63" i="28"/>
  <c r="AK63" i="28"/>
  <c r="AJ63" i="28"/>
  <c r="AE63" i="28"/>
  <c r="AD63" i="28"/>
  <c r="AC63" i="28"/>
  <c r="Q63" i="28"/>
  <c r="K63" i="28"/>
  <c r="J63" i="28"/>
  <c r="I63" i="28"/>
  <c r="AL62" i="28"/>
  <c r="AK62" i="28"/>
  <c r="AJ62" i="28"/>
  <c r="AE62" i="28"/>
  <c r="AD62" i="28"/>
  <c r="AC62" i="28"/>
  <c r="Q62" i="28"/>
  <c r="K62" i="28"/>
  <c r="J62" i="28"/>
  <c r="I62" i="28"/>
  <c r="AL61" i="28"/>
  <c r="AK61" i="28"/>
  <c r="AJ61" i="28"/>
  <c r="AE61" i="28"/>
  <c r="AD61" i="28"/>
  <c r="AC61" i="28"/>
  <c r="Q61" i="28"/>
  <c r="K61" i="28"/>
  <c r="J61" i="28"/>
  <c r="I61" i="28"/>
  <c r="AL60" i="28"/>
  <c r="AK60" i="28"/>
  <c r="AJ60" i="28"/>
  <c r="AE60" i="28"/>
  <c r="AD60" i="28"/>
  <c r="AC60" i="28"/>
  <c r="Q60" i="28"/>
  <c r="K60" i="28"/>
  <c r="J60" i="28"/>
  <c r="I60" i="28"/>
  <c r="AL59" i="28"/>
  <c r="AK59" i="28"/>
  <c r="AJ59" i="28"/>
  <c r="AE59" i="28"/>
  <c r="AD59" i="28"/>
  <c r="AC59" i="28"/>
  <c r="Q59" i="28"/>
  <c r="K59" i="28"/>
  <c r="J59" i="28"/>
  <c r="I59" i="28"/>
  <c r="AL58" i="28"/>
  <c r="AK58" i="28"/>
  <c r="AJ58" i="28"/>
  <c r="AE58" i="28"/>
  <c r="AD58" i="28"/>
  <c r="AC58" i="28"/>
  <c r="Q58" i="28"/>
  <c r="K58" i="28"/>
  <c r="J58" i="28"/>
  <c r="I58" i="28"/>
  <c r="AK57" i="28"/>
  <c r="AJ57" i="28"/>
  <c r="AE57" i="28"/>
  <c r="AD57" i="28"/>
  <c r="AC57" i="28"/>
  <c r="Q57" i="28"/>
  <c r="K57" i="28"/>
  <c r="J57" i="28"/>
  <c r="I57" i="28"/>
  <c r="AL56" i="28"/>
  <c r="AK56" i="28"/>
  <c r="AJ56" i="28"/>
  <c r="AE56" i="28"/>
  <c r="AD56" i="28"/>
  <c r="AC56" i="28"/>
  <c r="Q56" i="28"/>
  <c r="K56" i="28"/>
  <c r="J56" i="28"/>
  <c r="I56" i="28"/>
  <c r="AL55" i="28"/>
  <c r="AK55" i="28"/>
  <c r="AJ55" i="28"/>
  <c r="AE55" i="28"/>
  <c r="AD55" i="28"/>
  <c r="AC55" i="28"/>
  <c r="Q55" i="28"/>
  <c r="K55" i="28"/>
  <c r="J55" i="28"/>
  <c r="I55" i="28"/>
  <c r="AL54" i="28"/>
  <c r="AK54" i="28"/>
  <c r="AJ54" i="28"/>
  <c r="AE54" i="28"/>
  <c r="AD54" i="28"/>
  <c r="AC54" i="28"/>
  <c r="Q54" i="28"/>
  <c r="K54" i="28"/>
  <c r="J54" i="28"/>
  <c r="I54" i="28"/>
  <c r="AL53" i="28"/>
  <c r="AK53" i="28"/>
  <c r="AJ53" i="28"/>
  <c r="AE53" i="28"/>
  <c r="AD53" i="28"/>
  <c r="AC53" i="28"/>
  <c r="Q53" i="28"/>
  <c r="K53" i="28"/>
  <c r="J53" i="28"/>
  <c r="I53" i="28"/>
  <c r="AL52" i="28"/>
  <c r="AK52" i="28"/>
  <c r="AJ52" i="28"/>
  <c r="AE52" i="28"/>
  <c r="AD52" i="28"/>
  <c r="AC52" i="28"/>
  <c r="Q52" i="28"/>
  <c r="K52" i="28"/>
  <c r="J52" i="28"/>
  <c r="I52" i="28"/>
  <c r="AL51" i="28"/>
  <c r="AK51" i="28"/>
  <c r="AJ51" i="28"/>
  <c r="AE51" i="28"/>
  <c r="AD51" i="28"/>
  <c r="AC51" i="28"/>
  <c r="Q51" i="28"/>
  <c r="K51" i="28"/>
  <c r="J51" i="28"/>
  <c r="I51" i="28"/>
  <c r="AL50" i="28"/>
  <c r="AK50" i="28"/>
  <c r="AJ50" i="28"/>
  <c r="AE50" i="28"/>
  <c r="AD50" i="28"/>
  <c r="AC50" i="28"/>
  <c r="Q50" i="28"/>
  <c r="K50" i="28"/>
  <c r="J50" i="28"/>
  <c r="I50" i="28"/>
  <c r="AL49" i="28"/>
  <c r="AK49" i="28"/>
  <c r="AJ49" i="28"/>
  <c r="AE49" i="28"/>
  <c r="AD49" i="28"/>
  <c r="AC49" i="28"/>
  <c r="Q49" i="28"/>
  <c r="K49" i="28"/>
  <c r="J49" i="28"/>
  <c r="I49" i="28"/>
  <c r="AL48" i="28"/>
  <c r="AK48" i="28"/>
  <c r="AJ48" i="28"/>
  <c r="AE48" i="28"/>
  <c r="AD48" i="28"/>
  <c r="AC48" i="28"/>
  <c r="Q48" i="28"/>
  <c r="K48" i="28"/>
  <c r="J48" i="28"/>
  <c r="I48" i="28"/>
  <c r="AL47" i="28"/>
  <c r="AK47" i="28"/>
  <c r="AJ47" i="28"/>
  <c r="AE47" i="28"/>
  <c r="AD47" i="28"/>
  <c r="AC47" i="28"/>
  <c r="Q47" i="28"/>
  <c r="K47" i="28"/>
  <c r="J47" i="28"/>
  <c r="I47" i="28"/>
  <c r="AL46" i="28"/>
  <c r="AK46" i="28"/>
  <c r="AJ46" i="28"/>
  <c r="AE46" i="28"/>
  <c r="AD46" i="28"/>
  <c r="AC46" i="28"/>
  <c r="Q46" i="28"/>
  <c r="K46" i="28"/>
  <c r="J46" i="28"/>
  <c r="I46" i="28"/>
  <c r="AL45" i="28"/>
  <c r="AK45" i="28"/>
  <c r="AJ45" i="28"/>
  <c r="AE45" i="28"/>
  <c r="AD45" i="28"/>
  <c r="AC45" i="28"/>
  <c r="Q45" i="28"/>
  <c r="K45" i="28"/>
  <c r="J45" i="28"/>
  <c r="I45" i="28"/>
  <c r="AL44" i="28"/>
  <c r="AK44" i="28"/>
  <c r="AJ44" i="28"/>
  <c r="AE44" i="28"/>
  <c r="AD44" i="28"/>
  <c r="AC44" i="28"/>
  <c r="Q44" i="28"/>
  <c r="K44" i="28"/>
  <c r="J44" i="28"/>
  <c r="I44" i="28"/>
  <c r="AL43" i="28"/>
  <c r="AK43" i="28"/>
  <c r="AJ43" i="28"/>
  <c r="AE43" i="28"/>
  <c r="AD43" i="28"/>
  <c r="AC43" i="28"/>
  <c r="Q43" i="28"/>
  <c r="K43" i="28"/>
  <c r="J43" i="28"/>
  <c r="I43" i="28"/>
  <c r="AL42" i="28"/>
  <c r="AK42" i="28"/>
  <c r="AJ42" i="28"/>
  <c r="AE42" i="28"/>
  <c r="AD42" i="28"/>
  <c r="AC42" i="28"/>
  <c r="Q42" i="28"/>
  <c r="K42" i="28"/>
  <c r="J42" i="28"/>
  <c r="I42" i="28"/>
  <c r="AL41" i="28"/>
  <c r="AK41" i="28"/>
  <c r="AJ41" i="28"/>
  <c r="AE41" i="28"/>
  <c r="AD41" i="28"/>
  <c r="AC41" i="28"/>
  <c r="Q41" i="28"/>
  <c r="K41" i="28"/>
  <c r="J41" i="28"/>
  <c r="I41" i="28"/>
  <c r="AL40" i="28"/>
  <c r="AK40" i="28"/>
  <c r="AJ40" i="28"/>
  <c r="AE40" i="28"/>
  <c r="AD40" i="28"/>
  <c r="AC40" i="28"/>
  <c r="Q40" i="28"/>
  <c r="K40" i="28"/>
  <c r="J40" i="28"/>
  <c r="I40" i="28"/>
  <c r="AL39" i="28"/>
  <c r="AK39" i="28"/>
  <c r="AJ39" i="28"/>
  <c r="AE39" i="28"/>
  <c r="AD39" i="28"/>
  <c r="AC39" i="28"/>
  <c r="Q39" i="28"/>
  <c r="K39" i="28"/>
  <c r="J39" i="28"/>
  <c r="I39" i="28"/>
  <c r="AL38" i="28"/>
  <c r="AK38" i="28"/>
  <c r="AJ38" i="28"/>
  <c r="AE38" i="28"/>
  <c r="AD38" i="28"/>
  <c r="AC38" i="28"/>
  <c r="Q38" i="28"/>
  <c r="K38" i="28"/>
  <c r="J38" i="28"/>
  <c r="I38" i="28"/>
  <c r="AL37" i="28"/>
  <c r="AK37" i="28"/>
  <c r="AJ37" i="28"/>
  <c r="AE37" i="28"/>
  <c r="AD37" i="28"/>
  <c r="AC37" i="28"/>
  <c r="Q37" i="28"/>
  <c r="K37" i="28"/>
  <c r="J37" i="28"/>
  <c r="I37" i="28"/>
  <c r="AL36" i="28"/>
  <c r="AK36" i="28"/>
  <c r="AJ36" i="28"/>
  <c r="AE36" i="28"/>
  <c r="AD36" i="28"/>
  <c r="AC36" i="28"/>
  <c r="Q36" i="28"/>
  <c r="K36" i="28"/>
  <c r="J36" i="28"/>
  <c r="I36" i="28"/>
  <c r="AL35" i="28"/>
  <c r="AK35" i="28"/>
  <c r="AJ35" i="28"/>
  <c r="AE35" i="28"/>
  <c r="AD35" i="28"/>
  <c r="AC35" i="28"/>
  <c r="Q35" i="28"/>
  <c r="K35" i="28"/>
  <c r="J35" i="28"/>
  <c r="I35" i="28"/>
  <c r="AL34" i="28"/>
  <c r="AK34" i="28"/>
  <c r="AJ34" i="28"/>
  <c r="AE34" i="28"/>
  <c r="AD34" i="28"/>
  <c r="AC34" i="28"/>
  <c r="Q34" i="28"/>
  <c r="K34" i="28"/>
  <c r="J34" i="28"/>
  <c r="I34" i="28"/>
  <c r="AL33" i="28"/>
  <c r="AK33" i="28"/>
  <c r="AJ33" i="28"/>
  <c r="AE33" i="28"/>
  <c r="AD33" i="28"/>
  <c r="AC33" i="28"/>
  <c r="Q33" i="28"/>
  <c r="K33" i="28"/>
  <c r="J33" i="28"/>
  <c r="I33" i="28"/>
  <c r="AL32" i="28"/>
  <c r="AK32" i="28"/>
  <c r="AJ32" i="28"/>
  <c r="AE32" i="28"/>
  <c r="AD32" i="28"/>
  <c r="AC32" i="28"/>
  <c r="Q32" i="28"/>
  <c r="K32" i="28"/>
  <c r="J32" i="28"/>
  <c r="I32" i="28"/>
  <c r="AL31" i="28"/>
  <c r="AK31" i="28"/>
  <c r="AJ31" i="28"/>
  <c r="AE31" i="28"/>
  <c r="AD31" i="28"/>
  <c r="AC31" i="28"/>
  <c r="Q31" i="28"/>
  <c r="K31" i="28"/>
  <c r="J31" i="28"/>
  <c r="I31" i="28"/>
  <c r="AL30" i="28"/>
  <c r="AK30" i="28"/>
  <c r="AJ30" i="28"/>
  <c r="AE30" i="28"/>
  <c r="AD30" i="28"/>
  <c r="AC30" i="28"/>
  <c r="Q30" i="28"/>
  <c r="K30" i="28"/>
  <c r="J30" i="28"/>
  <c r="I30" i="28"/>
  <c r="AK29" i="28"/>
  <c r="AJ29" i="28"/>
  <c r="AE29" i="28"/>
  <c r="AD29" i="28"/>
  <c r="AC29" i="28"/>
  <c r="Q29" i="28"/>
  <c r="K29" i="28"/>
  <c r="J29" i="28"/>
  <c r="I29" i="28"/>
  <c r="AL28" i="28"/>
  <c r="AK28" i="28"/>
  <c r="AJ28" i="28"/>
  <c r="AE28" i="28"/>
  <c r="AD28" i="28"/>
  <c r="AC28" i="28"/>
  <c r="Q28" i="28"/>
  <c r="K28" i="28"/>
  <c r="J28" i="28"/>
  <c r="I28" i="28"/>
  <c r="AL27" i="28"/>
  <c r="AK27" i="28"/>
  <c r="AJ27" i="28"/>
  <c r="AE27" i="28"/>
  <c r="AD27" i="28"/>
  <c r="AC27" i="28"/>
  <c r="Q27" i="28"/>
  <c r="K27" i="28"/>
  <c r="J27" i="28"/>
  <c r="I27" i="28"/>
  <c r="AL26" i="28"/>
  <c r="AK26" i="28"/>
  <c r="AJ26" i="28"/>
  <c r="AE26" i="28"/>
  <c r="AD26" i="28"/>
  <c r="AC26" i="28"/>
  <c r="Q26" i="28"/>
  <c r="K26" i="28"/>
  <c r="J26" i="28"/>
  <c r="I26" i="28"/>
  <c r="AL25" i="28"/>
  <c r="AK25" i="28"/>
  <c r="AJ25" i="28"/>
  <c r="AE25" i="28"/>
  <c r="AD25" i="28"/>
  <c r="AC25" i="28"/>
  <c r="Q25" i="28"/>
  <c r="K25" i="28"/>
  <c r="J25" i="28"/>
  <c r="I25" i="28"/>
  <c r="AL24" i="28"/>
  <c r="AK24" i="28"/>
  <c r="AJ24" i="28"/>
  <c r="AE24" i="28"/>
  <c r="AD24" i="28"/>
  <c r="AC24" i="28"/>
  <c r="Q24" i="28"/>
  <c r="K24" i="28"/>
  <c r="J24" i="28"/>
  <c r="I24" i="28"/>
  <c r="AL23" i="28"/>
  <c r="AK23" i="28"/>
  <c r="AJ23" i="28"/>
  <c r="AE23" i="28"/>
  <c r="AD23" i="28"/>
  <c r="AC23" i="28"/>
  <c r="Q23" i="28"/>
  <c r="K23" i="28"/>
  <c r="J23" i="28"/>
  <c r="I23" i="28"/>
  <c r="AL22" i="28"/>
  <c r="AK22" i="28"/>
  <c r="AJ22" i="28"/>
  <c r="AE22" i="28"/>
  <c r="AD22" i="28"/>
  <c r="AC22" i="28"/>
  <c r="Q22" i="28"/>
  <c r="K22" i="28"/>
  <c r="J22" i="28"/>
  <c r="I22" i="28"/>
  <c r="AL21" i="28"/>
  <c r="AK21" i="28"/>
  <c r="AJ21" i="28"/>
  <c r="AE21" i="28"/>
  <c r="AD21" i="28"/>
  <c r="AC21" i="28"/>
  <c r="Q21" i="28"/>
  <c r="K21" i="28"/>
  <c r="J21" i="28"/>
  <c r="I21" i="28"/>
  <c r="AL20" i="28"/>
  <c r="AK20" i="28"/>
  <c r="AJ20" i="28"/>
  <c r="AE20" i="28"/>
  <c r="AD20" i="28"/>
  <c r="AC20" i="28"/>
  <c r="Q20" i="28"/>
  <c r="K20" i="28"/>
  <c r="J20" i="28"/>
  <c r="I20" i="28"/>
  <c r="AL19" i="28"/>
  <c r="AK19" i="28"/>
  <c r="AJ19" i="28"/>
  <c r="AE19" i="28"/>
  <c r="AD19" i="28"/>
  <c r="AC19" i="28"/>
  <c r="Q19" i="28"/>
  <c r="K19" i="28"/>
  <c r="J19" i="28"/>
  <c r="I19" i="28"/>
  <c r="AL18" i="28"/>
  <c r="AK18" i="28"/>
  <c r="AJ18" i="28"/>
  <c r="AE18" i="28"/>
  <c r="AD18" i="28"/>
  <c r="AC18" i="28"/>
  <c r="Q18" i="28"/>
  <c r="K18" i="28"/>
  <c r="J18" i="28"/>
  <c r="I18" i="28"/>
  <c r="AL17" i="28"/>
  <c r="AK17" i="28"/>
  <c r="AJ17" i="28"/>
  <c r="AE17" i="28"/>
  <c r="AD17" i="28"/>
  <c r="AC17" i="28"/>
  <c r="Q17" i="28"/>
  <c r="K17" i="28"/>
  <c r="J17" i="28"/>
  <c r="I17" i="28"/>
  <c r="AL16" i="28"/>
  <c r="AK16" i="28"/>
  <c r="AJ16" i="28"/>
  <c r="AE16" i="28"/>
  <c r="AD16" i="28"/>
  <c r="AC16" i="28"/>
  <c r="Q16" i="28"/>
  <c r="K16" i="28"/>
  <c r="J16" i="28"/>
  <c r="I16" i="28"/>
  <c r="AL15" i="28"/>
  <c r="AK15" i="28"/>
  <c r="AJ15" i="28"/>
  <c r="AE15" i="28"/>
  <c r="AD15" i="28"/>
  <c r="AC15" i="28"/>
  <c r="Q15" i="28"/>
  <c r="K15" i="28"/>
  <c r="J15" i="28"/>
  <c r="I15" i="28"/>
  <c r="AL14" i="28"/>
  <c r="AK14" i="28"/>
  <c r="AJ14" i="28"/>
  <c r="AE14" i="28"/>
  <c r="AD14" i="28"/>
  <c r="AC14" i="28"/>
  <c r="Q14" i="28"/>
  <c r="K14" i="28"/>
  <c r="J14" i="28"/>
  <c r="I14" i="28"/>
  <c r="AL13" i="28"/>
  <c r="AK13" i="28"/>
  <c r="AJ13" i="28"/>
  <c r="AE13" i="28"/>
  <c r="AD13" i="28"/>
  <c r="AC13" i="28"/>
  <c r="Q13" i="28"/>
  <c r="K13" i="28"/>
  <c r="J13" i="28"/>
  <c r="I13" i="28"/>
  <c r="AL12" i="28"/>
  <c r="AK12" i="28"/>
  <c r="AJ12" i="28"/>
  <c r="AE12" i="28"/>
  <c r="AD12" i="28"/>
  <c r="AC12" i="28"/>
  <c r="Q12" i="28"/>
  <c r="K12" i="28"/>
  <c r="J12" i="28"/>
  <c r="I12" i="28"/>
  <c r="AL11" i="28"/>
  <c r="AK11" i="28"/>
  <c r="AJ11" i="28"/>
  <c r="AE11" i="28"/>
  <c r="AD11" i="28"/>
  <c r="AC11" i="28"/>
  <c r="Q11" i="28"/>
  <c r="K11" i="28"/>
  <c r="J11" i="28"/>
  <c r="I11" i="28"/>
  <c r="AL10" i="28"/>
  <c r="AK10" i="28"/>
  <c r="AJ10" i="28"/>
  <c r="AE10" i="28"/>
  <c r="AD10" i="28"/>
  <c r="AC10" i="28"/>
  <c r="Q10" i="28"/>
  <c r="K10" i="28"/>
  <c r="J10" i="28"/>
  <c r="I10" i="28"/>
  <c r="AL9" i="28"/>
  <c r="AK9" i="28"/>
  <c r="AJ9" i="28"/>
  <c r="AE9" i="28"/>
  <c r="AD9" i="28"/>
  <c r="AC9" i="28"/>
  <c r="Q9" i="28"/>
  <c r="K9" i="28"/>
  <c r="J9" i="28"/>
  <c r="I9" i="28"/>
  <c r="AL8" i="28"/>
  <c r="AK8" i="28"/>
  <c r="AJ8" i="28"/>
  <c r="AE8" i="28"/>
  <c r="AD8" i="28"/>
  <c r="AC8" i="28"/>
  <c r="Q8" i="28"/>
  <c r="K8" i="28"/>
  <c r="J8" i="28"/>
  <c r="I8" i="28"/>
  <c r="AL7" i="28"/>
  <c r="AK7" i="28"/>
  <c r="AJ7" i="28"/>
  <c r="AE7" i="28"/>
  <c r="AD7" i="28"/>
  <c r="AC7" i="28"/>
  <c r="Q7" i="28"/>
  <c r="K7" i="28"/>
  <c r="J7" i="28"/>
  <c r="I7" i="28"/>
  <c r="AK6" i="28"/>
  <c r="AJ6" i="28"/>
  <c r="AE6" i="28"/>
  <c r="AD6" i="28"/>
  <c r="AC6" i="28"/>
  <c r="Q6" i="28"/>
  <c r="K6" i="28"/>
  <c r="J6" i="28"/>
  <c r="I6" i="28"/>
  <c r="AL5" i="28"/>
  <c r="AK5" i="28"/>
  <c r="AJ5" i="28"/>
  <c r="AE5" i="28"/>
  <c r="AD5" i="28"/>
  <c r="AC5" i="28"/>
  <c r="Q5" i="28"/>
  <c r="K5" i="28"/>
  <c r="J5" i="28"/>
  <c r="I5" i="28"/>
  <c r="AK4" i="28"/>
  <c r="AJ4" i="28"/>
  <c r="AE4" i="28"/>
  <c r="AD4" i="28"/>
  <c r="AC4" i="28"/>
  <c r="Q4" i="28"/>
  <c r="K4" i="28"/>
  <c r="J4" i="28"/>
  <c r="I4" i="28"/>
  <c r="AL3" i="28"/>
  <c r="AK3" i="28"/>
  <c r="AJ3" i="28"/>
  <c r="AE3" i="28"/>
  <c r="AD3" i="28"/>
  <c r="AC3" i="28"/>
  <c r="Q3" i="28"/>
  <c r="K3" i="28"/>
  <c r="J3" i="28"/>
  <c r="I3" i="28"/>
  <c r="AL2" i="28"/>
  <c r="AK2" i="28"/>
  <c r="AJ2" i="28"/>
  <c r="AE2" i="28"/>
  <c r="AD2" i="28"/>
  <c r="AC2" i="28"/>
  <c r="Q2" i="28"/>
  <c r="K2" i="28"/>
  <c r="J2" i="28"/>
  <c r="I2" i="28"/>
  <c r="AN9" i="20"/>
  <c r="AN19" i="20"/>
  <c r="AN35" i="20"/>
  <c r="AN70" i="20"/>
  <c r="AN71" i="20"/>
  <c r="AN83" i="20"/>
  <c r="AN97" i="20"/>
  <c r="AN109" i="20"/>
  <c r="AN114" i="20"/>
  <c r="AN120" i="20"/>
  <c r="AN168" i="20"/>
  <c r="AN203" i="20"/>
  <c r="AN216" i="20"/>
  <c r="AN248" i="20"/>
  <c r="AN261" i="20"/>
  <c r="AN283" i="20"/>
  <c r="AN295" i="20"/>
  <c r="AN300" i="20"/>
  <c r="AN309" i="20"/>
  <c r="AN333" i="20"/>
  <c r="AN363" i="20"/>
  <c r="AN367" i="20"/>
  <c r="AN3" i="20"/>
  <c r="AN30" i="20"/>
  <c r="AN41" i="20"/>
  <c r="AN85" i="20"/>
  <c r="AN121" i="20"/>
  <c r="AN139" i="20"/>
  <c r="AN194" i="20"/>
  <c r="AN221" i="20"/>
  <c r="AN237" i="20"/>
  <c r="AN250" i="20"/>
  <c r="AN263" i="20"/>
  <c r="AN267" i="20"/>
  <c r="AN271" i="20"/>
  <c r="AN294" i="20"/>
  <c r="AN305" i="20"/>
  <c r="AN318" i="20"/>
  <c r="AN329" i="20"/>
  <c r="AN347" i="20"/>
  <c r="AN370" i="20"/>
  <c r="AN79" i="20"/>
  <c r="AN103" i="20"/>
  <c r="AN182" i="20"/>
  <c r="AN193" i="20"/>
  <c r="AN228" i="20"/>
  <c r="AN306" i="20"/>
  <c r="AN324" i="20"/>
  <c r="AN372" i="20"/>
  <c r="AN14" i="20"/>
  <c r="AN22" i="20"/>
  <c r="AN69" i="20"/>
  <c r="AN116" i="20"/>
  <c r="AN127" i="20"/>
  <c r="AN130" i="20"/>
  <c r="AN143" i="20"/>
  <c r="AN156" i="20"/>
  <c r="AN178" i="20"/>
  <c r="AN184" i="20"/>
  <c r="AN195" i="20"/>
  <c r="AN218" i="20"/>
  <c r="AN242" i="20"/>
  <c r="AN262" i="20"/>
  <c r="AN278" i="20"/>
  <c r="AN280" i="20"/>
  <c r="AN288" i="20"/>
  <c r="AN287" i="20"/>
  <c r="AN289" i="20"/>
  <c r="AN331" i="20"/>
  <c r="AN353" i="20"/>
  <c r="AN356" i="20"/>
  <c r="AN45" i="20"/>
  <c r="AN77" i="20"/>
  <c r="AN110" i="20"/>
  <c r="AN146" i="20"/>
  <c r="AN196" i="20"/>
  <c r="AN234" i="20"/>
  <c r="AN260" i="20"/>
  <c r="AN275" i="20"/>
  <c r="AN284" i="20"/>
  <c r="AN303" i="20"/>
  <c r="AN344" i="20"/>
  <c r="AN359" i="20"/>
  <c r="AN34" i="20"/>
  <c r="AN42" i="20"/>
  <c r="AN54" i="20"/>
  <c r="AN68" i="20"/>
  <c r="AN86" i="20"/>
  <c r="AN119" i="20"/>
  <c r="AN148" i="20"/>
  <c r="AN199" i="20"/>
  <c r="AN207" i="20"/>
  <c r="AN249" i="20"/>
  <c r="AN270" i="20"/>
  <c r="AN292" i="20"/>
  <c r="AN297" i="20"/>
  <c r="AN304" i="20"/>
  <c r="AN322" i="20"/>
  <c r="AN339" i="20"/>
  <c r="AN368" i="20"/>
  <c r="AN4" i="20"/>
  <c r="AN8" i="20"/>
  <c r="AN43" i="20"/>
  <c r="AN46" i="20"/>
  <c r="AN52" i="20"/>
  <c r="AN53" i="20"/>
  <c r="AN61" i="20"/>
  <c r="AN84" i="20"/>
  <c r="AN104" i="20"/>
  <c r="AN108" i="20"/>
  <c r="AN118" i="20"/>
  <c r="AN147" i="20"/>
  <c r="AN179" i="20"/>
  <c r="AN183" i="20"/>
  <c r="AN192" i="20"/>
  <c r="AN209" i="20"/>
  <c r="AN236" i="20"/>
  <c r="AN243" i="20"/>
  <c r="AN256" i="20"/>
  <c r="AN266" i="20"/>
  <c r="AN274" i="20"/>
  <c r="AN282" i="20"/>
  <c r="AN290" i="20"/>
  <c r="AN312" i="20"/>
  <c r="AN317" i="20"/>
  <c r="AN328" i="20"/>
  <c r="AN340" i="20"/>
  <c r="AN355" i="20"/>
  <c r="AN2" i="20"/>
  <c r="AN6" i="20"/>
  <c r="AN29" i="20"/>
  <c r="AN31" i="20"/>
  <c r="AN59" i="20"/>
  <c r="AN62" i="20"/>
  <c r="AN115" i="20"/>
  <c r="AN150" i="20"/>
  <c r="AN171" i="20"/>
  <c r="AN186" i="20"/>
  <c r="AN202" i="20"/>
  <c r="AN210" i="20"/>
  <c r="AN222" i="20"/>
  <c r="AN240" i="20"/>
  <c r="AN253" i="20"/>
  <c r="AN281" i="20"/>
  <c r="AN336" i="20"/>
  <c r="AN27" i="20"/>
  <c r="AN32" i="20"/>
  <c r="AN39" i="20"/>
  <c r="AN65" i="20"/>
  <c r="AN91" i="20"/>
  <c r="AN113" i="20"/>
  <c r="AN125" i="20"/>
  <c r="AN161" i="20"/>
  <c r="AN187" i="20"/>
  <c r="AN204" i="20"/>
  <c r="AN258" i="20"/>
  <c r="AN285" i="20"/>
  <c r="AN296" i="20"/>
  <c r="AN301" i="20"/>
  <c r="AN325" i="20"/>
  <c r="AN5" i="20"/>
  <c r="AN11" i="20"/>
  <c r="AN24" i="20"/>
  <c r="AN58" i="20"/>
  <c r="AN88" i="20"/>
  <c r="AN89" i="20"/>
  <c r="AN129" i="20"/>
  <c r="AN140" i="20"/>
  <c r="AN151" i="20"/>
  <c r="AN155" i="20"/>
  <c r="AN159" i="20"/>
  <c r="AN166" i="20"/>
  <c r="AN173" i="20"/>
  <c r="AN188" i="20"/>
  <c r="AN197" i="20"/>
  <c r="AN205" i="20"/>
  <c r="AN213" i="20"/>
  <c r="AN225" i="20"/>
  <c r="AN229" i="20"/>
  <c r="AN252" i="20"/>
  <c r="AN246" i="20"/>
  <c r="AN277" i="20"/>
  <c r="AN299" i="20"/>
  <c r="AN313" i="20"/>
  <c r="AN320" i="20"/>
  <c r="AN332" i="20"/>
  <c r="AN335" i="20"/>
  <c r="AN350" i="20"/>
  <c r="AN360" i="20"/>
  <c r="AN361" i="20"/>
  <c r="AN7" i="20"/>
  <c r="AN21" i="20"/>
  <c r="AN17" i="20"/>
  <c r="AN49" i="20"/>
  <c r="AN55" i="20"/>
  <c r="AN57" i="20"/>
  <c r="AN60" i="20"/>
  <c r="AN64" i="20"/>
  <c r="AN82" i="20"/>
  <c r="AN100" i="20"/>
  <c r="AN112" i="20"/>
  <c r="AN117" i="20"/>
  <c r="AN124" i="20"/>
  <c r="AN138" i="20"/>
  <c r="AN165" i="20"/>
  <c r="AN167" i="20"/>
  <c r="AN174" i="20"/>
  <c r="AN198" i="20"/>
  <c r="AN201" i="20"/>
  <c r="AN226" i="20"/>
  <c r="AN251" i="20"/>
  <c r="AN255" i="20"/>
  <c r="AN269" i="20"/>
  <c r="AN291" i="20"/>
  <c r="AN302" i="20"/>
  <c r="AN308" i="20"/>
  <c r="AN314" i="20"/>
  <c r="AN365" i="20"/>
  <c r="AN369" i="20"/>
  <c r="AN16" i="20"/>
  <c r="AN44" i="20"/>
  <c r="AN50" i="20"/>
  <c r="AN67" i="20"/>
  <c r="AN80" i="20"/>
  <c r="AN102" i="20"/>
  <c r="AN123" i="20"/>
  <c r="AN158" i="20"/>
  <c r="AN164" i="20"/>
  <c r="AN181" i="20"/>
  <c r="AN189" i="20"/>
  <c r="AN223" i="20"/>
  <c r="AN247" i="20"/>
  <c r="AN257" i="20"/>
  <c r="AN279" i="20"/>
  <c r="AN286" i="20"/>
  <c r="AN323" i="20"/>
  <c r="AN351" i="20"/>
  <c r="AN12" i="20"/>
  <c r="AN15" i="20"/>
  <c r="AN20" i="20"/>
  <c r="AN74" i="20"/>
  <c r="AN93" i="20"/>
  <c r="AN96" i="20"/>
  <c r="AN128" i="20"/>
  <c r="AN141" i="20"/>
  <c r="AN152" i="20"/>
  <c r="AN177" i="20"/>
  <c r="AN211" i="20"/>
  <c r="AN219" i="20"/>
  <c r="AN217" i="20"/>
  <c r="AN235" i="20"/>
  <c r="AN265" i="20"/>
  <c r="AN311" i="20"/>
  <c r="AN319" i="20"/>
  <c r="AN330" i="20"/>
  <c r="AN345" i="20"/>
  <c r="AN348" i="20"/>
  <c r="AN362" i="20"/>
  <c r="AN18" i="20"/>
  <c r="AN25" i="20"/>
  <c r="AN40" i="20"/>
  <c r="AN56" i="20"/>
  <c r="AN66" i="20"/>
  <c r="AN72" i="20"/>
  <c r="AN73" i="20"/>
  <c r="AN75" i="20"/>
  <c r="AN87" i="20"/>
  <c r="AN94" i="20"/>
  <c r="AN101" i="20"/>
  <c r="AN111" i="20"/>
  <c r="AN131" i="20"/>
  <c r="AN142" i="20"/>
  <c r="AN154" i="20"/>
  <c r="AN169" i="20"/>
  <c r="AN175" i="20"/>
  <c r="AN176" i="20"/>
  <c r="AN200" i="20"/>
  <c r="AN215" i="20"/>
  <c r="AN232" i="20"/>
  <c r="AN233" i="20"/>
  <c r="AN254" i="20"/>
  <c r="AN264" i="20"/>
  <c r="AN316" i="20"/>
  <c r="AN338" i="20"/>
  <c r="AN346" i="20"/>
  <c r="AN349" i="20"/>
  <c r="AN373" i="20"/>
  <c r="AN371" i="20"/>
  <c r="AN13" i="20"/>
  <c r="AN26" i="20"/>
  <c r="AN38" i="20"/>
  <c r="AN51" i="20"/>
  <c r="AN78" i="20"/>
  <c r="AN99" i="20"/>
  <c r="AN105" i="20"/>
  <c r="AN134" i="20"/>
  <c r="AN160" i="20"/>
  <c r="AN172" i="20"/>
  <c r="AN185" i="20"/>
  <c r="AN191" i="20"/>
  <c r="AN212" i="20"/>
  <c r="AN273" i="20"/>
  <c r="AN310" i="20"/>
  <c r="AN315" i="20"/>
  <c r="AN326" i="20"/>
  <c r="AN352" i="20"/>
  <c r="AN33" i="20"/>
  <c r="AN37" i="20"/>
  <c r="AN81" i="20"/>
  <c r="AN92" i="20"/>
  <c r="AN106" i="20"/>
  <c r="AN122" i="20"/>
  <c r="AN132" i="20"/>
  <c r="AN145" i="20"/>
  <c r="AN163" i="20"/>
  <c r="AN180" i="20"/>
  <c r="AN190" i="20"/>
  <c r="AN220" i="20"/>
  <c r="AN259" i="20"/>
  <c r="AN268" i="20"/>
  <c r="AN327" i="20"/>
  <c r="AN341" i="20"/>
  <c r="AN354" i="20"/>
  <c r="AN10" i="20"/>
  <c r="AN47" i="20"/>
  <c r="AN48" i="20"/>
  <c r="AN63" i="20"/>
  <c r="AN95" i="20"/>
  <c r="AN107" i="20"/>
  <c r="AN126" i="20"/>
  <c r="AN135" i="20"/>
  <c r="AN137" i="20"/>
  <c r="AN144" i="20"/>
  <c r="AN153" i="20"/>
  <c r="AN208" i="20"/>
  <c r="AN206" i="20"/>
  <c r="AN231" i="20"/>
  <c r="AN245" i="20"/>
  <c r="AN276" i="20"/>
  <c r="AN293" i="20"/>
  <c r="AN307" i="20"/>
  <c r="AN321" i="20"/>
  <c r="AN342" i="20"/>
  <c r="AN364" i="20"/>
  <c r="AN23" i="20"/>
  <c r="AN28" i="20"/>
  <c r="AN36" i="20"/>
  <c r="AN76" i="20"/>
  <c r="AN90" i="20"/>
  <c r="AN98" i="20"/>
  <c r="AN133" i="20"/>
  <c r="AN136" i="20"/>
  <c r="AN149" i="20"/>
  <c r="AN157" i="20"/>
  <c r="AN162" i="20"/>
  <c r="AN170" i="20"/>
  <c r="AN214" i="20"/>
  <c r="AN224" i="20"/>
  <c r="AN227" i="20"/>
  <c r="AN230" i="20"/>
  <c r="AN239" i="20"/>
  <c r="AN238" i="20"/>
  <c r="AN244" i="20"/>
  <c r="AN272" i="20"/>
  <c r="AN298" i="20"/>
  <c r="AN334" i="20"/>
  <c r="AN337" i="20"/>
  <c r="AN343" i="20"/>
  <c r="AN358" i="20"/>
  <c r="AN366" i="20"/>
  <c r="AM9" i="20"/>
  <c r="AM19" i="20"/>
  <c r="AM35" i="20"/>
  <c r="AM70" i="20"/>
  <c r="AM71" i="20"/>
  <c r="AM83" i="20"/>
  <c r="AM97" i="20"/>
  <c r="AM109" i="20"/>
  <c r="AM114" i="20"/>
  <c r="AM120" i="20"/>
  <c r="AM168" i="20"/>
  <c r="AM203" i="20"/>
  <c r="AM216" i="20"/>
  <c r="AM248" i="20"/>
  <c r="AM261" i="20"/>
  <c r="AM283" i="20"/>
  <c r="AM295" i="20"/>
  <c r="AM300" i="20"/>
  <c r="AM309" i="20"/>
  <c r="AM333" i="20"/>
  <c r="AM363" i="20"/>
  <c r="AM367" i="20"/>
  <c r="AM3" i="20"/>
  <c r="AM30" i="20"/>
  <c r="AM41" i="20"/>
  <c r="AM85" i="20"/>
  <c r="AM121" i="20"/>
  <c r="AM139" i="20"/>
  <c r="AM194" i="20"/>
  <c r="AM221" i="20"/>
  <c r="AM237" i="20"/>
  <c r="AM250" i="20"/>
  <c r="AM263" i="20"/>
  <c r="AM267" i="20"/>
  <c r="AM271" i="20"/>
  <c r="AM294" i="20"/>
  <c r="AM305" i="20"/>
  <c r="AM318" i="20"/>
  <c r="AM329" i="20"/>
  <c r="AM347" i="20"/>
  <c r="AM370" i="20"/>
  <c r="AM79" i="20"/>
  <c r="AM103" i="20"/>
  <c r="AM182" i="20"/>
  <c r="AM193" i="20"/>
  <c r="AM228" i="20"/>
  <c r="AM306" i="20"/>
  <c r="AM324" i="20"/>
  <c r="AM372" i="20"/>
  <c r="AM14" i="20"/>
  <c r="AM22" i="20"/>
  <c r="AM69" i="20"/>
  <c r="AM116" i="20"/>
  <c r="AM127" i="20"/>
  <c r="AM130" i="20"/>
  <c r="AM143" i="20"/>
  <c r="AM156" i="20"/>
  <c r="AM178" i="20"/>
  <c r="AM184" i="20"/>
  <c r="AM195" i="20"/>
  <c r="AM218" i="20"/>
  <c r="AM242" i="20"/>
  <c r="AM262" i="20"/>
  <c r="AM278" i="20"/>
  <c r="AM280" i="20"/>
  <c r="AM288" i="20"/>
  <c r="AM287" i="20"/>
  <c r="AM289" i="20"/>
  <c r="AM331" i="20"/>
  <c r="AM353" i="20"/>
  <c r="AM356" i="20"/>
  <c r="AM45" i="20"/>
  <c r="AM77" i="20"/>
  <c r="AM110" i="20"/>
  <c r="AM146" i="20"/>
  <c r="AM196" i="20"/>
  <c r="AM234" i="20"/>
  <c r="AM260" i="20"/>
  <c r="AM275" i="20"/>
  <c r="AM284" i="20"/>
  <c r="AM303" i="20"/>
  <c r="AM344" i="20"/>
  <c r="AM359" i="20"/>
  <c r="AM34" i="20"/>
  <c r="AM42" i="20"/>
  <c r="AM54" i="20"/>
  <c r="AM68" i="20"/>
  <c r="AM86" i="20"/>
  <c r="AM119" i="20"/>
  <c r="AM148" i="20"/>
  <c r="AM199" i="20"/>
  <c r="AM207" i="20"/>
  <c r="AM249" i="20"/>
  <c r="AM270" i="20"/>
  <c r="AM292" i="20"/>
  <c r="AM297" i="20"/>
  <c r="AM304" i="20"/>
  <c r="AM322" i="20"/>
  <c r="AM339" i="20"/>
  <c r="AM368" i="20"/>
  <c r="AM4" i="20"/>
  <c r="AM8" i="20"/>
  <c r="AM43" i="20"/>
  <c r="AM46" i="20"/>
  <c r="AM52" i="20"/>
  <c r="AM53" i="20"/>
  <c r="AM61" i="20"/>
  <c r="AM84" i="20"/>
  <c r="AM104" i="20"/>
  <c r="AM108" i="20"/>
  <c r="AM118" i="20"/>
  <c r="AM147" i="20"/>
  <c r="AM179" i="20"/>
  <c r="AM183" i="20"/>
  <c r="AM192" i="20"/>
  <c r="AM209" i="20"/>
  <c r="AM236" i="20"/>
  <c r="AM243" i="20"/>
  <c r="AM256" i="20"/>
  <c r="AM266" i="20"/>
  <c r="AM274" i="20"/>
  <c r="AM282" i="20"/>
  <c r="AM290" i="20"/>
  <c r="AM312" i="20"/>
  <c r="AM317" i="20"/>
  <c r="AM328" i="20"/>
  <c r="AM340" i="20"/>
  <c r="AM355" i="20"/>
  <c r="AM2" i="20"/>
  <c r="AM6" i="20"/>
  <c r="AM29" i="20"/>
  <c r="AM31" i="20"/>
  <c r="AM59" i="20"/>
  <c r="AM62" i="20"/>
  <c r="AM115" i="20"/>
  <c r="AM150" i="20"/>
  <c r="AM171" i="20"/>
  <c r="AM186" i="20"/>
  <c r="AM202" i="20"/>
  <c r="AM210" i="20"/>
  <c r="AM222" i="20"/>
  <c r="AM240" i="20"/>
  <c r="AM253" i="20"/>
  <c r="AM281" i="20"/>
  <c r="AM336" i="20"/>
  <c r="AM27" i="20"/>
  <c r="AM32" i="20"/>
  <c r="AM39" i="20"/>
  <c r="AM65" i="20"/>
  <c r="AM91" i="20"/>
  <c r="AM113" i="20"/>
  <c r="AM125" i="20"/>
  <c r="AM161" i="20"/>
  <c r="AM187" i="20"/>
  <c r="AM204" i="20"/>
  <c r="AM258" i="20"/>
  <c r="AM285" i="20"/>
  <c r="AM296" i="20"/>
  <c r="AM301" i="20"/>
  <c r="AM325" i="20"/>
  <c r="AM5" i="20"/>
  <c r="AM11" i="20"/>
  <c r="AM24" i="20"/>
  <c r="AM58" i="20"/>
  <c r="AM88" i="20"/>
  <c r="AM89" i="20"/>
  <c r="AM129" i="20"/>
  <c r="AM140" i="20"/>
  <c r="AM151" i="20"/>
  <c r="AM155" i="20"/>
  <c r="AM159" i="20"/>
  <c r="AM166" i="20"/>
  <c r="AM173" i="20"/>
  <c r="AM188" i="20"/>
  <c r="AM197" i="20"/>
  <c r="AM205" i="20"/>
  <c r="AM213" i="20"/>
  <c r="AM225" i="20"/>
  <c r="AM229" i="20"/>
  <c r="AM252" i="20"/>
  <c r="AM246" i="20"/>
  <c r="AM277" i="20"/>
  <c r="AM299" i="20"/>
  <c r="AM313" i="20"/>
  <c r="AM320" i="20"/>
  <c r="AM332" i="20"/>
  <c r="AM335" i="20"/>
  <c r="AM350" i="20"/>
  <c r="AM360" i="20"/>
  <c r="AM361" i="20"/>
  <c r="AM7" i="20"/>
  <c r="AM21" i="20"/>
  <c r="AM17" i="20"/>
  <c r="AM49" i="20"/>
  <c r="AM55" i="20"/>
  <c r="AM57" i="20"/>
  <c r="AM60" i="20"/>
  <c r="AM64" i="20"/>
  <c r="AM82" i="20"/>
  <c r="AM100" i="20"/>
  <c r="AM112" i="20"/>
  <c r="AM117" i="20"/>
  <c r="AM124" i="20"/>
  <c r="AM138" i="20"/>
  <c r="AM165" i="20"/>
  <c r="AM167" i="20"/>
  <c r="AM174" i="20"/>
  <c r="AM198" i="20"/>
  <c r="AM201" i="20"/>
  <c r="AM226" i="20"/>
  <c r="AM251" i="20"/>
  <c r="AM255" i="20"/>
  <c r="AM269" i="20"/>
  <c r="AM291" i="20"/>
  <c r="AM302" i="20"/>
  <c r="AM308" i="20"/>
  <c r="AM314" i="20"/>
  <c r="AM365" i="20"/>
  <c r="AM369" i="20"/>
  <c r="AM16" i="20"/>
  <c r="AM44" i="20"/>
  <c r="AM50" i="20"/>
  <c r="AM67" i="20"/>
  <c r="AM80" i="20"/>
  <c r="AM102" i="20"/>
  <c r="AM123" i="20"/>
  <c r="AM158" i="20"/>
  <c r="AM164" i="20"/>
  <c r="AM181" i="20"/>
  <c r="AM189" i="20"/>
  <c r="AM223" i="20"/>
  <c r="AM247" i="20"/>
  <c r="AM257" i="20"/>
  <c r="AM279" i="20"/>
  <c r="AM286" i="20"/>
  <c r="AM323" i="20"/>
  <c r="AM351" i="20"/>
  <c r="AM12" i="20"/>
  <c r="AM15" i="20"/>
  <c r="AM20" i="20"/>
  <c r="AM74" i="20"/>
  <c r="AM93" i="20"/>
  <c r="AM96" i="20"/>
  <c r="AM128" i="20"/>
  <c r="AM141" i="20"/>
  <c r="AM152" i="20"/>
  <c r="AM177" i="20"/>
  <c r="AM211" i="20"/>
  <c r="AM219" i="20"/>
  <c r="AM217" i="20"/>
  <c r="AM235" i="20"/>
  <c r="AM265" i="20"/>
  <c r="AM311" i="20"/>
  <c r="AM319" i="20"/>
  <c r="AM330" i="20"/>
  <c r="AM345" i="20"/>
  <c r="AM348" i="20"/>
  <c r="AM362" i="20"/>
  <c r="AM18" i="20"/>
  <c r="AM25" i="20"/>
  <c r="AM40" i="20"/>
  <c r="AM56" i="20"/>
  <c r="AM66" i="20"/>
  <c r="AM72" i="20"/>
  <c r="AM73" i="20"/>
  <c r="AM75" i="20"/>
  <c r="AM87" i="20"/>
  <c r="AM94" i="20"/>
  <c r="AM101" i="20"/>
  <c r="AM111" i="20"/>
  <c r="AM131" i="20"/>
  <c r="AM142" i="20"/>
  <c r="AM154" i="20"/>
  <c r="AM169" i="20"/>
  <c r="AM175" i="20"/>
  <c r="AM176" i="20"/>
  <c r="AM200" i="20"/>
  <c r="AM215" i="20"/>
  <c r="AM232" i="20"/>
  <c r="AM233" i="20"/>
  <c r="AM254" i="20"/>
  <c r="AM264" i="20"/>
  <c r="AM316" i="20"/>
  <c r="AM338" i="20"/>
  <c r="AM346" i="20"/>
  <c r="AM349" i="20"/>
  <c r="AM373" i="20"/>
  <c r="AM371" i="20"/>
  <c r="AM13" i="20"/>
  <c r="AM26" i="20"/>
  <c r="AM38" i="20"/>
  <c r="AM51" i="20"/>
  <c r="AM78" i="20"/>
  <c r="AM99" i="20"/>
  <c r="AM105" i="20"/>
  <c r="AM134" i="20"/>
  <c r="AM160" i="20"/>
  <c r="AM172" i="20"/>
  <c r="AM185" i="20"/>
  <c r="AM191" i="20"/>
  <c r="AM212" i="20"/>
  <c r="AM273" i="20"/>
  <c r="AM310" i="20"/>
  <c r="AM315" i="20"/>
  <c r="AM326" i="20"/>
  <c r="AM352" i="20"/>
  <c r="AM33" i="20"/>
  <c r="AM37" i="20"/>
  <c r="AM81" i="20"/>
  <c r="AM92" i="20"/>
  <c r="AM106" i="20"/>
  <c r="AM122" i="20"/>
  <c r="AM132" i="20"/>
  <c r="AM145" i="20"/>
  <c r="AM163" i="20"/>
  <c r="AM180" i="20"/>
  <c r="AM190" i="20"/>
  <c r="AM220" i="20"/>
  <c r="AM259" i="20"/>
  <c r="AM268" i="20"/>
  <c r="AM327" i="20"/>
  <c r="AM341" i="20"/>
  <c r="AM354" i="20"/>
  <c r="AM10" i="20"/>
  <c r="AM47" i="20"/>
  <c r="AM48" i="20"/>
  <c r="AM63" i="20"/>
  <c r="AM95" i="20"/>
  <c r="AM107" i="20"/>
  <c r="AM126" i="20"/>
  <c r="AM135" i="20"/>
  <c r="AM137" i="20"/>
  <c r="AM144" i="20"/>
  <c r="AM153" i="20"/>
  <c r="AM208" i="20"/>
  <c r="AM206" i="20"/>
  <c r="AM231" i="20"/>
  <c r="AM245" i="20"/>
  <c r="AM276" i="20"/>
  <c r="AM293" i="20"/>
  <c r="AM307" i="20"/>
  <c r="AM321" i="20"/>
  <c r="AM342" i="20"/>
  <c r="AM364" i="20"/>
  <c r="AM23" i="20"/>
  <c r="AM28" i="20"/>
  <c r="AM36" i="20"/>
  <c r="AM76" i="20"/>
  <c r="AM90" i="20"/>
  <c r="AM98" i="20"/>
  <c r="AM133" i="20"/>
  <c r="AM136" i="20"/>
  <c r="AM149" i="20"/>
  <c r="AM157" i="20"/>
  <c r="AM162" i="20"/>
  <c r="AM170" i="20"/>
  <c r="AM214" i="20"/>
  <c r="AM224" i="20"/>
  <c r="AM227" i="20"/>
  <c r="AM230" i="20"/>
  <c r="AM239" i="20"/>
  <c r="AM238" i="20"/>
  <c r="AM244" i="20"/>
  <c r="AM272" i="20"/>
  <c r="AM298" i="20"/>
  <c r="AM334" i="20"/>
  <c r="AM337" i="20"/>
  <c r="AM343" i="20"/>
  <c r="AM358" i="20"/>
  <c r="AM366" i="20"/>
  <c r="AL9" i="20"/>
  <c r="AL19" i="20"/>
  <c r="AL35" i="20"/>
  <c r="AL70" i="20"/>
  <c r="AL71" i="20"/>
  <c r="AL83" i="20"/>
  <c r="AL97" i="20"/>
  <c r="AL109" i="20"/>
  <c r="AL114" i="20"/>
  <c r="AL120" i="20"/>
  <c r="AL168" i="20"/>
  <c r="AL203" i="20"/>
  <c r="AL216" i="20"/>
  <c r="AL248" i="20"/>
  <c r="AL261" i="20"/>
  <c r="AL283" i="20"/>
  <c r="AL295" i="20"/>
  <c r="AL300" i="20"/>
  <c r="AL309" i="20"/>
  <c r="AL333" i="20"/>
  <c r="AL363" i="20"/>
  <c r="AL367" i="20"/>
  <c r="AL3" i="20"/>
  <c r="AL30" i="20"/>
  <c r="AL41" i="20"/>
  <c r="AL85" i="20"/>
  <c r="AL121" i="20"/>
  <c r="AL139" i="20"/>
  <c r="AL194" i="20"/>
  <c r="AL221" i="20"/>
  <c r="AL237" i="20"/>
  <c r="AL250" i="20"/>
  <c r="AL263" i="20"/>
  <c r="AL267" i="20"/>
  <c r="AL271" i="20"/>
  <c r="AL294" i="20"/>
  <c r="AL305" i="20"/>
  <c r="AL318" i="20"/>
  <c r="AL329" i="20"/>
  <c r="AL347" i="20"/>
  <c r="AL370" i="20"/>
  <c r="AL79" i="20"/>
  <c r="AL103" i="20"/>
  <c r="AL182" i="20"/>
  <c r="AL193" i="20"/>
  <c r="AL228" i="20"/>
  <c r="AL306" i="20"/>
  <c r="AL324" i="20"/>
  <c r="AL372" i="20"/>
  <c r="AL14" i="20"/>
  <c r="AL22" i="20"/>
  <c r="AL69" i="20"/>
  <c r="AL116" i="20"/>
  <c r="AL127" i="20"/>
  <c r="AL130" i="20"/>
  <c r="AL143" i="20"/>
  <c r="AL156" i="20"/>
  <c r="AL178" i="20"/>
  <c r="AL184" i="20"/>
  <c r="AL195" i="20"/>
  <c r="AL218" i="20"/>
  <c r="AL242" i="20"/>
  <c r="AL262" i="20"/>
  <c r="AL278" i="20"/>
  <c r="AL280" i="20"/>
  <c r="AL288" i="20"/>
  <c r="AL287" i="20"/>
  <c r="AL289" i="20"/>
  <c r="AL331" i="20"/>
  <c r="AL353" i="20"/>
  <c r="AL356" i="20"/>
  <c r="AL45" i="20"/>
  <c r="AL77" i="20"/>
  <c r="AL110" i="20"/>
  <c r="AL146" i="20"/>
  <c r="AL196" i="20"/>
  <c r="AL234" i="20"/>
  <c r="AL260" i="20"/>
  <c r="AL275" i="20"/>
  <c r="AL284" i="20"/>
  <c r="AL303" i="20"/>
  <c r="AL344" i="20"/>
  <c r="AL359" i="20"/>
  <c r="AL34" i="20"/>
  <c r="AL42" i="20"/>
  <c r="AL54" i="20"/>
  <c r="AL68" i="20"/>
  <c r="AL86" i="20"/>
  <c r="AL119" i="20"/>
  <c r="AL148" i="20"/>
  <c r="AL199" i="20"/>
  <c r="AL207" i="20"/>
  <c r="AL249" i="20"/>
  <c r="AL270" i="20"/>
  <c r="AL292" i="20"/>
  <c r="AL297" i="20"/>
  <c r="AL304" i="20"/>
  <c r="AL322" i="20"/>
  <c r="AL339" i="20"/>
  <c r="AL368" i="20"/>
  <c r="AL4" i="20"/>
  <c r="AL8" i="20"/>
  <c r="AL43" i="20"/>
  <c r="AL46" i="20"/>
  <c r="AL52" i="20"/>
  <c r="AL53" i="20"/>
  <c r="AL61" i="20"/>
  <c r="AL84" i="20"/>
  <c r="AL104" i="20"/>
  <c r="AL108" i="20"/>
  <c r="AL118" i="20"/>
  <c r="AL147" i="20"/>
  <c r="AL179" i="20"/>
  <c r="AL183" i="20"/>
  <c r="AL192" i="20"/>
  <c r="AL209" i="20"/>
  <c r="AL236" i="20"/>
  <c r="AL243" i="20"/>
  <c r="AL256" i="20"/>
  <c r="AL266" i="20"/>
  <c r="AL274" i="20"/>
  <c r="AL282" i="20"/>
  <c r="AL290" i="20"/>
  <c r="AL312" i="20"/>
  <c r="AL317" i="20"/>
  <c r="AL328" i="20"/>
  <c r="AL340" i="20"/>
  <c r="AL355" i="20"/>
  <c r="AL2" i="20"/>
  <c r="AL6" i="20"/>
  <c r="AL29" i="20"/>
  <c r="AL31" i="20"/>
  <c r="AL59" i="20"/>
  <c r="AL62" i="20"/>
  <c r="AL115" i="20"/>
  <c r="AL150" i="20"/>
  <c r="AL171" i="20"/>
  <c r="AL186" i="20"/>
  <c r="AL202" i="20"/>
  <c r="AL210" i="20"/>
  <c r="AL222" i="20"/>
  <c r="AL240" i="20"/>
  <c r="AL253" i="20"/>
  <c r="AL281" i="20"/>
  <c r="AL336" i="20"/>
  <c r="AL27" i="20"/>
  <c r="AL32" i="20"/>
  <c r="AL39" i="20"/>
  <c r="AL65" i="20"/>
  <c r="AL91" i="20"/>
  <c r="AL113" i="20"/>
  <c r="AL125" i="20"/>
  <c r="AL161" i="20"/>
  <c r="AL187" i="20"/>
  <c r="AL204" i="20"/>
  <c r="AL258" i="20"/>
  <c r="AL285" i="20"/>
  <c r="AL296" i="20"/>
  <c r="AL301" i="20"/>
  <c r="AL325" i="20"/>
  <c r="AL5" i="20"/>
  <c r="AL11" i="20"/>
  <c r="AL24" i="20"/>
  <c r="AL58" i="20"/>
  <c r="AL88" i="20"/>
  <c r="AL89" i="20"/>
  <c r="AL129" i="20"/>
  <c r="AL140" i="20"/>
  <c r="AL151" i="20"/>
  <c r="AL155" i="20"/>
  <c r="AL159" i="20"/>
  <c r="AL166" i="20"/>
  <c r="AL173" i="20"/>
  <c r="AL188" i="20"/>
  <c r="AL197" i="20"/>
  <c r="AL205" i="20"/>
  <c r="AL213" i="20"/>
  <c r="AL225" i="20"/>
  <c r="AL229" i="20"/>
  <c r="AL252" i="20"/>
  <c r="AL246" i="20"/>
  <c r="AL277" i="20"/>
  <c r="AL299" i="20"/>
  <c r="AL313" i="20"/>
  <c r="AL320" i="20"/>
  <c r="AL332" i="20"/>
  <c r="AL335" i="20"/>
  <c r="AL350" i="20"/>
  <c r="AL360" i="20"/>
  <c r="AL361" i="20"/>
  <c r="AL7" i="20"/>
  <c r="AL21" i="20"/>
  <c r="AL17" i="20"/>
  <c r="AL49" i="20"/>
  <c r="AL55" i="20"/>
  <c r="AL57" i="20"/>
  <c r="AL60" i="20"/>
  <c r="AL64" i="20"/>
  <c r="AL82" i="20"/>
  <c r="AL100" i="20"/>
  <c r="AL112" i="20"/>
  <c r="AL117" i="20"/>
  <c r="AL124" i="20"/>
  <c r="AL138" i="20"/>
  <c r="AL165" i="20"/>
  <c r="AL167" i="20"/>
  <c r="AL174" i="20"/>
  <c r="AL198" i="20"/>
  <c r="AL201" i="20"/>
  <c r="AL226" i="20"/>
  <c r="AL251" i="20"/>
  <c r="AL255" i="20"/>
  <c r="AL269" i="20"/>
  <c r="AL291" i="20"/>
  <c r="AL302" i="20"/>
  <c r="AL308" i="20"/>
  <c r="AL314" i="20"/>
  <c r="AL365" i="20"/>
  <c r="AL369" i="20"/>
  <c r="AL16" i="20"/>
  <c r="AL44" i="20"/>
  <c r="AL50" i="20"/>
  <c r="AL67" i="20"/>
  <c r="AL80" i="20"/>
  <c r="AL102" i="20"/>
  <c r="AL123" i="20"/>
  <c r="AL158" i="20"/>
  <c r="AL164" i="20"/>
  <c r="AL181" i="20"/>
  <c r="AL189" i="20"/>
  <c r="AL223" i="20"/>
  <c r="AL247" i="20"/>
  <c r="AL257" i="20"/>
  <c r="AL279" i="20"/>
  <c r="AL286" i="20"/>
  <c r="AL323" i="20"/>
  <c r="AL351" i="20"/>
  <c r="AL12" i="20"/>
  <c r="AL15" i="20"/>
  <c r="AL20" i="20"/>
  <c r="AL74" i="20"/>
  <c r="AL93" i="20"/>
  <c r="AL96" i="20"/>
  <c r="AL128" i="20"/>
  <c r="AL141" i="20"/>
  <c r="AL152" i="20"/>
  <c r="AL177" i="20"/>
  <c r="AL211" i="20"/>
  <c r="AL219" i="20"/>
  <c r="AL217" i="20"/>
  <c r="AL235" i="20"/>
  <c r="AL265" i="20"/>
  <c r="AL311" i="20"/>
  <c r="AL319" i="20"/>
  <c r="AL330" i="20"/>
  <c r="AL345" i="20"/>
  <c r="AL348" i="20"/>
  <c r="AL362" i="20"/>
  <c r="AL18" i="20"/>
  <c r="AL25" i="20"/>
  <c r="AL40" i="20"/>
  <c r="AL56" i="20"/>
  <c r="AL66" i="20"/>
  <c r="AL72" i="20"/>
  <c r="AL73" i="20"/>
  <c r="AL75" i="20"/>
  <c r="AL87" i="20"/>
  <c r="AL94" i="20"/>
  <c r="AL101" i="20"/>
  <c r="AL111" i="20"/>
  <c r="AL131" i="20"/>
  <c r="AL142" i="20"/>
  <c r="AL154" i="20"/>
  <c r="AL169" i="20"/>
  <c r="AL175" i="20"/>
  <c r="AL176" i="20"/>
  <c r="AL200" i="20"/>
  <c r="AL215" i="20"/>
  <c r="AL232" i="20"/>
  <c r="AL233" i="20"/>
  <c r="AL254" i="20"/>
  <c r="AL264" i="20"/>
  <c r="AL316" i="20"/>
  <c r="AL338" i="20"/>
  <c r="AL346" i="20"/>
  <c r="AL349" i="20"/>
  <c r="AL373" i="20"/>
  <c r="AL371" i="20"/>
  <c r="AL13" i="20"/>
  <c r="AL26" i="20"/>
  <c r="AL38" i="20"/>
  <c r="AL51" i="20"/>
  <c r="AL78" i="20"/>
  <c r="AL99" i="20"/>
  <c r="AL105" i="20"/>
  <c r="AL134" i="20"/>
  <c r="AL160" i="20"/>
  <c r="AL172" i="20"/>
  <c r="AL185" i="20"/>
  <c r="AL191" i="20"/>
  <c r="AL212" i="20"/>
  <c r="AL273" i="20"/>
  <c r="AL310" i="20"/>
  <c r="AL315" i="20"/>
  <c r="AL326" i="20"/>
  <c r="AL352" i="20"/>
  <c r="AL33" i="20"/>
  <c r="AL37" i="20"/>
  <c r="AL81" i="20"/>
  <c r="AL92" i="20"/>
  <c r="AL106" i="20"/>
  <c r="AL122" i="20"/>
  <c r="AL132" i="20"/>
  <c r="AL145" i="20"/>
  <c r="AL163" i="20"/>
  <c r="AL180" i="20"/>
  <c r="AL190" i="20"/>
  <c r="AL220" i="20"/>
  <c r="AL259" i="20"/>
  <c r="AL268" i="20"/>
  <c r="AL327" i="20"/>
  <c r="AL341" i="20"/>
  <c r="AL354" i="20"/>
  <c r="AL10" i="20"/>
  <c r="AL47" i="20"/>
  <c r="AL48" i="20"/>
  <c r="AL63" i="20"/>
  <c r="AL95" i="20"/>
  <c r="AL107" i="20"/>
  <c r="AL126" i="20"/>
  <c r="AL135" i="20"/>
  <c r="AL137" i="20"/>
  <c r="AL144" i="20"/>
  <c r="AL153" i="20"/>
  <c r="AL208" i="20"/>
  <c r="AL206" i="20"/>
  <c r="AL231" i="20"/>
  <c r="AL245" i="20"/>
  <c r="AL276" i="20"/>
  <c r="AL293" i="20"/>
  <c r="AL307" i="20"/>
  <c r="AL321" i="20"/>
  <c r="AL342" i="20"/>
  <c r="AL364" i="20"/>
  <c r="AL23" i="20"/>
  <c r="AL28" i="20"/>
  <c r="AL36" i="20"/>
  <c r="AL76" i="20"/>
  <c r="AL90" i="20"/>
  <c r="AL98" i="20"/>
  <c r="AL133" i="20"/>
  <c r="AL136" i="20"/>
  <c r="AL149" i="20"/>
  <c r="AL157" i="20"/>
  <c r="AL162" i="20"/>
  <c r="AL170" i="20"/>
  <c r="AL214" i="20"/>
  <c r="AL224" i="20"/>
  <c r="AL227" i="20"/>
  <c r="AL230" i="20"/>
  <c r="AL239" i="20"/>
  <c r="AL238" i="20"/>
  <c r="AL244" i="20"/>
  <c r="AL272" i="20"/>
  <c r="AL298" i="20"/>
  <c r="AL334" i="20"/>
  <c r="AL337" i="20"/>
  <c r="AL343" i="20"/>
  <c r="AL358" i="20"/>
  <c r="AL366" i="20"/>
  <c r="S78" i="20"/>
  <c r="S76" i="20"/>
  <c r="S75" i="20"/>
  <c r="S74" i="20"/>
  <c r="S73" i="20"/>
  <c r="S67" i="20"/>
  <c r="S66" i="20"/>
  <c r="S62" i="20"/>
  <c r="S64" i="20"/>
  <c r="S60" i="20"/>
  <c r="S59" i="20"/>
  <c r="S57" i="20"/>
  <c r="S55" i="20"/>
  <c r="S56" i="20"/>
  <c r="S51" i="20"/>
  <c r="S50" i="20"/>
  <c r="S49" i="20"/>
  <c r="S44" i="20"/>
  <c r="S38" i="20"/>
  <c r="S36" i="20"/>
  <c r="S40" i="20"/>
  <c r="S31" i="20"/>
  <c r="S29" i="20"/>
  <c r="S28" i="20"/>
  <c r="S26" i="20"/>
  <c r="S23" i="20"/>
  <c r="S25" i="20"/>
  <c r="S20" i="20"/>
  <c r="S21" i="20"/>
  <c r="S18" i="20"/>
  <c r="S17" i="20"/>
  <c r="S16" i="20"/>
  <c r="S15" i="20"/>
  <c r="S12" i="20"/>
  <c r="S13" i="20"/>
  <c r="S7" i="20"/>
  <c r="S6" i="20"/>
  <c r="S2" i="20"/>
  <c r="S186" i="20"/>
  <c r="S191" i="20"/>
  <c r="S189" i="20"/>
  <c r="S172" i="20"/>
  <c r="S177" i="20"/>
  <c r="S175" i="20"/>
  <c r="S176" i="20"/>
  <c r="S170" i="20"/>
  <c r="S171" i="20"/>
  <c r="S174" i="20"/>
  <c r="S165" i="20"/>
  <c r="S164" i="20"/>
  <c r="S162" i="20"/>
  <c r="S169" i="20"/>
  <c r="S167" i="20"/>
  <c r="S160" i="20"/>
  <c r="S158" i="20"/>
  <c r="S157" i="20"/>
  <c r="S154" i="20"/>
  <c r="S150" i="20"/>
  <c r="S149" i="20"/>
  <c r="S152" i="20"/>
  <c r="S142" i="20"/>
  <c r="S138" i="20"/>
  <c r="S136" i="20"/>
  <c r="S133" i="20"/>
  <c r="S134" i="20"/>
  <c r="S131" i="20"/>
  <c r="S128" i="20"/>
  <c r="S117" i="20"/>
  <c r="S115" i="20"/>
  <c r="S102" i="20"/>
  <c r="S105" i="20"/>
  <c r="S141" i="20"/>
  <c r="S111" i="20"/>
  <c r="S232" i="20"/>
  <c r="S233" i="20"/>
  <c r="S215" i="20"/>
  <c r="S254" i="20"/>
  <c r="S72" i="20"/>
  <c r="S181" i="20"/>
  <c r="S185" i="20"/>
  <c r="S80" i="20"/>
  <c r="S198" i="20"/>
  <c r="S200" i="20"/>
  <c r="S235" i="20"/>
  <c r="S124" i="20"/>
  <c r="S112" i="20"/>
  <c r="S93" i="20"/>
  <c r="S96" i="20"/>
  <c r="S222" i="20"/>
  <c r="S223" i="20"/>
  <c r="S226" i="20"/>
  <c r="S247" i="20"/>
  <c r="S253" i="20"/>
  <c r="S251" i="20"/>
  <c r="S123" i="20"/>
  <c r="S219" i="20"/>
  <c r="S217" i="20"/>
  <c r="S99" i="20"/>
  <c r="S98" i="20"/>
  <c r="S210" i="20"/>
  <c r="S212" i="20"/>
  <c r="S211" i="20"/>
  <c r="S202" i="20"/>
  <c r="S201" i="20"/>
  <c r="S265" i="20"/>
  <c r="S257" i="20"/>
  <c r="S264" i="20"/>
  <c r="S255" i="20"/>
  <c r="S101" i="20"/>
  <c r="S100" i="20"/>
  <c r="S90" i="20"/>
  <c r="S94" i="20"/>
  <c r="S87" i="20"/>
  <c r="S82" i="20"/>
  <c r="S224" i="20"/>
  <c r="S227" i="20"/>
  <c r="S230" i="20"/>
  <c r="S214" i="20"/>
  <c r="S244" i="20"/>
  <c r="S239" i="20"/>
  <c r="S240" i="20"/>
  <c r="S238" i="20"/>
  <c r="S343" i="20"/>
  <c r="S346" i="20"/>
  <c r="S345" i="20"/>
  <c r="S336" i="20"/>
  <c r="S334" i="20"/>
  <c r="S337" i="20"/>
  <c r="S338" i="20"/>
  <c r="S330" i="20"/>
  <c r="S326" i="20"/>
  <c r="S323" i="20"/>
  <c r="S314" i="20"/>
  <c r="S319" i="20"/>
  <c r="S316" i="20"/>
  <c r="S315" i="20"/>
  <c r="S308" i="20"/>
  <c r="S310" i="20"/>
  <c r="S311" i="20"/>
  <c r="S298" i="20"/>
  <c r="S302" i="20"/>
  <c r="S286" i="20"/>
  <c r="S291" i="20"/>
  <c r="S281" i="20"/>
  <c r="S279" i="20"/>
  <c r="S273" i="20"/>
  <c r="S272" i="20"/>
  <c r="S269" i="20"/>
  <c r="S373" i="20"/>
  <c r="S371" i="20"/>
  <c r="S369" i="20"/>
  <c r="S366" i="20"/>
  <c r="S365" i="20"/>
  <c r="S362" i="20"/>
  <c r="S358" i="20"/>
  <c r="S352" i="20"/>
  <c r="S351" i="20"/>
  <c r="S349" i="20"/>
  <c r="S348" i="20"/>
  <c r="S61" i="20"/>
  <c r="S58" i="20"/>
  <c r="S52" i="20"/>
  <c r="S53" i="20"/>
  <c r="S46" i="20"/>
  <c r="S43" i="20"/>
  <c r="S24" i="20"/>
  <c r="S11" i="20"/>
  <c r="S8" i="20"/>
  <c r="S5" i="20"/>
  <c r="S4" i="20"/>
  <c r="S188" i="20"/>
  <c r="S192" i="20"/>
  <c r="S140" i="20"/>
  <c r="S129" i="20"/>
  <c r="S89" i="20"/>
  <c r="S88" i="20"/>
  <c r="S179" i="20"/>
  <c r="S173" i="20"/>
  <c r="S166" i="20"/>
  <c r="S159" i="20"/>
  <c r="S155" i="20"/>
  <c r="S151" i="20"/>
  <c r="S147" i="20"/>
  <c r="S84" i="20"/>
  <c r="S225" i="20"/>
  <c r="S229" i="20"/>
  <c r="S252" i="20"/>
  <c r="S246" i="20"/>
  <c r="S183" i="20"/>
  <c r="S118" i="20"/>
  <c r="S108" i="20"/>
  <c r="S104" i="20"/>
  <c r="S197" i="20"/>
  <c r="S236" i="20"/>
  <c r="S209" i="20"/>
  <c r="S213" i="20"/>
  <c r="S205" i="20"/>
  <c r="S256" i="20"/>
  <c r="S243" i="20"/>
  <c r="S340" i="20"/>
  <c r="S335" i="20"/>
  <c r="S332" i="20"/>
  <c r="S328" i="20"/>
  <c r="S320" i="20"/>
  <c r="S313" i="20"/>
  <c r="S317" i="20"/>
  <c r="S312" i="20"/>
  <c r="S299" i="20"/>
  <c r="S290" i="20"/>
  <c r="S282" i="20"/>
  <c r="S277" i="20"/>
  <c r="S274" i="20"/>
  <c r="S266" i="20"/>
  <c r="S360" i="20"/>
  <c r="S361" i="20"/>
  <c r="S355" i="20"/>
  <c r="S350" i="20"/>
  <c r="S79" i="20"/>
  <c r="S77" i="20"/>
  <c r="S63" i="20"/>
  <c r="S65" i="20"/>
  <c r="S45" i="20"/>
  <c r="S47" i="20"/>
  <c r="S48" i="20"/>
  <c r="S39" i="20"/>
  <c r="S32" i="20"/>
  <c r="S27" i="20"/>
  <c r="S10" i="20"/>
  <c r="S193" i="20"/>
  <c r="S187" i="20"/>
  <c r="S161" i="20"/>
  <c r="S153" i="20"/>
  <c r="S144" i="20"/>
  <c r="S146" i="20"/>
  <c r="S137" i="20"/>
  <c r="S135" i="20"/>
  <c r="S126" i="20"/>
  <c r="S231" i="20"/>
  <c r="S245" i="20"/>
  <c r="S182" i="20"/>
  <c r="S110" i="20"/>
  <c r="S103" i="20"/>
  <c r="S107" i="20"/>
  <c r="S125" i="20"/>
  <c r="S113" i="20"/>
  <c r="S91" i="20"/>
  <c r="S95" i="20"/>
  <c r="S228" i="20"/>
  <c r="S196" i="20"/>
  <c r="S234" i="20"/>
  <c r="S208" i="20"/>
  <c r="S206" i="20"/>
  <c r="S204" i="20"/>
  <c r="S260" i="20"/>
  <c r="S258" i="20"/>
  <c r="S344" i="20"/>
  <c r="S342" i="20"/>
  <c r="S324" i="20"/>
  <c r="S325" i="20"/>
  <c r="S321" i="20"/>
  <c r="S306" i="20"/>
  <c r="S307" i="20"/>
  <c r="S303" i="20"/>
  <c r="S301" i="20"/>
  <c r="S296" i="20"/>
  <c r="S293" i="20"/>
  <c r="S284" i="20"/>
  <c r="S285" i="20"/>
  <c r="S276" i="20"/>
  <c r="S275" i="20"/>
  <c r="S372" i="20"/>
  <c r="S359" i="20"/>
  <c r="S364" i="20"/>
  <c r="S195" i="20"/>
  <c r="S184" i="20"/>
  <c r="S69" i="20"/>
  <c r="S68" i="20"/>
  <c r="S70" i="20"/>
  <c r="S54" i="20"/>
  <c r="S42" i="20"/>
  <c r="S37" i="20"/>
  <c r="S41" i="20"/>
  <c r="S34" i="20"/>
  <c r="S35" i="20"/>
  <c r="S33" i="20"/>
  <c r="S30" i="20"/>
  <c r="S22" i="20"/>
  <c r="S19" i="20"/>
  <c r="S14" i="20"/>
  <c r="S9" i="20"/>
  <c r="S3" i="20"/>
  <c r="S130" i="20"/>
  <c r="S194" i="20"/>
  <c r="S190" i="20"/>
  <c r="S127" i="20"/>
  <c r="S180" i="20"/>
  <c r="S178" i="20"/>
  <c r="S168" i="20"/>
  <c r="S163" i="20"/>
  <c r="S156" i="20"/>
  <c r="S148" i="20"/>
  <c r="S145" i="20"/>
  <c r="S143" i="20"/>
  <c r="S85" i="20"/>
  <c r="S139" i="20"/>
  <c r="S132" i="20"/>
  <c r="S250" i="20"/>
  <c r="S71" i="20"/>
  <c r="S121" i="20"/>
  <c r="S116" i="20"/>
  <c r="S122" i="20"/>
  <c r="S120" i="20"/>
  <c r="S119" i="20"/>
  <c r="S109" i="20"/>
  <c r="S106" i="20"/>
  <c r="S114" i="20"/>
  <c r="S97" i="20"/>
  <c r="S86" i="20"/>
  <c r="S83" i="20"/>
  <c r="S248" i="20"/>
  <c r="S249" i="20"/>
  <c r="S81" i="20"/>
  <c r="S199" i="20"/>
  <c r="S237" i="20"/>
  <c r="S92" i="20"/>
  <c r="S218" i="20"/>
  <c r="S221" i="20"/>
  <c r="S220" i="20"/>
  <c r="S216" i="20"/>
  <c r="S203" i="20"/>
  <c r="S207" i="20"/>
  <c r="S262" i="20"/>
  <c r="S263" i="20"/>
  <c r="S259" i="20"/>
  <c r="S261" i="20"/>
  <c r="S242" i="20"/>
  <c r="S341" i="20"/>
  <c r="S347" i="20"/>
  <c r="S339" i="20"/>
  <c r="S333" i="20"/>
  <c r="S331" i="20"/>
  <c r="S327" i="20"/>
  <c r="S329" i="20"/>
  <c r="S322" i="20"/>
  <c r="S318" i="20"/>
  <c r="S309" i="20"/>
  <c r="S305" i="20"/>
  <c r="S300" i="20"/>
  <c r="S304" i="20"/>
  <c r="S297" i="20"/>
  <c r="S288" i="20"/>
  <c r="S295" i="20"/>
  <c r="S294" i="20"/>
  <c r="S287" i="20"/>
  <c r="S292" i="20"/>
  <c r="S289" i="20"/>
  <c r="S283" i="20"/>
  <c r="S280" i="20"/>
  <c r="S278" i="20"/>
  <c r="S270" i="20"/>
  <c r="S271" i="20"/>
  <c r="S268" i="20"/>
  <c r="S267" i="20"/>
  <c r="S370" i="20"/>
  <c r="S368" i="20"/>
  <c r="S367" i="20"/>
  <c r="S363" i="20"/>
  <c r="S353" i="20"/>
  <c r="S356" i="20"/>
  <c r="S354" i="20"/>
  <c r="I323" i="20"/>
  <c r="I102" i="20"/>
  <c r="I296" i="20"/>
  <c r="I298" i="20"/>
  <c r="I222" i="20"/>
  <c r="I367" i="20"/>
  <c r="I129" i="20"/>
  <c r="I238" i="20"/>
  <c r="I368" i="20"/>
  <c r="I239" i="20"/>
  <c r="I369" i="20"/>
  <c r="I286" i="20"/>
  <c r="I370" i="20"/>
  <c r="I244" i="20"/>
  <c r="I287" i="20"/>
  <c r="I371" i="20"/>
  <c r="I372" i="20"/>
  <c r="I223" i="20"/>
  <c r="I313" i="20"/>
  <c r="I5" i="20"/>
  <c r="I170" i="20"/>
  <c r="I224" i="20"/>
  <c r="I171" i="20"/>
  <c r="I365" i="20"/>
  <c r="I308" i="20"/>
  <c r="I299" i="20"/>
  <c r="I266" i="20"/>
  <c r="I6" i="20"/>
  <c r="I297" i="20"/>
  <c r="I300" i="20"/>
  <c r="I73" i="20"/>
  <c r="I324" i="20"/>
  <c r="I306" i="20"/>
  <c r="I26" i="20"/>
  <c r="I358" i="20"/>
  <c r="I115" i="20"/>
  <c r="I255" i="20"/>
  <c r="I225" i="20"/>
  <c r="I226" i="20"/>
  <c r="I288" i="20"/>
  <c r="I132" i="20"/>
  <c r="I366" i="20"/>
  <c r="I136" i="20"/>
  <c r="I172" i="20"/>
  <c r="I227" i="20"/>
  <c r="I267" i="20"/>
  <c r="I359" i="20"/>
  <c r="I89" i="20"/>
  <c r="I301" i="20"/>
  <c r="I256" i="20"/>
  <c r="I201" i="20"/>
  <c r="I268" i="20"/>
  <c r="I77" i="20"/>
  <c r="I272" i="20"/>
  <c r="I84" i="20"/>
  <c r="I196" i="20"/>
  <c r="I130" i="20"/>
  <c r="I148" i="20"/>
  <c r="I257" i="20"/>
  <c r="I325" i="20"/>
  <c r="I36" i="20"/>
  <c r="I258" i="20"/>
  <c r="I149" i="20"/>
  <c r="I326" i="20"/>
  <c r="I349" i="20"/>
  <c r="I2" i="20"/>
  <c r="I234" i="20"/>
  <c r="I245" i="20"/>
  <c r="I173" i="20"/>
  <c r="I314" i="20"/>
  <c r="I320" i="20"/>
  <c r="I88" i="20"/>
  <c r="I279" i="20"/>
  <c r="I360" i="20"/>
  <c r="I259" i="20"/>
  <c r="I108" i="20"/>
  <c r="I228" i="20"/>
  <c r="I246" i="20"/>
  <c r="I277" i="20"/>
  <c r="I229" i="20"/>
  <c r="I62" i="20"/>
  <c r="I124" i="20"/>
  <c r="I273" i="20"/>
  <c r="I110" i="20"/>
  <c r="I309" i="20"/>
  <c r="I80" i="20"/>
  <c r="I260" i="20"/>
  <c r="I216" i="20"/>
  <c r="I174" i="20"/>
  <c r="I161" i="20"/>
  <c r="I278" i="20"/>
  <c r="I63" i="20"/>
  <c r="I280" i="20"/>
  <c r="I373" i="20"/>
  <c r="I162" i="20"/>
  <c r="I247" i="20"/>
  <c r="I64" i="20"/>
  <c r="I109" i="20"/>
  <c r="I302" i="20"/>
  <c r="I289" i="20"/>
  <c r="I303" i="20"/>
  <c r="I248" i="20"/>
  <c r="I163" i="20"/>
  <c r="I157" i="20"/>
  <c r="I98" i="20"/>
  <c r="I315" i="20"/>
  <c r="I7" i="20"/>
  <c r="I304" i="20"/>
  <c r="I217" i="20"/>
  <c r="I261" i="20"/>
  <c r="I240" i="20"/>
  <c r="I249" i="20"/>
  <c r="I164" i="20"/>
  <c r="I150" i="20"/>
  <c r="I262" i="20"/>
  <c r="I82" i="20"/>
  <c r="I151" i="20"/>
  <c r="I230" i="20"/>
  <c r="I111" i="20"/>
  <c r="I202" i="20"/>
  <c r="I332" i="20"/>
  <c r="I75" i="20"/>
  <c r="I16" i="20"/>
  <c r="I65" i="20"/>
  <c r="I27" i="20"/>
  <c r="I116" i="20"/>
  <c r="I307" i="20"/>
  <c r="I250" i="20"/>
  <c r="I350" i="20"/>
  <c r="I175" i="20"/>
  <c r="I44" i="20"/>
  <c r="I11" i="20"/>
  <c r="I55" i="20"/>
  <c r="I203" i="20"/>
  <c r="I204" i="20"/>
  <c r="I361" i="20"/>
  <c r="I81" i="20"/>
  <c r="I99" i="20"/>
  <c r="I197" i="20"/>
  <c r="I305" i="20"/>
  <c r="I133" i="20"/>
  <c r="I103" i="20"/>
  <c r="I281" i="20"/>
  <c r="I198" i="20"/>
  <c r="I140" i="20"/>
  <c r="I353" i="20"/>
  <c r="I137" i="20"/>
  <c r="I117" i="20"/>
  <c r="I269" i="20"/>
  <c r="I154" i="20"/>
  <c r="I242" i="20"/>
  <c r="I49" i="20"/>
  <c r="I158" i="20"/>
  <c r="I231" i="20"/>
  <c r="I45" i="20"/>
  <c r="I31" i="20"/>
  <c r="I263" i="20"/>
  <c r="I118" i="20"/>
  <c r="I327" i="20"/>
  <c r="I37" i="20"/>
  <c r="I134" i="20"/>
  <c r="I331" i="20"/>
  <c r="I310" i="20"/>
  <c r="I83" i="20"/>
  <c r="I90" i="20"/>
  <c r="I316" i="20"/>
  <c r="I328" i="20"/>
  <c r="I12" i="20"/>
  <c r="I341" i="20"/>
  <c r="I290" i="20"/>
  <c r="I329" i="20"/>
  <c r="I28" i="20"/>
  <c r="I176" i="20"/>
  <c r="I60" i="20"/>
  <c r="I205" i="20"/>
  <c r="I104" i="20"/>
  <c r="I119" i="20"/>
  <c r="I333" i="20"/>
  <c r="I214" i="20"/>
  <c r="I112" i="20"/>
  <c r="I362" i="20"/>
  <c r="I22" i="20"/>
  <c r="I317" i="20"/>
  <c r="I17" i="20"/>
  <c r="I186" i="20"/>
  <c r="I264" i="20"/>
  <c r="I187" i="20"/>
  <c r="I181" i="20"/>
  <c r="I354" i="20"/>
  <c r="I32" i="20"/>
  <c r="I188" i="20"/>
  <c r="I209" i="20"/>
  <c r="I105" i="20"/>
  <c r="I311" i="20"/>
  <c r="I363" i="20"/>
  <c r="I251" i="20"/>
  <c r="I321" i="20"/>
  <c r="I334" i="20"/>
  <c r="I218" i="20"/>
  <c r="I143" i="20"/>
  <c r="I144" i="20"/>
  <c r="I123" i="20"/>
  <c r="I3" i="20"/>
  <c r="I66" i="20"/>
  <c r="I335" i="20"/>
  <c r="I67" i="20"/>
  <c r="I206" i="20"/>
  <c r="I219" i="20"/>
  <c r="I113" i="20"/>
  <c r="I145" i="20"/>
  <c r="I23" i="20"/>
  <c r="I265" i="20"/>
  <c r="I282" i="20"/>
  <c r="I336" i="20"/>
  <c r="I138" i="20"/>
  <c r="I291" i="20"/>
  <c r="I355" i="20"/>
  <c r="I292" i="20"/>
  <c r="I24" i="20"/>
  <c r="I8" i="20"/>
  <c r="I29" i="20"/>
  <c r="I135" i="20"/>
  <c r="I76" i="20"/>
  <c r="I146" i="20"/>
  <c r="I199" i="20"/>
  <c r="I165" i="20"/>
  <c r="I18" i="20"/>
  <c r="I322" i="20"/>
  <c r="I14" i="20"/>
  <c r="I9" i="20"/>
  <c r="I342" i="20"/>
  <c r="I364" i="20"/>
  <c r="I152" i="20"/>
  <c r="I50" i="20"/>
  <c r="I235" i="20"/>
  <c r="I220" i="20"/>
  <c r="I33" i="20"/>
  <c r="I141" i="20"/>
  <c r="I142" i="20"/>
  <c r="I283" i="20"/>
  <c r="I74" i="20"/>
  <c r="I106" i="20"/>
  <c r="I343" i="20"/>
  <c r="I13" i="20"/>
  <c r="I284" i="20"/>
  <c r="I34" i="20"/>
  <c r="I210" i="20"/>
  <c r="I351" i="20"/>
  <c r="I125" i="20"/>
  <c r="I57" i="20"/>
  <c r="I120" i="20"/>
  <c r="I195" i="20"/>
  <c r="I46" i="20"/>
  <c r="I61" i="20"/>
  <c r="I337" i="20"/>
  <c r="I166" i="20"/>
  <c r="I167" i="20"/>
  <c r="I344" i="20"/>
  <c r="I338" i="20"/>
  <c r="I100" i="20"/>
  <c r="I189" i="20"/>
  <c r="I155" i="20"/>
  <c r="I348" i="20"/>
  <c r="I51" i="20"/>
  <c r="I107" i="20"/>
  <c r="I38" i="20"/>
  <c r="I131" i="20"/>
  <c r="I85" i="20"/>
  <c r="I68" i="20"/>
  <c r="I126" i="20"/>
  <c r="I232" i="20"/>
  <c r="I293" i="20"/>
  <c r="I270" i="20"/>
  <c r="I252" i="20"/>
  <c r="I69" i="20"/>
  <c r="I25" i="20"/>
  <c r="I274" i="20"/>
  <c r="I58" i="20"/>
  <c r="I243" i="20"/>
  <c r="I236" i="20"/>
  <c r="I10" i="20"/>
  <c r="I275" i="20"/>
  <c r="I221" i="20"/>
  <c r="I211" i="20"/>
  <c r="I294" i="20"/>
  <c r="I70" i="20"/>
  <c r="I253" i="20"/>
  <c r="I114" i="20"/>
  <c r="I295" i="20"/>
  <c r="I339" i="20"/>
  <c r="I86" i="20"/>
  <c r="I159" i="20"/>
  <c r="I78" i="20"/>
  <c r="I79" i="20"/>
  <c r="I190" i="20"/>
  <c r="I91" i="20"/>
  <c r="I212" i="20"/>
  <c r="I345" i="20"/>
  <c r="I312" i="20"/>
  <c r="I39" i="20"/>
  <c r="I207" i="20"/>
  <c r="I4" i="20"/>
  <c r="I237" i="20"/>
  <c r="I330" i="20"/>
  <c r="I71" i="20"/>
  <c r="I19" i="20"/>
  <c r="I182" i="20"/>
  <c r="I346" i="20"/>
  <c r="I52" i="20"/>
  <c r="I92" i="20"/>
  <c r="I285" i="20"/>
  <c r="I178" i="20"/>
  <c r="I20" i="20"/>
  <c r="I40" i="20"/>
  <c r="I15" i="20"/>
  <c r="I183" i="20"/>
  <c r="I127" i="20"/>
  <c r="I128" i="20"/>
  <c r="I179" i="20"/>
  <c r="I340" i="20"/>
  <c r="I93" i="20"/>
  <c r="I147" i="20"/>
  <c r="I160" i="20"/>
  <c r="I347" i="20"/>
  <c r="I191" i="20"/>
  <c r="I233" i="20"/>
  <c r="I41" i="20"/>
  <c r="I356" i="20"/>
  <c r="I352" i="20"/>
  <c r="I192" i="20"/>
  <c r="I180" i="20"/>
  <c r="I121" i="20"/>
  <c r="I94" i="20"/>
  <c r="I101" i="20"/>
  <c r="I208" i="20"/>
  <c r="I153" i="20"/>
  <c r="I318" i="20"/>
  <c r="I254" i="20"/>
  <c r="I42" i="20"/>
  <c r="I319" i="20"/>
  <c r="I30" i="20"/>
  <c r="I271" i="20"/>
  <c r="I184" i="20"/>
  <c r="I122" i="20"/>
  <c r="I168" i="20"/>
  <c r="I213" i="20"/>
  <c r="I72" i="20"/>
  <c r="I35" i="20"/>
  <c r="I200" i="20"/>
  <c r="I53" i="20"/>
  <c r="I21" i="20"/>
  <c r="I169" i="20"/>
  <c r="I56" i="20"/>
  <c r="I193" i="20"/>
  <c r="I95" i="20"/>
  <c r="I96" i="20"/>
  <c r="I47" i="20"/>
  <c r="I43" i="20"/>
  <c r="I48" i="20"/>
  <c r="I87" i="20"/>
  <c r="I54" i="20"/>
  <c r="I59" i="20"/>
  <c r="I97" i="20"/>
  <c r="I194" i="20"/>
  <c r="I139" i="20"/>
  <c r="I177" i="20"/>
  <c r="I215" i="20"/>
  <c r="I185" i="20"/>
  <c r="I156" i="20"/>
  <c r="I276" i="20"/>
  <c r="AG9" i="20"/>
  <c r="AG19" i="20"/>
  <c r="AG35" i="20"/>
  <c r="AG109" i="20"/>
  <c r="AG203" i="20"/>
  <c r="AG283" i="20"/>
  <c r="AG295" i="20"/>
  <c r="AG300" i="20"/>
  <c r="AG309" i="20"/>
  <c r="AG333" i="20"/>
  <c r="AG367" i="20"/>
  <c r="AG261" i="20"/>
  <c r="AG363" i="20"/>
  <c r="AG97" i="20"/>
  <c r="AG114" i="20"/>
  <c r="AG120" i="20"/>
  <c r="AG216" i="20"/>
  <c r="AG71" i="20"/>
  <c r="AG83" i="20"/>
  <c r="AG248" i="20"/>
  <c r="AG168" i="20"/>
  <c r="AG70" i="20"/>
  <c r="AG3" i="20"/>
  <c r="AG30" i="20"/>
  <c r="AG41" i="20"/>
  <c r="AG271" i="20"/>
  <c r="AG294" i="20"/>
  <c r="AG305" i="20"/>
  <c r="AG318" i="20"/>
  <c r="AG329" i="20"/>
  <c r="AG370" i="20"/>
  <c r="AG347" i="20"/>
  <c r="AG194" i="20"/>
  <c r="AG237" i="20"/>
  <c r="AG263" i="20"/>
  <c r="AG85" i="20"/>
  <c r="AG121" i="20"/>
  <c r="AG221" i="20"/>
  <c r="AG139" i="20"/>
  <c r="AG267" i="20"/>
  <c r="AG250" i="20"/>
  <c r="AG306" i="20"/>
  <c r="AG324" i="20"/>
  <c r="AG182" i="20"/>
  <c r="AG372" i="20"/>
  <c r="AG79" i="20"/>
  <c r="AG103" i="20"/>
  <c r="AG193" i="20"/>
  <c r="AG228" i="20"/>
  <c r="AG14" i="20"/>
  <c r="AG22" i="20"/>
  <c r="AG178" i="20"/>
  <c r="AG278" i="20"/>
  <c r="AG280" i="20"/>
  <c r="AG288" i="20"/>
  <c r="AG287" i="20"/>
  <c r="AG289" i="20"/>
  <c r="AG331" i="20"/>
  <c r="AG353" i="20"/>
  <c r="AG356" i="20"/>
  <c r="AG184" i="20"/>
  <c r="AG143" i="20"/>
  <c r="AG242" i="20"/>
  <c r="AG262" i="20"/>
  <c r="AG127" i="20"/>
  <c r="AG130" i="20"/>
  <c r="AG195" i="20"/>
  <c r="AG116" i="20"/>
  <c r="AG218" i="20"/>
  <c r="AG156" i="20"/>
  <c r="AG69" i="20"/>
  <c r="AG110" i="20"/>
  <c r="AG196" i="20"/>
  <c r="AG275" i="20"/>
  <c r="AG284" i="20"/>
  <c r="AG303" i="20"/>
  <c r="AG45" i="20"/>
  <c r="AG146" i="20"/>
  <c r="AG344" i="20"/>
  <c r="AG77" i="20"/>
  <c r="AG234" i="20"/>
  <c r="AG260" i="20"/>
  <c r="AG359" i="20"/>
  <c r="AG34" i="20"/>
  <c r="AG42" i="20"/>
  <c r="AG199" i="20"/>
  <c r="AG207" i="20"/>
  <c r="AG270" i="20"/>
  <c r="AG292" i="20"/>
  <c r="AG297" i="20"/>
  <c r="AG304" i="20"/>
  <c r="AG339" i="20"/>
  <c r="AG368" i="20"/>
  <c r="AG86" i="20"/>
  <c r="AG119" i="20"/>
  <c r="AG54" i="20"/>
  <c r="AG322" i="20"/>
  <c r="AG249" i="20"/>
  <c r="AG148" i="20"/>
  <c r="AG68" i="20"/>
  <c r="AG4" i="20"/>
  <c r="AG8" i="20"/>
  <c r="AG43" i="20"/>
  <c r="AG108" i="20"/>
  <c r="AG179" i="20"/>
  <c r="AG209" i="20"/>
  <c r="AG274" i="20"/>
  <c r="AG282" i="20"/>
  <c r="AG290" i="20"/>
  <c r="AG312" i="20"/>
  <c r="AG317" i="20"/>
  <c r="AG328" i="20"/>
  <c r="AG340" i="20"/>
  <c r="AG355" i="20"/>
  <c r="AG183" i="20"/>
  <c r="AG46" i="20"/>
  <c r="AG147" i="20"/>
  <c r="AG243" i="20"/>
  <c r="AG61" i="20"/>
  <c r="AG104" i="20"/>
  <c r="AG192" i="20"/>
  <c r="AG236" i="20"/>
  <c r="AG256" i="20"/>
  <c r="AG84" i="20"/>
  <c r="AG118" i="20"/>
  <c r="AG52" i="20"/>
  <c r="AG53" i="20"/>
  <c r="AG266" i="20"/>
  <c r="AG2" i="20"/>
  <c r="AG31" i="20"/>
  <c r="AG59" i="20"/>
  <c r="AG171" i="20"/>
  <c r="AG202" i="20"/>
  <c r="AG210" i="20"/>
  <c r="AG281" i="20"/>
  <c r="AG336" i="20"/>
  <c r="AG29" i="20"/>
  <c r="AG6" i="20"/>
  <c r="AG186" i="20"/>
  <c r="AG240" i="20"/>
  <c r="AG115" i="20"/>
  <c r="AG253" i="20"/>
  <c r="AG150" i="20"/>
  <c r="AG62" i="20"/>
  <c r="AG222" i="20"/>
  <c r="AG27" i="20"/>
  <c r="AG32" i="20"/>
  <c r="AG39" i="20"/>
  <c r="AG204" i="20"/>
  <c r="AG285" i="20"/>
  <c r="AG296" i="20"/>
  <c r="AG301" i="20"/>
  <c r="AG325" i="20"/>
  <c r="AG187" i="20"/>
  <c r="AG258" i="20"/>
  <c r="AG91" i="20"/>
  <c r="AG113" i="20"/>
  <c r="AG125" i="20"/>
  <c r="AG161" i="20"/>
  <c r="AG65" i="20"/>
  <c r="AG5" i="20"/>
  <c r="AG11" i="20"/>
  <c r="AG24" i="20"/>
  <c r="AG58" i="20"/>
  <c r="AG173" i="20"/>
  <c r="AG197" i="20"/>
  <c r="AG205" i="20"/>
  <c r="AG213" i="20"/>
  <c r="AG277" i="20"/>
  <c r="AG299" i="20"/>
  <c r="AG313" i="20"/>
  <c r="AG332" i="20"/>
  <c r="AG335" i="20"/>
  <c r="AG140" i="20"/>
  <c r="AG320" i="20"/>
  <c r="AG350" i="20"/>
  <c r="AG188" i="20"/>
  <c r="AG360" i="20"/>
  <c r="AG361" i="20"/>
  <c r="AG88" i="20"/>
  <c r="AG89" i="20"/>
  <c r="AG129" i="20"/>
  <c r="AG252" i="20"/>
  <c r="AG246" i="20"/>
  <c r="AG151" i="20"/>
  <c r="AG155" i="20"/>
  <c r="AG159" i="20"/>
  <c r="AG166" i="20"/>
  <c r="AG225" i="20"/>
  <c r="AG229" i="20"/>
  <c r="AG21" i="20"/>
  <c r="AG17" i="20"/>
  <c r="AG55" i="20"/>
  <c r="AG57" i="20"/>
  <c r="AG174" i="20"/>
  <c r="AG198" i="20"/>
  <c r="AG201" i="20"/>
  <c r="AG291" i="20"/>
  <c r="AG302" i="20"/>
  <c r="AG308" i="20"/>
  <c r="AG314" i="20"/>
  <c r="AG365" i="20"/>
  <c r="AG369" i="20"/>
  <c r="AG60" i="20"/>
  <c r="AG7" i="20"/>
  <c r="AG255" i="20"/>
  <c r="AG100" i="20"/>
  <c r="AG112" i="20"/>
  <c r="AG124" i="20"/>
  <c r="AG117" i="20"/>
  <c r="AG49" i="20"/>
  <c r="AG138" i="20"/>
  <c r="AG269" i="20"/>
  <c r="AG82" i="20"/>
  <c r="AG251" i="20"/>
  <c r="AG165" i="20"/>
  <c r="AG167" i="20"/>
  <c r="AG64" i="20"/>
  <c r="AG226" i="20"/>
  <c r="AG16" i="20"/>
  <c r="AG80" i="20"/>
  <c r="AG279" i="20"/>
  <c r="AG286" i="20"/>
  <c r="AG323" i="20"/>
  <c r="AG351" i="20"/>
  <c r="AG181" i="20"/>
  <c r="AG44" i="20"/>
  <c r="AG102" i="20"/>
  <c r="AG189" i="20"/>
  <c r="AG257" i="20"/>
  <c r="AG50" i="20"/>
  <c r="AG247" i="20"/>
  <c r="AG158" i="20"/>
  <c r="AG164" i="20"/>
  <c r="AG67" i="20"/>
  <c r="AG123" i="20"/>
  <c r="AG223" i="20"/>
  <c r="AG12" i="20"/>
  <c r="AG15" i="20"/>
  <c r="AG20" i="20"/>
  <c r="AG74" i="20"/>
  <c r="AG128" i="20"/>
  <c r="AG177" i="20"/>
  <c r="AG211" i="20"/>
  <c r="AG311" i="20"/>
  <c r="AG319" i="20"/>
  <c r="AG330" i="20"/>
  <c r="AG348" i="20"/>
  <c r="AG141" i="20"/>
  <c r="AG345" i="20"/>
  <c r="AG235" i="20"/>
  <c r="AG265" i="20"/>
  <c r="AG362" i="20"/>
  <c r="AG93" i="20"/>
  <c r="AG96" i="20"/>
  <c r="AG219" i="20"/>
  <c r="AG217" i="20"/>
  <c r="AG152" i="20"/>
  <c r="AG18" i="20"/>
  <c r="AG25" i="20"/>
  <c r="AG40" i="20"/>
  <c r="AG56" i="20"/>
  <c r="AG73" i="20"/>
  <c r="AG75" i="20"/>
  <c r="AG175" i="20"/>
  <c r="AG176" i="20"/>
  <c r="AG200" i="20"/>
  <c r="AG316" i="20"/>
  <c r="AG338" i="20"/>
  <c r="AG349" i="20"/>
  <c r="AG215" i="20"/>
  <c r="AG373" i="20"/>
  <c r="AG371" i="20"/>
  <c r="AG346" i="20"/>
  <c r="AG142" i="20"/>
  <c r="AG264" i="20"/>
  <c r="AG87" i="20"/>
  <c r="AG94" i="20"/>
  <c r="AG101" i="20"/>
  <c r="AG111" i="20"/>
  <c r="AG131" i="20"/>
  <c r="AG72" i="20"/>
  <c r="AG254" i="20"/>
  <c r="AG154" i="20"/>
  <c r="AG169" i="20"/>
  <c r="AG66" i="20"/>
  <c r="AG232" i="20"/>
  <c r="AG233" i="20"/>
  <c r="AG13" i="20"/>
  <c r="AG26" i="20"/>
  <c r="AG38" i="20"/>
  <c r="AG172" i="20"/>
  <c r="AG212" i="20"/>
  <c r="AG273" i="20"/>
  <c r="AG310" i="20"/>
  <c r="AG315" i="20"/>
  <c r="AG326" i="20"/>
  <c r="AG352" i="20"/>
  <c r="AG185" i="20"/>
  <c r="AG78" i="20"/>
  <c r="AG105" i="20"/>
  <c r="AG191" i="20"/>
  <c r="AG99" i="20"/>
  <c r="AG51" i="20"/>
  <c r="AG134" i="20"/>
  <c r="AG160" i="20"/>
  <c r="AG33" i="20"/>
  <c r="AG37" i="20"/>
  <c r="AG81" i="20"/>
  <c r="AG180" i="20"/>
  <c r="AG327" i="20"/>
  <c r="AG354" i="20"/>
  <c r="AG145" i="20"/>
  <c r="AG341" i="20"/>
  <c r="AG106" i="20"/>
  <c r="AG190" i="20"/>
  <c r="AG259" i="20"/>
  <c r="AG92" i="20"/>
  <c r="AG122" i="20"/>
  <c r="AG220" i="20"/>
  <c r="AG268" i="20"/>
  <c r="AG132" i="20"/>
  <c r="AG163" i="20"/>
  <c r="AG10" i="20"/>
  <c r="AG208" i="20"/>
  <c r="AG206" i="20"/>
  <c r="AG276" i="20"/>
  <c r="AG293" i="20"/>
  <c r="AG307" i="20"/>
  <c r="AG47" i="20"/>
  <c r="AG48" i="20"/>
  <c r="AG144" i="20"/>
  <c r="AG321" i="20"/>
  <c r="AG342" i="20"/>
  <c r="AG107" i="20"/>
  <c r="AG364" i="20"/>
  <c r="AG95" i="20"/>
  <c r="AG126" i="20"/>
  <c r="AG137" i="20"/>
  <c r="AG245" i="20"/>
  <c r="AG135" i="20"/>
  <c r="AG153" i="20"/>
  <c r="AG63" i="20"/>
  <c r="AG231" i="20"/>
  <c r="AG23" i="20"/>
  <c r="AG36" i="20"/>
  <c r="AG76" i="20"/>
  <c r="AG170" i="20"/>
  <c r="AG272" i="20"/>
  <c r="AG298" i="20"/>
  <c r="AG334" i="20"/>
  <c r="AG337" i="20"/>
  <c r="AG366" i="20"/>
  <c r="AG214" i="20"/>
  <c r="AG28" i="20"/>
  <c r="AG343" i="20"/>
  <c r="AG239" i="20"/>
  <c r="AG238" i="20"/>
  <c r="AG358" i="20"/>
  <c r="AG90" i="20"/>
  <c r="AG98" i="20"/>
  <c r="AG136" i="20"/>
  <c r="AG244" i="20"/>
  <c r="AG133" i="20"/>
  <c r="AG149" i="20"/>
  <c r="AG157" i="20"/>
  <c r="AG162" i="20"/>
  <c r="AG224" i="20"/>
  <c r="AG227" i="20"/>
  <c r="AG230" i="20"/>
  <c r="AF9" i="20"/>
  <c r="AF19" i="20"/>
  <c r="AF35" i="20"/>
  <c r="AF109" i="20"/>
  <c r="AF203" i="20"/>
  <c r="AF283" i="20"/>
  <c r="AF295" i="20"/>
  <c r="AF300" i="20"/>
  <c r="AF309" i="20"/>
  <c r="AF333" i="20"/>
  <c r="AF367" i="20"/>
  <c r="AF261" i="20"/>
  <c r="AF363" i="20"/>
  <c r="AF97" i="20"/>
  <c r="AF114" i="20"/>
  <c r="AF120" i="20"/>
  <c r="AF216" i="20"/>
  <c r="AF71" i="20"/>
  <c r="AF83" i="20"/>
  <c r="AF248" i="20"/>
  <c r="AF168" i="20"/>
  <c r="AF70" i="20"/>
  <c r="AF3" i="20"/>
  <c r="AF30" i="20"/>
  <c r="AF41" i="20"/>
  <c r="AF271" i="20"/>
  <c r="AF294" i="20"/>
  <c r="AF305" i="20"/>
  <c r="AF318" i="20"/>
  <c r="AF329" i="20"/>
  <c r="AF370" i="20"/>
  <c r="AF347" i="20"/>
  <c r="AF194" i="20"/>
  <c r="AF237" i="20"/>
  <c r="AF263" i="20"/>
  <c r="AF85" i="20"/>
  <c r="AF121" i="20"/>
  <c r="AF221" i="20"/>
  <c r="AF139" i="20"/>
  <c r="AF267" i="20"/>
  <c r="AF250" i="20"/>
  <c r="AF306" i="20"/>
  <c r="AF324" i="20"/>
  <c r="AF182" i="20"/>
  <c r="AF372" i="20"/>
  <c r="AF79" i="20"/>
  <c r="AF103" i="20"/>
  <c r="AF193" i="20"/>
  <c r="AF228" i="20"/>
  <c r="AF14" i="20"/>
  <c r="AF22" i="20"/>
  <c r="AF178" i="20"/>
  <c r="AF278" i="20"/>
  <c r="AF280" i="20"/>
  <c r="AF288" i="20"/>
  <c r="AF287" i="20"/>
  <c r="AF289" i="20"/>
  <c r="AF331" i="20"/>
  <c r="AF353" i="20"/>
  <c r="AF356" i="20"/>
  <c r="AF184" i="20"/>
  <c r="AF143" i="20"/>
  <c r="AF242" i="20"/>
  <c r="AF262" i="20"/>
  <c r="AF127" i="20"/>
  <c r="AF130" i="20"/>
  <c r="AF195" i="20"/>
  <c r="AF116" i="20"/>
  <c r="AF218" i="20"/>
  <c r="AF156" i="20"/>
  <c r="AF69" i="20"/>
  <c r="AF110" i="20"/>
  <c r="AF196" i="20"/>
  <c r="AF275" i="20"/>
  <c r="AF284" i="20"/>
  <c r="AF303" i="20"/>
  <c r="AF45" i="20"/>
  <c r="AF146" i="20"/>
  <c r="AF344" i="20"/>
  <c r="AF77" i="20"/>
  <c r="AF234" i="20"/>
  <c r="AF260" i="20"/>
  <c r="AF359" i="20"/>
  <c r="AF34" i="20"/>
  <c r="AF42" i="20"/>
  <c r="AF199" i="20"/>
  <c r="AF207" i="20"/>
  <c r="AF270" i="20"/>
  <c r="AF292" i="20"/>
  <c r="AF297" i="20"/>
  <c r="AF304" i="20"/>
  <c r="AF339" i="20"/>
  <c r="AF368" i="20"/>
  <c r="AF86" i="20"/>
  <c r="AF119" i="20"/>
  <c r="AF54" i="20"/>
  <c r="AF322" i="20"/>
  <c r="AF249" i="20"/>
  <c r="AF148" i="20"/>
  <c r="AF68" i="20"/>
  <c r="AF4" i="20"/>
  <c r="AF8" i="20"/>
  <c r="AF43" i="20"/>
  <c r="AF108" i="20"/>
  <c r="AF179" i="20"/>
  <c r="AF209" i="20"/>
  <c r="AF274" i="20"/>
  <c r="AF282" i="20"/>
  <c r="AF290" i="20"/>
  <c r="AF312" i="20"/>
  <c r="AF317" i="20"/>
  <c r="AF328" i="20"/>
  <c r="AF340" i="20"/>
  <c r="AF355" i="20"/>
  <c r="AF183" i="20"/>
  <c r="AF46" i="20"/>
  <c r="AF147" i="20"/>
  <c r="AF243" i="20"/>
  <c r="AF61" i="20"/>
  <c r="AF104" i="20"/>
  <c r="AF192" i="20"/>
  <c r="AF236" i="20"/>
  <c r="AF256" i="20"/>
  <c r="AF84" i="20"/>
  <c r="AF118" i="20"/>
  <c r="AF52" i="20"/>
  <c r="AF53" i="20"/>
  <c r="AF266" i="20"/>
  <c r="AF2" i="20"/>
  <c r="AF31" i="20"/>
  <c r="AF59" i="20"/>
  <c r="AF171" i="20"/>
  <c r="AF202" i="20"/>
  <c r="AF210" i="20"/>
  <c r="AF281" i="20"/>
  <c r="AF336" i="20"/>
  <c r="AF29" i="20"/>
  <c r="AF6" i="20"/>
  <c r="AF186" i="20"/>
  <c r="AF240" i="20"/>
  <c r="AF115" i="20"/>
  <c r="AF253" i="20"/>
  <c r="AF150" i="20"/>
  <c r="AF62" i="20"/>
  <c r="AF222" i="20"/>
  <c r="AF27" i="20"/>
  <c r="AF32" i="20"/>
  <c r="AF39" i="20"/>
  <c r="AF204" i="20"/>
  <c r="AF285" i="20"/>
  <c r="AF296" i="20"/>
  <c r="AF301" i="20"/>
  <c r="AF325" i="20"/>
  <c r="AF187" i="20"/>
  <c r="AF258" i="20"/>
  <c r="AF91" i="20"/>
  <c r="AF113" i="20"/>
  <c r="AF125" i="20"/>
  <c r="AF161" i="20"/>
  <c r="AF65" i="20"/>
  <c r="AF5" i="20"/>
  <c r="AF11" i="20"/>
  <c r="AF24" i="20"/>
  <c r="AF58" i="20"/>
  <c r="AF173" i="20"/>
  <c r="AF197" i="20"/>
  <c r="AF205" i="20"/>
  <c r="AF213" i="20"/>
  <c r="AF277" i="20"/>
  <c r="AF299" i="20"/>
  <c r="AF313" i="20"/>
  <c r="AF332" i="20"/>
  <c r="AF335" i="20"/>
  <c r="AF140" i="20"/>
  <c r="AF320" i="20"/>
  <c r="AF350" i="20"/>
  <c r="AF188" i="20"/>
  <c r="AF360" i="20"/>
  <c r="AF361" i="20"/>
  <c r="AF88" i="20"/>
  <c r="AF89" i="20"/>
  <c r="AF129" i="20"/>
  <c r="AF252" i="20"/>
  <c r="AF246" i="20"/>
  <c r="AF151" i="20"/>
  <c r="AF155" i="20"/>
  <c r="AF159" i="20"/>
  <c r="AF166" i="20"/>
  <c r="AF225" i="20"/>
  <c r="AF229" i="20"/>
  <c r="AF21" i="20"/>
  <c r="AF17" i="20"/>
  <c r="AF55" i="20"/>
  <c r="AF57" i="20"/>
  <c r="AF174" i="20"/>
  <c r="AF198" i="20"/>
  <c r="AF201" i="20"/>
  <c r="AF291" i="20"/>
  <c r="AF302" i="20"/>
  <c r="AF308" i="20"/>
  <c r="AF314" i="20"/>
  <c r="AF365" i="20"/>
  <c r="AF369" i="20"/>
  <c r="AF60" i="20"/>
  <c r="AF7" i="20"/>
  <c r="AF255" i="20"/>
  <c r="AF100" i="20"/>
  <c r="AF112" i="20"/>
  <c r="AF124" i="20"/>
  <c r="AF117" i="20"/>
  <c r="AF49" i="20"/>
  <c r="AF138" i="20"/>
  <c r="AF269" i="20"/>
  <c r="AF82" i="20"/>
  <c r="AF251" i="20"/>
  <c r="AF165" i="20"/>
  <c r="AF167" i="20"/>
  <c r="AF64" i="20"/>
  <c r="AF226" i="20"/>
  <c r="AF16" i="20"/>
  <c r="AF80" i="20"/>
  <c r="AF279" i="20"/>
  <c r="AF286" i="20"/>
  <c r="AF323" i="20"/>
  <c r="AF351" i="20"/>
  <c r="AF181" i="20"/>
  <c r="AF44" i="20"/>
  <c r="AF102" i="20"/>
  <c r="AF189" i="20"/>
  <c r="AF257" i="20"/>
  <c r="AF50" i="20"/>
  <c r="AF247" i="20"/>
  <c r="AF158" i="20"/>
  <c r="AF164" i="20"/>
  <c r="AF67" i="20"/>
  <c r="AF123" i="20"/>
  <c r="AF223" i="20"/>
  <c r="AF12" i="20"/>
  <c r="AF15" i="20"/>
  <c r="AF20" i="20"/>
  <c r="AF74" i="20"/>
  <c r="AF128" i="20"/>
  <c r="AF177" i="20"/>
  <c r="AF211" i="20"/>
  <c r="AF311" i="20"/>
  <c r="AF319" i="20"/>
  <c r="AF330" i="20"/>
  <c r="AF348" i="20"/>
  <c r="AF141" i="20"/>
  <c r="AF345" i="20"/>
  <c r="AF235" i="20"/>
  <c r="AF265" i="20"/>
  <c r="AF362" i="20"/>
  <c r="AF93" i="20"/>
  <c r="AF96" i="20"/>
  <c r="AF219" i="20"/>
  <c r="AF217" i="20"/>
  <c r="AF152" i="20"/>
  <c r="AF18" i="20"/>
  <c r="AF25" i="20"/>
  <c r="AF40" i="20"/>
  <c r="AF56" i="20"/>
  <c r="AF73" i="20"/>
  <c r="AF75" i="20"/>
  <c r="AF175" i="20"/>
  <c r="AF176" i="20"/>
  <c r="AF200" i="20"/>
  <c r="AF316" i="20"/>
  <c r="AF338" i="20"/>
  <c r="AF349" i="20"/>
  <c r="AF215" i="20"/>
  <c r="AF373" i="20"/>
  <c r="AF371" i="20"/>
  <c r="AF346" i="20"/>
  <c r="AF142" i="20"/>
  <c r="AF264" i="20"/>
  <c r="AF87" i="20"/>
  <c r="AF94" i="20"/>
  <c r="AF101" i="20"/>
  <c r="AF111" i="20"/>
  <c r="AF131" i="20"/>
  <c r="AF72" i="20"/>
  <c r="AF254" i="20"/>
  <c r="AF154" i="20"/>
  <c r="AF169" i="20"/>
  <c r="AF66" i="20"/>
  <c r="AF232" i="20"/>
  <c r="AF233" i="20"/>
  <c r="AF13" i="20"/>
  <c r="AF26" i="20"/>
  <c r="AF38" i="20"/>
  <c r="AF172" i="20"/>
  <c r="AF212" i="20"/>
  <c r="AF273" i="20"/>
  <c r="AF310" i="20"/>
  <c r="AF315" i="20"/>
  <c r="AF326" i="20"/>
  <c r="AF352" i="20"/>
  <c r="AF185" i="20"/>
  <c r="AF78" i="20"/>
  <c r="AF105" i="20"/>
  <c r="AF191" i="20"/>
  <c r="AF99" i="20"/>
  <c r="AF51" i="20"/>
  <c r="AF134" i="20"/>
  <c r="AF160" i="20"/>
  <c r="AF33" i="20"/>
  <c r="AF37" i="20"/>
  <c r="AF81" i="20"/>
  <c r="AF180" i="20"/>
  <c r="AF327" i="20"/>
  <c r="AF354" i="20"/>
  <c r="AF145" i="20"/>
  <c r="AF341" i="20"/>
  <c r="AF106" i="20"/>
  <c r="AF190" i="20"/>
  <c r="AF259" i="20"/>
  <c r="AF92" i="20"/>
  <c r="AF122" i="20"/>
  <c r="AF220" i="20"/>
  <c r="AF268" i="20"/>
  <c r="AF132" i="20"/>
  <c r="AF163" i="20"/>
  <c r="AF10" i="20"/>
  <c r="AF208" i="20"/>
  <c r="AF206" i="20"/>
  <c r="AF276" i="20"/>
  <c r="AF293" i="20"/>
  <c r="AF307" i="20"/>
  <c r="AF47" i="20"/>
  <c r="AF48" i="20"/>
  <c r="AF144" i="20"/>
  <c r="AF321" i="20"/>
  <c r="AF342" i="20"/>
  <c r="AF107" i="20"/>
  <c r="AF364" i="20"/>
  <c r="AF95" i="20"/>
  <c r="AF126" i="20"/>
  <c r="AF137" i="20"/>
  <c r="AF245" i="20"/>
  <c r="AF135" i="20"/>
  <c r="AF153" i="20"/>
  <c r="AF63" i="20"/>
  <c r="AF231" i="20"/>
  <c r="AF23" i="20"/>
  <c r="AF36" i="20"/>
  <c r="AF76" i="20"/>
  <c r="AF170" i="20"/>
  <c r="AF272" i="20"/>
  <c r="AF298" i="20"/>
  <c r="AF334" i="20"/>
  <c r="AF337" i="20"/>
  <c r="AF366" i="20"/>
  <c r="AF214" i="20"/>
  <c r="AF28" i="20"/>
  <c r="AF343" i="20"/>
  <c r="AF239" i="20"/>
  <c r="AF238" i="20"/>
  <c r="AF358" i="20"/>
  <c r="AF90" i="20"/>
  <c r="AF98" i="20"/>
  <c r="AF136" i="20"/>
  <c r="AF244" i="20"/>
  <c r="AF133" i="20"/>
  <c r="AF149" i="20"/>
  <c r="AF157" i="20"/>
  <c r="AF162" i="20"/>
  <c r="AF224" i="20"/>
  <c r="AF227" i="20"/>
  <c r="AF230" i="20"/>
  <c r="AE9" i="20"/>
  <c r="AE19" i="20"/>
  <c r="AE35" i="20"/>
  <c r="AE109" i="20"/>
  <c r="AE203" i="20"/>
  <c r="AE283" i="20"/>
  <c r="AE295" i="20"/>
  <c r="AE300" i="20"/>
  <c r="AE309" i="20"/>
  <c r="AE333" i="20"/>
  <c r="AE367" i="20"/>
  <c r="AE261" i="20"/>
  <c r="AE363" i="20"/>
  <c r="AE97" i="20"/>
  <c r="AE114" i="20"/>
  <c r="AE120" i="20"/>
  <c r="AE216" i="20"/>
  <c r="AE71" i="20"/>
  <c r="AE83" i="20"/>
  <c r="AE248" i="20"/>
  <c r="AE168" i="20"/>
  <c r="AE70" i="20"/>
  <c r="AE3" i="20"/>
  <c r="AE30" i="20"/>
  <c r="AE41" i="20"/>
  <c r="AE271" i="20"/>
  <c r="AE294" i="20"/>
  <c r="AE305" i="20"/>
  <c r="AE318" i="20"/>
  <c r="AE329" i="20"/>
  <c r="AE370" i="20"/>
  <c r="AE347" i="20"/>
  <c r="AE194" i="20"/>
  <c r="AE237" i="20"/>
  <c r="AE263" i="20"/>
  <c r="AE85" i="20"/>
  <c r="AE121" i="20"/>
  <c r="AE221" i="20"/>
  <c r="AE139" i="20"/>
  <c r="AE267" i="20"/>
  <c r="AE250" i="20"/>
  <c r="AE306" i="20"/>
  <c r="AE324" i="20"/>
  <c r="AE182" i="20"/>
  <c r="AE372" i="20"/>
  <c r="AE79" i="20"/>
  <c r="AE103" i="20"/>
  <c r="AE193" i="20"/>
  <c r="AE228" i="20"/>
  <c r="AE14" i="20"/>
  <c r="AE22" i="20"/>
  <c r="AE178" i="20"/>
  <c r="AE278" i="20"/>
  <c r="AE280" i="20"/>
  <c r="AE288" i="20"/>
  <c r="AE287" i="20"/>
  <c r="AE289" i="20"/>
  <c r="AE331" i="20"/>
  <c r="AE353" i="20"/>
  <c r="AE356" i="20"/>
  <c r="AE184" i="20"/>
  <c r="AE143" i="20"/>
  <c r="AE242" i="20"/>
  <c r="AE262" i="20"/>
  <c r="AE127" i="20"/>
  <c r="AE130" i="20"/>
  <c r="AE195" i="20"/>
  <c r="AE116" i="20"/>
  <c r="AE218" i="20"/>
  <c r="AE156" i="20"/>
  <c r="AE69" i="20"/>
  <c r="AE110" i="20"/>
  <c r="AE196" i="20"/>
  <c r="AE275" i="20"/>
  <c r="AE284" i="20"/>
  <c r="AE303" i="20"/>
  <c r="AE45" i="20"/>
  <c r="AE146" i="20"/>
  <c r="AE344" i="20"/>
  <c r="AE77" i="20"/>
  <c r="AE234" i="20"/>
  <c r="AE260" i="20"/>
  <c r="AE359" i="20"/>
  <c r="AE34" i="20"/>
  <c r="AE42" i="20"/>
  <c r="AE199" i="20"/>
  <c r="AE207" i="20"/>
  <c r="AE270" i="20"/>
  <c r="AE292" i="20"/>
  <c r="AE297" i="20"/>
  <c r="AE304" i="20"/>
  <c r="AE339" i="20"/>
  <c r="AE368" i="20"/>
  <c r="AE86" i="20"/>
  <c r="AE119" i="20"/>
  <c r="AE54" i="20"/>
  <c r="AE322" i="20"/>
  <c r="AE249" i="20"/>
  <c r="AE148" i="20"/>
  <c r="AE68" i="20"/>
  <c r="AE4" i="20"/>
  <c r="AE8" i="20"/>
  <c r="AE43" i="20"/>
  <c r="AE108" i="20"/>
  <c r="AE179" i="20"/>
  <c r="AE209" i="20"/>
  <c r="AE274" i="20"/>
  <c r="AE282" i="20"/>
  <c r="AE290" i="20"/>
  <c r="AE312" i="20"/>
  <c r="AE317" i="20"/>
  <c r="AE328" i="20"/>
  <c r="AE340" i="20"/>
  <c r="AE355" i="20"/>
  <c r="AE183" i="20"/>
  <c r="AE46" i="20"/>
  <c r="AE147" i="20"/>
  <c r="AE243" i="20"/>
  <c r="AE61" i="20"/>
  <c r="AE104" i="20"/>
  <c r="AE192" i="20"/>
  <c r="AE236" i="20"/>
  <c r="AE256" i="20"/>
  <c r="AE84" i="20"/>
  <c r="AE118" i="20"/>
  <c r="AE52" i="20"/>
  <c r="AE53" i="20"/>
  <c r="AE266" i="20"/>
  <c r="AE2" i="20"/>
  <c r="AE31" i="20"/>
  <c r="AE59" i="20"/>
  <c r="AE171" i="20"/>
  <c r="AE202" i="20"/>
  <c r="AE210" i="20"/>
  <c r="AE281" i="20"/>
  <c r="AE336" i="20"/>
  <c r="AE29" i="20"/>
  <c r="AE6" i="20"/>
  <c r="AE186" i="20"/>
  <c r="AE240" i="20"/>
  <c r="AE115" i="20"/>
  <c r="AE253" i="20"/>
  <c r="AE150" i="20"/>
  <c r="AE62" i="20"/>
  <c r="AE222" i="20"/>
  <c r="AE27" i="20"/>
  <c r="AE32" i="20"/>
  <c r="AE39" i="20"/>
  <c r="AE204" i="20"/>
  <c r="AE285" i="20"/>
  <c r="AE296" i="20"/>
  <c r="AE301" i="20"/>
  <c r="AE325" i="20"/>
  <c r="AE187" i="20"/>
  <c r="AE258" i="20"/>
  <c r="AE91" i="20"/>
  <c r="AE113" i="20"/>
  <c r="AE125" i="20"/>
  <c r="AE161" i="20"/>
  <c r="AE65" i="20"/>
  <c r="AE5" i="20"/>
  <c r="AE11" i="20"/>
  <c r="AE24" i="20"/>
  <c r="AE58" i="20"/>
  <c r="AE173" i="20"/>
  <c r="AE197" i="20"/>
  <c r="AE205" i="20"/>
  <c r="AE213" i="20"/>
  <c r="AE277" i="20"/>
  <c r="AE299" i="20"/>
  <c r="AE313" i="20"/>
  <c r="AE332" i="20"/>
  <c r="AE335" i="20"/>
  <c r="AE140" i="20"/>
  <c r="AE320" i="20"/>
  <c r="AE350" i="20"/>
  <c r="AE188" i="20"/>
  <c r="AE360" i="20"/>
  <c r="AE361" i="20"/>
  <c r="AE88" i="20"/>
  <c r="AE89" i="20"/>
  <c r="AE129" i="20"/>
  <c r="AE252" i="20"/>
  <c r="AE246" i="20"/>
  <c r="AE151" i="20"/>
  <c r="AE155" i="20"/>
  <c r="AE159" i="20"/>
  <c r="AE166" i="20"/>
  <c r="AE225" i="20"/>
  <c r="AE229" i="20"/>
  <c r="AE21" i="20"/>
  <c r="AE17" i="20"/>
  <c r="AE55" i="20"/>
  <c r="AE57" i="20"/>
  <c r="AE174" i="20"/>
  <c r="AE198" i="20"/>
  <c r="AE201" i="20"/>
  <c r="AE291" i="20"/>
  <c r="AE302" i="20"/>
  <c r="AE308" i="20"/>
  <c r="AE314" i="20"/>
  <c r="AE365" i="20"/>
  <c r="AE369" i="20"/>
  <c r="AE60" i="20"/>
  <c r="AE7" i="20"/>
  <c r="AE255" i="20"/>
  <c r="AE100" i="20"/>
  <c r="AE112" i="20"/>
  <c r="AE124" i="20"/>
  <c r="AE117" i="20"/>
  <c r="AE49" i="20"/>
  <c r="AE138" i="20"/>
  <c r="AE269" i="20"/>
  <c r="AE82" i="20"/>
  <c r="AE251" i="20"/>
  <c r="AE165" i="20"/>
  <c r="AE167" i="20"/>
  <c r="AE64" i="20"/>
  <c r="AE226" i="20"/>
  <c r="AE16" i="20"/>
  <c r="AE80" i="20"/>
  <c r="AE279" i="20"/>
  <c r="AE286" i="20"/>
  <c r="AE323" i="20"/>
  <c r="AE351" i="20"/>
  <c r="AE181" i="20"/>
  <c r="AE44" i="20"/>
  <c r="AE102" i="20"/>
  <c r="AE189" i="20"/>
  <c r="AE257" i="20"/>
  <c r="AE50" i="20"/>
  <c r="AE247" i="20"/>
  <c r="AE158" i="20"/>
  <c r="AE164" i="20"/>
  <c r="AE67" i="20"/>
  <c r="AE123" i="20"/>
  <c r="AE223" i="20"/>
  <c r="AE12" i="20"/>
  <c r="AE15" i="20"/>
  <c r="AE20" i="20"/>
  <c r="AE74" i="20"/>
  <c r="AE128" i="20"/>
  <c r="AE177" i="20"/>
  <c r="AE211" i="20"/>
  <c r="AE311" i="20"/>
  <c r="AE319" i="20"/>
  <c r="AE330" i="20"/>
  <c r="AE348" i="20"/>
  <c r="AE141" i="20"/>
  <c r="AE345" i="20"/>
  <c r="AE235" i="20"/>
  <c r="AE265" i="20"/>
  <c r="AE362" i="20"/>
  <c r="AE93" i="20"/>
  <c r="AE96" i="20"/>
  <c r="AE219" i="20"/>
  <c r="AE217" i="20"/>
  <c r="AE152" i="20"/>
  <c r="AE18" i="20"/>
  <c r="AE25" i="20"/>
  <c r="AE40" i="20"/>
  <c r="AE56" i="20"/>
  <c r="AE73" i="20"/>
  <c r="AE75" i="20"/>
  <c r="AE175" i="20"/>
  <c r="AE176" i="20"/>
  <c r="AE200" i="20"/>
  <c r="AE316" i="20"/>
  <c r="AE338" i="20"/>
  <c r="AE349" i="20"/>
  <c r="AE215" i="20"/>
  <c r="AE373" i="20"/>
  <c r="AE371" i="20"/>
  <c r="AE346" i="20"/>
  <c r="AE142" i="20"/>
  <c r="AE264" i="20"/>
  <c r="AE87" i="20"/>
  <c r="AE94" i="20"/>
  <c r="AE101" i="20"/>
  <c r="AE111" i="20"/>
  <c r="AE131" i="20"/>
  <c r="AE72" i="20"/>
  <c r="AE254" i="20"/>
  <c r="AE154" i="20"/>
  <c r="AE169" i="20"/>
  <c r="AE66" i="20"/>
  <c r="AE232" i="20"/>
  <c r="AE233" i="20"/>
  <c r="AE13" i="20"/>
  <c r="AE26" i="20"/>
  <c r="AE38" i="20"/>
  <c r="AE172" i="20"/>
  <c r="AE212" i="20"/>
  <c r="AE273" i="20"/>
  <c r="AE310" i="20"/>
  <c r="AE315" i="20"/>
  <c r="AE326" i="20"/>
  <c r="AE352" i="20"/>
  <c r="AE185" i="20"/>
  <c r="AE78" i="20"/>
  <c r="AE105" i="20"/>
  <c r="AE191" i="20"/>
  <c r="AE99" i="20"/>
  <c r="AE51" i="20"/>
  <c r="AE134" i="20"/>
  <c r="AE160" i="20"/>
  <c r="AE33" i="20"/>
  <c r="AE37" i="20"/>
  <c r="AE81" i="20"/>
  <c r="AE180" i="20"/>
  <c r="AE327" i="20"/>
  <c r="AE354" i="20"/>
  <c r="AE145" i="20"/>
  <c r="AE341" i="20"/>
  <c r="AE106" i="20"/>
  <c r="AE190" i="20"/>
  <c r="AE259" i="20"/>
  <c r="AE92" i="20"/>
  <c r="AE122" i="20"/>
  <c r="AE220" i="20"/>
  <c r="AE268" i="20"/>
  <c r="AE132" i="20"/>
  <c r="AE163" i="20"/>
  <c r="AE10" i="20"/>
  <c r="AE208" i="20"/>
  <c r="AE206" i="20"/>
  <c r="AE276" i="20"/>
  <c r="AE293" i="20"/>
  <c r="AE307" i="20"/>
  <c r="AE47" i="20"/>
  <c r="AE48" i="20"/>
  <c r="AE144" i="20"/>
  <c r="AE321" i="20"/>
  <c r="AE342" i="20"/>
  <c r="AE107" i="20"/>
  <c r="AE364" i="20"/>
  <c r="AE95" i="20"/>
  <c r="AE126" i="20"/>
  <c r="AE137" i="20"/>
  <c r="AE245" i="20"/>
  <c r="AE135" i="20"/>
  <c r="AE153" i="20"/>
  <c r="AE63" i="20"/>
  <c r="AE231" i="20"/>
  <c r="AE23" i="20"/>
  <c r="AE36" i="20"/>
  <c r="AE76" i="20"/>
  <c r="AE170" i="20"/>
  <c r="AE272" i="20"/>
  <c r="AE298" i="20"/>
  <c r="AE334" i="20"/>
  <c r="AE337" i="20"/>
  <c r="AE366" i="20"/>
  <c r="AE214" i="20"/>
  <c r="AE28" i="20"/>
  <c r="AE343" i="20"/>
  <c r="AE239" i="20"/>
  <c r="AE238" i="20"/>
  <c r="AE358" i="20"/>
  <c r="AE90" i="20"/>
  <c r="AE98" i="20"/>
  <c r="AE136" i="20"/>
  <c r="AE244" i="20"/>
  <c r="AE133" i="20"/>
  <c r="AE149" i="20"/>
  <c r="AE157" i="20"/>
  <c r="AE162" i="20"/>
  <c r="AE224" i="20"/>
  <c r="AE227" i="20"/>
  <c r="AE230" i="20"/>
  <c r="L9" i="20"/>
  <c r="L20" i="28" l="1"/>
  <c r="L45" i="28"/>
  <c r="L305" i="28"/>
  <c r="L165" i="28"/>
  <c r="L174" i="28"/>
  <c r="L206" i="28"/>
  <c r="L224" i="28"/>
  <c r="L39" i="28"/>
  <c r="L106" i="28"/>
  <c r="L255" i="28"/>
  <c r="L270" i="28"/>
  <c r="L274" i="28"/>
  <c r="L96" i="28"/>
  <c r="L294" i="28"/>
  <c r="L256" i="28"/>
  <c r="M241" i="20"/>
  <c r="L261" i="28"/>
  <c r="L63" i="28"/>
  <c r="L88" i="28"/>
  <c r="L118" i="28"/>
  <c r="L215" i="28"/>
  <c r="L240" i="28"/>
  <c r="L70" i="28"/>
  <c r="L75" i="28"/>
  <c r="L80" i="28"/>
  <c r="L85" i="28"/>
  <c r="L90" i="28"/>
  <c r="L110" i="28"/>
  <c r="L160" i="28"/>
  <c r="L35" i="28"/>
  <c r="L32" i="28"/>
  <c r="L99" i="28"/>
  <c r="L169" i="28"/>
  <c r="L239" i="28"/>
  <c r="L5" i="28"/>
  <c r="L173" i="28"/>
  <c r="L209" i="28"/>
  <c r="L264" i="28"/>
  <c r="L281" i="28"/>
  <c r="L289" i="28"/>
  <c r="L295" i="28"/>
  <c r="M357" i="20"/>
  <c r="L10" i="28"/>
  <c r="L89" i="28"/>
  <c r="L124" i="28"/>
  <c r="L136" i="28"/>
  <c r="L148" i="28"/>
  <c r="L186" i="28"/>
  <c r="L244" i="28"/>
  <c r="L7" i="28"/>
  <c r="L111" i="28"/>
  <c r="L140" i="28"/>
  <c r="L262" i="28"/>
  <c r="L249" i="28"/>
  <c r="L161" i="28"/>
  <c r="L166" i="28"/>
  <c r="L185" i="28"/>
  <c r="L172" i="28"/>
  <c r="L225" i="28"/>
  <c r="L30" i="28"/>
  <c r="L315" i="28"/>
  <c r="L134" i="28"/>
  <c r="L191" i="28"/>
  <c r="L235" i="28"/>
  <c r="L286" i="28"/>
  <c r="L135" i="28"/>
  <c r="L197" i="28"/>
  <c r="L202" i="28"/>
  <c r="L226" i="28"/>
  <c r="AL236" i="28"/>
  <c r="AL241" i="28"/>
  <c r="L245" i="28"/>
  <c r="AL290" i="28"/>
  <c r="AL295" i="28"/>
  <c r="L6" i="28"/>
  <c r="L23" i="28"/>
  <c r="L48" i="28"/>
  <c r="L53" i="28"/>
  <c r="L95" i="28"/>
  <c r="L144" i="28"/>
  <c r="L149" i="28"/>
  <c r="L163" i="28"/>
  <c r="L168" i="28"/>
  <c r="L211" i="28"/>
  <c r="L230" i="28"/>
  <c r="L265" i="28"/>
  <c r="L285" i="28"/>
  <c r="L115" i="28"/>
  <c r="L122" i="28"/>
  <c r="L220" i="28"/>
  <c r="L251" i="28"/>
  <c r="L269" i="28"/>
  <c r="L271" i="28"/>
  <c r="L162" i="28"/>
  <c r="L196" i="28"/>
  <c r="L222" i="28"/>
  <c r="L300" i="28"/>
  <c r="L59" i="28"/>
  <c r="L64" i="28"/>
  <c r="L94" i="28"/>
  <c r="L109" i="28"/>
  <c r="L131" i="28"/>
  <c r="L193" i="28"/>
  <c r="AL225" i="28"/>
  <c r="L241" i="28"/>
  <c r="L250" i="28"/>
  <c r="AL269" i="28"/>
  <c r="AL271" i="28"/>
  <c r="L290" i="28"/>
  <c r="AL300" i="28"/>
  <c r="AL307" i="28"/>
  <c r="L121" i="28"/>
  <c r="L126" i="28"/>
  <c r="L231" i="28"/>
  <c r="AL302" i="28"/>
  <c r="L71" i="28"/>
  <c r="L81" i="28"/>
  <c r="L91" i="28"/>
  <c r="L116" i="28"/>
  <c r="L154" i="28"/>
  <c r="L190" i="28"/>
  <c r="AL229" i="28"/>
  <c r="AL246" i="28"/>
  <c r="AL248" i="28"/>
  <c r="L258" i="28"/>
  <c r="AL259" i="28"/>
  <c r="AL264" i="28"/>
  <c r="AL282" i="28"/>
  <c r="AL313" i="28"/>
  <c r="L114" i="28"/>
  <c r="L119" i="28"/>
  <c r="AL120" i="28"/>
  <c r="AL135" i="28"/>
  <c r="L139" i="28"/>
  <c r="AL153" i="28"/>
  <c r="AL189" i="28"/>
  <c r="L204" i="28"/>
  <c r="AL210" i="28"/>
  <c r="L214" i="28"/>
  <c r="L227" i="28"/>
  <c r="AL270" i="28"/>
  <c r="AL280" i="28"/>
  <c r="AL296" i="28"/>
  <c r="L310" i="28"/>
  <c r="AL215" i="28"/>
  <c r="AL233" i="28"/>
  <c r="AL316" i="28"/>
  <c r="L50" i="28"/>
  <c r="L141" i="28"/>
  <c r="L170" i="28"/>
  <c r="L201" i="28"/>
  <c r="L219" i="28"/>
  <c r="L266" i="28"/>
  <c r="L284" i="28"/>
  <c r="L297" i="28"/>
  <c r="L307" i="28"/>
  <c r="L4" i="28"/>
  <c r="L9" i="28"/>
  <c r="L29" i="28"/>
  <c r="L113" i="28"/>
  <c r="AL139" i="28"/>
  <c r="L164" i="28"/>
  <c r="L203" i="28"/>
  <c r="L216" i="28"/>
  <c r="L221" i="28"/>
  <c r="L234" i="28"/>
  <c r="L252" i="28"/>
  <c r="L260" i="28"/>
  <c r="L49" i="28"/>
  <c r="L54" i="28"/>
  <c r="L151" i="28"/>
  <c r="L156" i="28"/>
  <c r="AL170" i="28"/>
  <c r="L195" i="28"/>
  <c r="L236" i="28"/>
  <c r="L299" i="28"/>
  <c r="L309" i="28"/>
  <c r="L314" i="28"/>
  <c r="AL149" i="28"/>
  <c r="L179" i="28"/>
  <c r="L184" i="28"/>
  <c r="AL255" i="28"/>
  <c r="L291" i="28"/>
  <c r="AL297" i="28"/>
  <c r="AL4" i="28"/>
  <c r="AL29" i="28"/>
  <c r="AL57" i="28"/>
  <c r="L69" i="28"/>
  <c r="L74" i="28"/>
  <c r="L79" i="28"/>
  <c r="L84" i="28"/>
  <c r="L120" i="28"/>
  <c r="L125" i="28"/>
  <c r="L130" i="28"/>
  <c r="L145" i="28"/>
  <c r="AL177" i="28"/>
  <c r="L181" i="28"/>
  <c r="L189" i="28"/>
  <c r="AL203" i="28"/>
  <c r="L210" i="28"/>
  <c r="L254" i="28"/>
  <c r="AL289" i="28"/>
  <c r="L301" i="28"/>
  <c r="AL317" i="28"/>
  <c r="L104" i="28"/>
  <c r="L171" i="28"/>
  <c r="AL226" i="28"/>
  <c r="AL247" i="28"/>
  <c r="AL286" i="28"/>
  <c r="AL309" i="28"/>
  <c r="AL314" i="28"/>
  <c r="L86" i="28"/>
  <c r="AL97" i="28"/>
  <c r="L194" i="28"/>
  <c r="L112" i="28"/>
  <c r="L247" i="28"/>
  <c r="L277" i="28"/>
  <c r="L16" i="28"/>
  <c r="L34" i="28"/>
  <c r="L47" i="28"/>
  <c r="L87" i="28"/>
  <c r="L312" i="28"/>
  <c r="L101" i="28"/>
  <c r="L123" i="28"/>
  <c r="L200" i="28"/>
  <c r="L205" i="28"/>
  <c r="L304" i="28"/>
  <c r="L13" i="28"/>
  <c r="L18" i="28"/>
  <c r="L31" i="28"/>
  <c r="L44" i="28"/>
  <c r="L55" i="28"/>
  <c r="L60" i="28"/>
  <c r="L76" i="28"/>
  <c r="L98" i="28"/>
  <c r="L175" i="28"/>
  <c r="L180" i="28"/>
  <c r="L213" i="28"/>
  <c r="L268" i="28"/>
  <c r="L279" i="28"/>
  <c r="L287" i="28"/>
  <c r="L296" i="28"/>
  <c r="L317" i="28"/>
  <c r="L62" i="28"/>
  <c r="L65" i="28"/>
  <c r="L73" i="28"/>
  <c r="L147" i="28"/>
  <c r="L150" i="28"/>
  <c r="L155" i="28"/>
  <c r="L177" i="28"/>
  <c r="L188" i="28"/>
  <c r="L229" i="28"/>
  <c r="L237" i="28"/>
  <c r="L246" i="28"/>
  <c r="L259" i="28"/>
  <c r="L276" i="28"/>
  <c r="L303" i="28"/>
  <c r="L308" i="28"/>
  <c r="L15" i="28"/>
  <c r="L12" i="28"/>
  <c r="L17" i="28"/>
  <c r="L25" i="28"/>
  <c r="L38" i="28"/>
  <c r="L46" i="28"/>
  <c r="L97" i="28"/>
  <c r="L100" i="28"/>
  <c r="L105" i="28"/>
  <c r="L127" i="28"/>
  <c r="L138" i="28"/>
  <c r="L212" i="28"/>
  <c r="L292" i="28"/>
  <c r="L72" i="28"/>
  <c r="L102" i="28"/>
  <c r="L187" i="28"/>
  <c r="L283" i="28"/>
  <c r="L313" i="28"/>
  <c r="L316" i="28"/>
  <c r="L37" i="28"/>
  <c r="L40" i="28"/>
  <c r="L56" i="28"/>
  <c r="L61" i="28"/>
  <c r="L129" i="28"/>
  <c r="L137" i="28"/>
  <c r="L143" i="28"/>
  <c r="L146" i="28"/>
  <c r="L159" i="28"/>
  <c r="L176" i="28"/>
  <c r="L198" i="28"/>
  <c r="L233" i="28"/>
  <c r="L272" i="28"/>
  <c r="L275" i="28"/>
  <c r="L280" i="28"/>
  <c r="L2" i="28"/>
  <c r="L27" i="28"/>
  <c r="L42" i="28"/>
  <c r="L223" i="28"/>
  <c r="L248" i="28"/>
  <c r="L273" i="28"/>
  <c r="L298" i="28"/>
  <c r="L321" i="28"/>
  <c r="L57" i="28"/>
  <c r="L77" i="28"/>
  <c r="L152" i="28"/>
  <c r="L302" i="28"/>
  <c r="L306" i="28"/>
  <c r="L218" i="28"/>
  <c r="L243" i="28"/>
  <c r="L293" i="28"/>
  <c r="L19" i="28"/>
  <c r="L68" i="28"/>
  <c r="L93" i="28"/>
  <c r="L320" i="28"/>
  <c r="L8" i="28"/>
  <c r="L22" i="28"/>
  <c r="L26" i="28"/>
  <c r="L33" i="28"/>
  <c r="L41" i="28"/>
  <c r="L52" i="28"/>
  <c r="L238" i="28"/>
  <c r="L263" i="28"/>
  <c r="L288" i="28"/>
  <c r="L67" i="28"/>
  <c r="L92" i="28"/>
  <c r="L117" i="28"/>
  <c r="L142" i="28"/>
  <c r="L167" i="28"/>
  <c r="L192" i="28"/>
  <c r="L217" i="28"/>
  <c r="L242" i="28"/>
  <c r="L267" i="28"/>
  <c r="L323" i="28"/>
  <c r="L14" i="28"/>
  <c r="L36" i="28"/>
  <c r="L83" i="28"/>
  <c r="L108" i="28"/>
  <c r="L133" i="28"/>
  <c r="L158" i="28"/>
  <c r="L183" i="28"/>
  <c r="L208" i="28"/>
  <c r="L319" i="28"/>
  <c r="L3" i="28"/>
  <c r="L21" i="28"/>
  <c r="L28" i="28"/>
  <c r="L43" i="28"/>
  <c r="L51" i="28"/>
  <c r="L228" i="28"/>
  <c r="L253" i="28"/>
  <c r="L278" i="28"/>
  <c r="L311" i="28"/>
  <c r="L322" i="28"/>
  <c r="L11" i="28"/>
  <c r="L24" i="28"/>
  <c r="L58" i="28"/>
  <c r="L66" i="28"/>
  <c r="L78" i="28"/>
  <c r="L82" i="28"/>
  <c r="L103" i="28"/>
  <c r="L107" i="28"/>
  <c r="L128" i="28"/>
  <c r="L132" i="28"/>
  <c r="L153" i="28"/>
  <c r="L157" i="28"/>
  <c r="L178" i="28"/>
  <c r="L182" i="28"/>
  <c r="L207" i="28"/>
  <c r="L232" i="28"/>
  <c r="L257" i="28"/>
  <c r="L282" i="28"/>
  <c r="L318" i="28"/>
  <c r="L70" i="20"/>
  <c r="L35" i="20"/>
  <c r="L19" i="20"/>
  <c r="L168" i="20"/>
  <c r="L120" i="20"/>
  <c r="L114" i="20"/>
  <c r="L109" i="20"/>
  <c r="L97" i="20"/>
  <c r="L83" i="20"/>
  <c r="L216" i="20"/>
  <c r="L203" i="20"/>
  <c r="L261" i="20"/>
  <c r="L248" i="20"/>
  <c r="L333" i="20"/>
  <c r="L309" i="20"/>
  <c r="L300" i="20"/>
  <c r="L295" i="20"/>
  <c r="L283" i="20"/>
  <c r="L367" i="20"/>
  <c r="L363" i="20"/>
  <c r="L41" i="20"/>
  <c r="L30" i="20"/>
  <c r="L3" i="20"/>
  <c r="L194" i="20"/>
  <c r="L139" i="20"/>
  <c r="L121" i="20"/>
  <c r="L85" i="20"/>
  <c r="L237" i="20"/>
  <c r="L221" i="20"/>
  <c r="L263" i="20"/>
  <c r="L250" i="20"/>
  <c r="L347" i="20"/>
  <c r="L329" i="20"/>
  <c r="L318" i="20"/>
  <c r="L305" i="20"/>
  <c r="L294" i="20"/>
  <c r="L271" i="20"/>
  <c r="L267" i="20"/>
  <c r="L370" i="20"/>
  <c r="L79" i="20"/>
  <c r="L193" i="20"/>
  <c r="L182" i="20"/>
  <c r="L103" i="20"/>
  <c r="L228" i="20"/>
  <c r="L324" i="20"/>
  <c r="L306" i="20"/>
  <c r="L372" i="20"/>
  <c r="L69" i="20"/>
  <c r="L22" i="20"/>
  <c r="L14" i="20"/>
  <c r="L195" i="20"/>
  <c r="L184" i="20"/>
  <c r="L178" i="20"/>
  <c r="L156" i="20"/>
  <c r="L143" i="20"/>
  <c r="L130" i="20"/>
  <c r="L127" i="20"/>
  <c r="L116" i="20"/>
  <c r="L218" i="20"/>
  <c r="L262" i="20"/>
  <c r="L242" i="20"/>
  <c r="L331" i="20"/>
  <c r="L288" i="20"/>
  <c r="L287" i="20"/>
  <c r="L289" i="20"/>
  <c r="L280" i="20"/>
  <c r="L278" i="20"/>
  <c r="L353" i="20"/>
  <c r="L356" i="20"/>
  <c r="L77" i="20"/>
  <c r="L45" i="20"/>
  <c r="L146" i="20"/>
  <c r="L110" i="20"/>
  <c r="L196" i="20"/>
  <c r="L234" i="20"/>
  <c r="L260" i="20"/>
  <c r="L344" i="20"/>
  <c r="L303" i="20"/>
  <c r="L284" i="20"/>
  <c r="L275" i="20"/>
  <c r="L359" i="20"/>
  <c r="L68" i="20"/>
  <c r="L54" i="20"/>
  <c r="L42" i="20"/>
  <c r="L34" i="20"/>
  <c r="L148" i="20"/>
  <c r="L119" i="20"/>
  <c r="L86" i="20"/>
  <c r="L199" i="20"/>
  <c r="L207" i="20"/>
  <c r="L249" i="20"/>
  <c r="L339" i="20"/>
  <c r="L322" i="20"/>
  <c r="L304" i="20"/>
  <c r="L297" i="20"/>
  <c r="L292" i="20"/>
  <c r="L270" i="20"/>
  <c r="L368" i="20"/>
  <c r="L61" i="20"/>
  <c r="L52" i="20"/>
  <c r="L53" i="20"/>
  <c r="L46" i="20"/>
  <c r="L43" i="20"/>
  <c r="L8" i="20"/>
  <c r="L4" i="20"/>
  <c r="L192" i="20"/>
  <c r="L183" i="20"/>
  <c r="L179" i="20"/>
  <c r="L147" i="20"/>
  <c r="L118" i="20"/>
  <c r="L108" i="20"/>
  <c r="L104" i="20"/>
  <c r="L84" i="20"/>
  <c r="L236" i="20"/>
  <c r="L209" i="20"/>
  <c r="L256" i="20"/>
  <c r="L243" i="20"/>
  <c r="L340" i="20"/>
  <c r="L328" i="20"/>
  <c r="L317" i="20"/>
  <c r="L312" i="20"/>
  <c r="L290" i="20"/>
  <c r="L282" i="20"/>
  <c r="L274" i="20"/>
  <c r="L266" i="20"/>
  <c r="L355" i="20"/>
  <c r="L62" i="20"/>
  <c r="L59" i="20"/>
  <c r="L31" i="20"/>
  <c r="L29" i="20"/>
  <c r="L6" i="20"/>
  <c r="L2" i="20"/>
  <c r="L186" i="20"/>
  <c r="L171" i="20"/>
  <c r="L150" i="20"/>
  <c r="L115" i="20"/>
  <c r="L222" i="20"/>
  <c r="L210" i="20"/>
  <c r="L202" i="20"/>
  <c r="L253" i="20"/>
  <c r="L240" i="20"/>
  <c r="L336" i="20"/>
  <c r="L281" i="20"/>
  <c r="L65" i="20"/>
  <c r="L39" i="20"/>
  <c r="L32" i="20"/>
  <c r="L27" i="20"/>
  <c r="L187" i="20"/>
  <c r="L161" i="20"/>
  <c r="L125" i="20"/>
  <c r="L113" i="20"/>
  <c r="L91" i="20"/>
  <c r="L204" i="20"/>
  <c r="L258" i="20"/>
  <c r="L325" i="20"/>
  <c r="L301" i="20"/>
  <c r="L296" i="20"/>
  <c r="L285" i="20"/>
  <c r="L58" i="20"/>
  <c r="L24" i="20"/>
  <c r="L11" i="20"/>
  <c r="L5" i="20"/>
  <c r="L188" i="20"/>
  <c r="L173" i="20"/>
  <c r="L166" i="20"/>
  <c r="L159" i="20"/>
  <c r="L155" i="20"/>
  <c r="L151" i="20"/>
  <c r="L140" i="20"/>
  <c r="L129" i="20"/>
  <c r="L89" i="20"/>
  <c r="L88" i="20"/>
  <c r="L197" i="20"/>
  <c r="L225" i="20"/>
  <c r="L229" i="20"/>
  <c r="L213" i="20"/>
  <c r="L205" i="20"/>
  <c r="L252" i="20"/>
  <c r="L246" i="20"/>
  <c r="L335" i="20"/>
  <c r="L332" i="20"/>
  <c r="L320" i="20"/>
  <c r="L313" i="20"/>
  <c r="L299" i="20"/>
  <c r="L277" i="20"/>
  <c r="L360" i="20"/>
  <c r="L361" i="20"/>
  <c r="L350" i="20"/>
  <c r="L64" i="20"/>
  <c r="L60" i="20"/>
  <c r="L57" i="20"/>
  <c r="L55" i="20"/>
  <c r="L49" i="20"/>
  <c r="L21" i="20"/>
  <c r="L17" i="20"/>
  <c r="L7" i="20"/>
  <c r="L174" i="20"/>
  <c r="L165" i="20"/>
  <c r="L167" i="20"/>
  <c r="L138" i="20"/>
  <c r="L124" i="20"/>
  <c r="L117" i="20"/>
  <c r="L112" i="20"/>
  <c r="L100" i="20"/>
  <c r="L82" i="20"/>
  <c r="L198" i="20"/>
  <c r="L226" i="20"/>
  <c r="L201" i="20"/>
  <c r="L255" i="20"/>
  <c r="L251" i="20"/>
  <c r="L314" i="20"/>
  <c r="L308" i="20"/>
  <c r="L302" i="20"/>
  <c r="L291" i="20"/>
  <c r="L269" i="20"/>
  <c r="L369" i="20"/>
  <c r="L365" i="20"/>
  <c r="L67" i="20"/>
  <c r="L50" i="20"/>
  <c r="L44" i="20"/>
  <c r="L16" i="20"/>
  <c r="L189" i="20"/>
  <c r="L181" i="20"/>
  <c r="L164" i="20"/>
  <c r="L158" i="20"/>
  <c r="L123" i="20"/>
  <c r="L102" i="20"/>
  <c r="L80" i="20"/>
  <c r="L223" i="20"/>
  <c r="L257" i="20"/>
  <c r="L247" i="20"/>
  <c r="L323" i="20"/>
  <c r="L286" i="20"/>
  <c r="L279" i="20"/>
  <c r="L351" i="20"/>
  <c r="L74" i="20"/>
  <c r="L20" i="20"/>
  <c r="L15" i="20"/>
  <c r="L12" i="20"/>
  <c r="L177" i="20"/>
  <c r="L152" i="20"/>
  <c r="L141" i="20"/>
  <c r="L128" i="20"/>
  <c r="L93" i="20"/>
  <c r="L96" i="20"/>
  <c r="L235" i="20"/>
  <c r="L219" i="20"/>
  <c r="L217" i="20"/>
  <c r="L211" i="20"/>
  <c r="L265" i="20"/>
  <c r="L345" i="20"/>
  <c r="L330" i="20"/>
  <c r="L319" i="20"/>
  <c r="L311" i="20"/>
  <c r="L362" i="20"/>
  <c r="L348" i="20"/>
  <c r="L75" i="20"/>
  <c r="L73" i="20"/>
  <c r="L72" i="20"/>
  <c r="L66" i="20"/>
  <c r="L56" i="20"/>
  <c r="L40" i="20"/>
  <c r="L25" i="20"/>
  <c r="L18" i="20"/>
  <c r="L175" i="20"/>
  <c r="L176" i="20"/>
  <c r="L169" i="20"/>
  <c r="L154" i="20"/>
  <c r="L142" i="20"/>
  <c r="L131" i="20"/>
  <c r="L111" i="20"/>
  <c r="L101" i="20"/>
  <c r="L94" i="20"/>
  <c r="L87" i="20"/>
  <c r="L200" i="20"/>
  <c r="L232" i="20"/>
  <c r="L233" i="20"/>
  <c r="L215" i="20"/>
  <c r="L264" i="20"/>
  <c r="L254" i="20"/>
  <c r="L346" i="20"/>
  <c r="L338" i="20"/>
  <c r="L316" i="20"/>
  <c r="L373" i="20"/>
  <c r="L371" i="20"/>
  <c r="L349" i="20"/>
  <c r="L78" i="20"/>
  <c r="L51" i="20"/>
  <c r="L38" i="20"/>
  <c r="L26" i="20"/>
  <c r="L13" i="20"/>
  <c r="L191" i="20"/>
  <c r="L185" i="20"/>
  <c r="L172" i="20"/>
  <c r="L160" i="20"/>
  <c r="L134" i="20"/>
  <c r="L105" i="20"/>
  <c r="L99" i="20"/>
  <c r="L212" i="20"/>
  <c r="L326" i="20"/>
  <c r="L315" i="20"/>
  <c r="L310" i="20"/>
  <c r="L273" i="20"/>
  <c r="L352" i="20"/>
  <c r="L37" i="20"/>
  <c r="L33" i="20"/>
  <c r="L190" i="20"/>
  <c r="L180" i="20"/>
  <c r="L163" i="20"/>
  <c r="L145" i="20"/>
  <c r="L132" i="20"/>
  <c r="L122" i="20"/>
  <c r="L106" i="20"/>
  <c r="L92" i="20"/>
  <c r="L81" i="20"/>
  <c r="L220" i="20"/>
  <c r="L259" i="20"/>
  <c r="L341" i="20"/>
  <c r="L327" i="20"/>
  <c r="L268" i="20"/>
  <c r="L354" i="20"/>
  <c r="L63" i="20"/>
  <c r="L47" i="20"/>
  <c r="L48" i="20"/>
  <c r="L10" i="20"/>
  <c r="L153" i="20"/>
  <c r="L144" i="20"/>
  <c r="L137" i="20"/>
  <c r="L135" i="20"/>
  <c r="L126" i="20"/>
  <c r="L107" i="20"/>
  <c r="L95" i="20"/>
  <c r="L231" i="20"/>
  <c r="L208" i="20"/>
  <c r="L206" i="20"/>
  <c r="L245" i="20"/>
  <c r="L342" i="20"/>
  <c r="L321" i="20"/>
  <c r="L307" i="20"/>
  <c r="L293" i="20"/>
  <c r="L276" i="20"/>
  <c r="L364" i="20"/>
  <c r="L76" i="20"/>
  <c r="L36" i="20"/>
  <c r="L28" i="20"/>
  <c r="L23" i="20"/>
  <c r="L170" i="20"/>
  <c r="L162" i="20"/>
  <c r="L157" i="20"/>
  <c r="L149" i="20"/>
  <c r="L136" i="20"/>
  <c r="L133" i="20"/>
  <c r="L98" i="20"/>
  <c r="L90" i="20"/>
  <c r="L224" i="20"/>
  <c r="L227" i="20"/>
  <c r="L230" i="20"/>
  <c r="L214" i="20"/>
  <c r="L244" i="20"/>
  <c r="L239" i="20"/>
  <c r="L238" i="20"/>
  <c r="L343" i="20"/>
  <c r="L334" i="20"/>
  <c r="L337" i="20"/>
  <c r="L298" i="20"/>
  <c r="L272" i="20"/>
  <c r="L366" i="20"/>
  <c r="L358" i="20"/>
  <c r="L71" i="20"/>
  <c r="K70" i="20"/>
  <c r="K35" i="20"/>
  <c r="K19" i="20"/>
  <c r="K9" i="20"/>
  <c r="K168" i="20"/>
  <c r="K120" i="20"/>
  <c r="K114" i="20"/>
  <c r="K109" i="20"/>
  <c r="K97" i="20"/>
  <c r="K83" i="20"/>
  <c r="K216" i="20"/>
  <c r="K203" i="20"/>
  <c r="K261" i="20"/>
  <c r="K248" i="20"/>
  <c r="K333" i="20"/>
  <c r="K309" i="20"/>
  <c r="K300" i="20"/>
  <c r="K295" i="20"/>
  <c r="K283" i="20"/>
  <c r="K367" i="20"/>
  <c r="K363" i="20"/>
  <c r="K41" i="20"/>
  <c r="K30" i="20"/>
  <c r="K3" i="20"/>
  <c r="K194" i="20"/>
  <c r="K139" i="20"/>
  <c r="K121" i="20"/>
  <c r="K85" i="20"/>
  <c r="K237" i="20"/>
  <c r="K221" i="20"/>
  <c r="K263" i="20"/>
  <c r="K250" i="20"/>
  <c r="K347" i="20"/>
  <c r="K329" i="20"/>
  <c r="K318" i="20"/>
  <c r="K305" i="20"/>
  <c r="K294" i="20"/>
  <c r="K271" i="20"/>
  <c r="K267" i="20"/>
  <c r="K370" i="20"/>
  <c r="K79" i="20"/>
  <c r="K193" i="20"/>
  <c r="K182" i="20"/>
  <c r="K103" i="20"/>
  <c r="K228" i="20"/>
  <c r="K324" i="20"/>
  <c r="K306" i="20"/>
  <c r="K372" i="20"/>
  <c r="K69" i="20"/>
  <c r="K22" i="20"/>
  <c r="K14" i="20"/>
  <c r="K195" i="20"/>
  <c r="K184" i="20"/>
  <c r="K178" i="20"/>
  <c r="K156" i="20"/>
  <c r="K143" i="20"/>
  <c r="K130" i="20"/>
  <c r="K127" i="20"/>
  <c r="K116" i="20"/>
  <c r="K218" i="20"/>
  <c r="K262" i="20"/>
  <c r="K242" i="20"/>
  <c r="K331" i="20"/>
  <c r="K288" i="20"/>
  <c r="K287" i="20"/>
  <c r="K289" i="20"/>
  <c r="K280" i="20"/>
  <c r="K278" i="20"/>
  <c r="K353" i="20"/>
  <c r="K356" i="20"/>
  <c r="K77" i="20"/>
  <c r="K45" i="20"/>
  <c r="K146" i="20"/>
  <c r="K110" i="20"/>
  <c r="K196" i="20"/>
  <c r="K234" i="20"/>
  <c r="K260" i="20"/>
  <c r="K344" i="20"/>
  <c r="K303" i="20"/>
  <c r="K284" i="20"/>
  <c r="K275" i="20"/>
  <c r="K359" i="20"/>
  <c r="K68" i="20"/>
  <c r="K54" i="20"/>
  <c r="K42" i="20"/>
  <c r="K34" i="20"/>
  <c r="K148" i="20"/>
  <c r="K119" i="20"/>
  <c r="K86" i="20"/>
  <c r="K199" i="20"/>
  <c r="K207" i="20"/>
  <c r="K249" i="20"/>
  <c r="K339" i="20"/>
  <c r="K322" i="20"/>
  <c r="K304" i="20"/>
  <c r="K297" i="20"/>
  <c r="K292" i="20"/>
  <c r="K270" i="20"/>
  <c r="K368" i="20"/>
  <c r="K61" i="20"/>
  <c r="K52" i="20"/>
  <c r="K53" i="20"/>
  <c r="K46" i="20"/>
  <c r="K43" i="20"/>
  <c r="K8" i="20"/>
  <c r="K4" i="20"/>
  <c r="K192" i="20"/>
  <c r="K183" i="20"/>
  <c r="K179" i="20"/>
  <c r="K147" i="20"/>
  <c r="K118" i="20"/>
  <c r="K108" i="20"/>
  <c r="K104" i="20"/>
  <c r="K84" i="20"/>
  <c r="K236" i="20"/>
  <c r="K209" i="20"/>
  <c r="K256" i="20"/>
  <c r="K243" i="20"/>
  <c r="K340" i="20"/>
  <c r="K328" i="20"/>
  <c r="K317" i="20"/>
  <c r="K312" i="20"/>
  <c r="K290" i="20"/>
  <c r="K282" i="20"/>
  <c r="K274" i="20"/>
  <c r="K266" i="20"/>
  <c r="K355" i="20"/>
  <c r="K62" i="20"/>
  <c r="K59" i="20"/>
  <c r="K31" i="20"/>
  <c r="K29" i="20"/>
  <c r="K6" i="20"/>
  <c r="K2" i="20"/>
  <c r="K186" i="20"/>
  <c r="K171" i="20"/>
  <c r="K150" i="20"/>
  <c r="K115" i="20"/>
  <c r="K222" i="20"/>
  <c r="K210" i="20"/>
  <c r="K202" i="20"/>
  <c r="K253" i="20"/>
  <c r="K240" i="20"/>
  <c r="K336" i="20"/>
  <c r="K281" i="20"/>
  <c r="K65" i="20"/>
  <c r="K39" i="20"/>
  <c r="K32" i="20"/>
  <c r="K27" i="20"/>
  <c r="K187" i="20"/>
  <c r="K161" i="20"/>
  <c r="K125" i="20"/>
  <c r="K113" i="20"/>
  <c r="K91" i="20"/>
  <c r="K204" i="20"/>
  <c r="K258" i="20"/>
  <c r="K325" i="20"/>
  <c r="K301" i="20"/>
  <c r="K296" i="20"/>
  <c r="K285" i="20"/>
  <c r="K58" i="20"/>
  <c r="K24" i="20"/>
  <c r="K11" i="20"/>
  <c r="K5" i="20"/>
  <c r="K188" i="20"/>
  <c r="K173" i="20"/>
  <c r="K166" i="20"/>
  <c r="K159" i="20"/>
  <c r="K155" i="20"/>
  <c r="K151" i="20"/>
  <c r="K140" i="20"/>
  <c r="K129" i="20"/>
  <c r="K89" i="20"/>
  <c r="K88" i="20"/>
  <c r="K197" i="20"/>
  <c r="K225" i="20"/>
  <c r="K229" i="20"/>
  <c r="K213" i="20"/>
  <c r="K205" i="20"/>
  <c r="K252" i="20"/>
  <c r="K246" i="20"/>
  <c r="K335" i="20"/>
  <c r="K332" i="20"/>
  <c r="K320" i="20"/>
  <c r="K313" i="20"/>
  <c r="K299" i="20"/>
  <c r="K277" i="20"/>
  <c r="K360" i="20"/>
  <c r="K361" i="20"/>
  <c r="K350" i="20"/>
  <c r="K64" i="20"/>
  <c r="K60" i="20"/>
  <c r="K57" i="20"/>
  <c r="K55" i="20"/>
  <c r="K49" i="20"/>
  <c r="K21" i="20"/>
  <c r="K17" i="20"/>
  <c r="K7" i="20"/>
  <c r="K174" i="20"/>
  <c r="K165" i="20"/>
  <c r="K167" i="20"/>
  <c r="K138" i="20"/>
  <c r="K124" i="20"/>
  <c r="K117" i="20"/>
  <c r="K112" i="20"/>
  <c r="K100" i="20"/>
  <c r="K82" i="20"/>
  <c r="K198" i="20"/>
  <c r="K226" i="20"/>
  <c r="K201" i="20"/>
  <c r="K255" i="20"/>
  <c r="K251" i="20"/>
  <c r="K314" i="20"/>
  <c r="K308" i="20"/>
  <c r="K302" i="20"/>
  <c r="K291" i="20"/>
  <c r="K269" i="20"/>
  <c r="K369" i="20"/>
  <c r="K365" i="20"/>
  <c r="K67" i="20"/>
  <c r="K50" i="20"/>
  <c r="K44" i="20"/>
  <c r="K16" i="20"/>
  <c r="K189" i="20"/>
  <c r="K181" i="20"/>
  <c r="K164" i="20"/>
  <c r="K158" i="20"/>
  <c r="K123" i="20"/>
  <c r="K102" i="20"/>
  <c r="K80" i="20"/>
  <c r="K223" i="20"/>
  <c r="K257" i="20"/>
  <c r="K247" i="20"/>
  <c r="K323" i="20"/>
  <c r="K286" i="20"/>
  <c r="K279" i="20"/>
  <c r="K351" i="20"/>
  <c r="K74" i="20"/>
  <c r="K20" i="20"/>
  <c r="K15" i="20"/>
  <c r="K12" i="20"/>
  <c r="K177" i="20"/>
  <c r="K152" i="20"/>
  <c r="K141" i="20"/>
  <c r="K128" i="20"/>
  <c r="K93" i="20"/>
  <c r="K96" i="20"/>
  <c r="K235" i="20"/>
  <c r="K219" i="20"/>
  <c r="K217" i="20"/>
  <c r="K211" i="20"/>
  <c r="K265" i="20"/>
  <c r="K345" i="20"/>
  <c r="K330" i="20"/>
  <c r="K319" i="20"/>
  <c r="K311" i="20"/>
  <c r="K362" i="20"/>
  <c r="K348" i="20"/>
  <c r="K75" i="20"/>
  <c r="K73" i="20"/>
  <c r="K72" i="20"/>
  <c r="K66" i="20"/>
  <c r="K56" i="20"/>
  <c r="K40" i="20"/>
  <c r="K25" i="20"/>
  <c r="K18" i="20"/>
  <c r="K175" i="20"/>
  <c r="K176" i="20"/>
  <c r="K169" i="20"/>
  <c r="K154" i="20"/>
  <c r="K142" i="20"/>
  <c r="K131" i="20"/>
  <c r="K111" i="20"/>
  <c r="K101" i="20"/>
  <c r="K94" i="20"/>
  <c r="K87" i="20"/>
  <c r="K200" i="20"/>
  <c r="K232" i="20"/>
  <c r="K233" i="20"/>
  <c r="K215" i="20"/>
  <c r="K264" i="20"/>
  <c r="K254" i="20"/>
  <c r="K346" i="20"/>
  <c r="K338" i="20"/>
  <c r="K316" i="20"/>
  <c r="K373" i="20"/>
  <c r="K371" i="20"/>
  <c r="K349" i="20"/>
  <c r="K78" i="20"/>
  <c r="K51" i="20"/>
  <c r="K38" i="20"/>
  <c r="K26" i="20"/>
  <c r="K13" i="20"/>
  <c r="K191" i="20"/>
  <c r="K185" i="20"/>
  <c r="K172" i="20"/>
  <c r="K160" i="20"/>
  <c r="K134" i="20"/>
  <c r="K105" i="20"/>
  <c r="K99" i="20"/>
  <c r="K212" i="20"/>
  <c r="K326" i="20"/>
  <c r="K315" i="20"/>
  <c r="K310" i="20"/>
  <c r="K273" i="20"/>
  <c r="K352" i="20"/>
  <c r="K37" i="20"/>
  <c r="K33" i="20"/>
  <c r="K190" i="20"/>
  <c r="K180" i="20"/>
  <c r="K163" i="20"/>
  <c r="K145" i="20"/>
  <c r="K132" i="20"/>
  <c r="K122" i="20"/>
  <c r="K106" i="20"/>
  <c r="K92" i="20"/>
  <c r="K81" i="20"/>
  <c r="K220" i="20"/>
  <c r="K259" i="20"/>
  <c r="K341" i="20"/>
  <c r="K327" i="20"/>
  <c r="K268" i="20"/>
  <c r="K354" i="20"/>
  <c r="K63" i="20"/>
  <c r="K47" i="20"/>
  <c r="K48" i="20"/>
  <c r="K10" i="20"/>
  <c r="K153" i="20"/>
  <c r="K144" i="20"/>
  <c r="K137" i="20"/>
  <c r="K135" i="20"/>
  <c r="K126" i="20"/>
  <c r="K107" i="20"/>
  <c r="K95" i="20"/>
  <c r="K231" i="20"/>
  <c r="K208" i="20"/>
  <c r="K206" i="20"/>
  <c r="K245" i="20"/>
  <c r="K342" i="20"/>
  <c r="K321" i="20"/>
  <c r="K307" i="20"/>
  <c r="K293" i="20"/>
  <c r="K276" i="20"/>
  <c r="K364" i="20"/>
  <c r="K76" i="20"/>
  <c r="K36" i="20"/>
  <c r="K28" i="20"/>
  <c r="K23" i="20"/>
  <c r="K170" i="20"/>
  <c r="K162" i="20"/>
  <c r="K157" i="20"/>
  <c r="K149" i="20"/>
  <c r="K136" i="20"/>
  <c r="K133" i="20"/>
  <c r="K98" i="20"/>
  <c r="K90" i="20"/>
  <c r="K224" i="20"/>
  <c r="K227" i="20"/>
  <c r="K230" i="20"/>
  <c r="K214" i="20"/>
  <c r="K244" i="20"/>
  <c r="K239" i="20"/>
  <c r="K238" i="20"/>
  <c r="K343" i="20"/>
  <c r="K334" i="20"/>
  <c r="K337" i="20"/>
  <c r="K298" i="20"/>
  <c r="K272" i="20"/>
  <c r="K366" i="20"/>
  <c r="K358" i="20"/>
  <c r="K71" i="20"/>
  <c r="J71" i="20"/>
  <c r="J70" i="20"/>
  <c r="J35" i="20"/>
  <c r="J19" i="20"/>
  <c r="J9" i="20"/>
  <c r="J168" i="20"/>
  <c r="J120" i="20"/>
  <c r="J114" i="20"/>
  <c r="J109" i="20"/>
  <c r="J97" i="20"/>
  <c r="J83" i="20"/>
  <c r="J216" i="20"/>
  <c r="J203" i="20"/>
  <c r="J261" i="20"/>
  <c r="J248" i="20"/>
  <c r="J333" i="20"/>
  <c r="J309" i="20"/>
  <c r="J300" i="20"/>
  <c r="J295" i="20"/>
  <c r="J283" i="20"/>
  <c r="J367" i="20"/>
  <c r="J363" i="20"/>
  <c r="J41" i="20"/>
  <c r="J30" i="20"/>
  <c r="J3" i="20"/>
  <c r="J194" i="20"/>
  <c r="J139" i="20"/>
  <c r="J121" i="20"/>
  <c r="J85" i="20"/>
  <c r="J237" i="20"/>
  <c r="J221" i="20"/>
  <c r="J263" i="20"/>
  <c r="J250" i="20"/>
  <c r="J347" i="20"/>
  <c r="J329" i="20"/>
  <c r="J318" i="20"/>
  <c r="J305" i="20"/>
  <c r="J294" i="20"/>
  <c r="J271" i="20"/>
  <c r="J267" i="20"/>
  <c r="J370" i="20"/>
  <c r="J79" i="20"/>
  <c r="J193" i="20"/>
  <c r="J182" i="20"/>
  <c r="J103" i="20"/>
  <c r="J228" i="20"/>
  <c r="J324" i="20"/>
  <c r="J306" i="20"/>
  <c r="J372" i="20"/>
  <c r="J69" i="20"/>
  <c r="J22" i="20"/>
  <c r="J14" i="20"/>
  <c r="J195" i="20"/>
  <c r="J184" i="20"/>
  <c r="J178" i="20"/>
  <c r="J156" i="20"/>
  <c r="J143" i="20"/>
  <c r="J130" i="20"/>
  <c r="J127" i="20"/>
  <c r="J116" i="20"/>
  <c r="J218" i="20"/>
  <c r="J262" i="20"/>
  <c r="J242" i="20"/>
  <c r="J331" i="20"/>
  <c r="J288" i="20"/>
  <c r="J287" i="20"/>
  <c r="J289" i="20"/>
  <c r="J280" i="20"/>
  <c r="J278" i="20"/>
  <c r="J353" i="20"/>
  <c r="J356" i="20"/>
  <c r="J77" i="20"/>
  <c r="J45" i="20"/>
  <c r="J146" i="20"/>
  <c r="J110" i="20"/>
  <c r="J196" i="20"/>
  <c r="J234" i="20"/>
  <c r="J260" i="20"/>
  <c r="J344" i="20"/>
  <c r="J303" i="20"/>
  <c r="J284" i="20"/>
  <c r="J275" i="20"/>
  <c r="J359" i="20"/>
  <c r="J68" i="20"/>
  <c r="J54" i="20"/>
  <c r="J42" i="20"/>
  <c r="J34" i="20"/>
  <c r="J148" i="20"/>
  <c r="J119" i="20"/>
  <c r="J86" i="20"/>
  <c r="J199" i="20"/>
  <c r="J207" i="20"/>
  <c r="J249" i="20"/>
  <c r="J339" i="20"/>
  <c r="J322" i="20"/>
  <c r="J304" i="20"/>
  <c r="J297" i="20"/>
  <c r="J292" i="20"/>
  <c r="J270" i="20"/>
  <c r="J368" i="20"/>
  <c r="J61" i="20"/>
  <c r="J52" i="20"/>
  <c r="J53" i="20"/>
  <c r="J46" i="20"/>
  <c r="J43" i="20"/>
  <c r="J8" i="20"/>
  <c r="J4" i="20"/>
  <c r="J192" i="20"/>
  <c r="J183" i="20"/>
  <c r="J179" i="20"/>
  <c r="J147" i="20"/>
  <c r="J118" i="20"/>
  <c r="J108" i="20"/>
  <c r="J104" i="20"/>
  <c r="J84" i="20"/>
  <c r="J236" i="20"/>
  <c r="J209" i="20"/>
  <c r="J256" i="20"/>
  <c r="J243" i="20"/>
  <c r="J340" i="20"/>
  <c r="J328" i="20"/>
  <c r="J317" i="20"/>
  <c r="J312" i="20"/>
  <c r="J290" i="20"/>
  <c r="J282" i="20"/>
  <c r="J274" i="20"/>
  <c r="J266" i="20"/>
  <c r="J355" i="20"/>
  <c r="J62" i="20"/>
  <c r="J59" i="20"/>
  <c r="J31" i="20"/>
  <c r="J29" i="20"/>
  <c r="J6" i="20"/>
  <c r="J2" i="20"/>
  <c r="J186" i="20"/>
  <c r="J171" i="20"/>
  <c r="J150" i="20"/>
  <c r="J115" i="20"/>
  <c r="J222" i="20"/>
  <c r="J210" i="20"/>
  <c r="J202" i="20"/>
  <c r="J253" i="20"/>
  <c r="J240" i="20"/>
  <c r="J336" i="20"/>
  <c r="J281" i="20"/>
  <c r="J65" i="20"/>
  <c r="J39" i="20"/>
  <c r="J32" i="20"/>
  <c r="J27" i="20"/>
  <c r="J187" i="20"/>
  <c r="J161" i="20"/>
  <c r="J125" i="20"/>
  <c r="J113" i="20"/>
  <c r="J91" i="20"/>
  <c r="J204" i="20"/>
  <c r="J258" i="20"/>
  <c r="J325" i="20"/>
  <c r="J301" i="20"/>
  <c r="J296" i="20"/>
  <c r="J285" i="20"/>
  <c r="J58" i="20"/>
  <c r="J24" i="20"/>
  <c r="J11" i="20"/>
  <c r="J5" i="20"/>
  <c r="J188" i="20"/>
  <c r="J173" i="20"/>
  <c r="J166" i="20"/>
  <c r="J159" i="20"/>
  <c r="J155" i="20"/>
  <c r="J151" i="20"/>
  <c r="J140" i="20"/>
  <c r="J129" i="20"/>
  <c r="J89" i="20"/>
  <c r="J88" i="20"/>
  <c r="J197" i="20"/>
  <c r="J225" i="20"/>
  <c r="J229" i="20"/>
  <c r="J213" i="20"/>
  <c r="J205" i="20"/>
  <c r="J252" i="20"/>
  <c r="J246" i="20"/>
  <c r="J335" i="20"/>
  <c r="J332" i="20"/>
  <c r="J320" i="20"/>
  <c r="J313" i="20"/>
  <c r="J299" i="20"/>
  <c r="J277" i="20"/>
  <c r="J360" i="20"/>
  <c r="J361" i="20"/>
  <c r="J350" i="20"/>
  <c r="J64" i="20"/>
  <c r="J60" i="20"/>
  <c r="J57" i="20"/>
  <c r="J55" i="20"/>
  <c r="J49" i="20"/>
  <c r="J21" i="20"/>
  <c r="J17" i="20"/>
  <c r="J7" i="20"/>
  <c r="J174" i="20"/>
  <c r="J165" i="20"/>
  <c r="J167" i="20"/>
  <c r="J138" i="20"/>
  <c r="J124" i="20"/>
  <c r="J117" i="20"/>
  <c r="J112" i="20"/>
  <c r="J100" i="20"/>
  <c r="J82" i="20"/>
  <c r="J198" i="20"/>
  <c r="J226" i="20"/>
  <c r="J201" i="20"/>
  <c r="J255" i="20"/>
  <c r="J251" i="20"/>
  <c r="J314" i="20"/>
  <c r="J308" i="20"/>
  <c r="J302" i="20"/>
  <c r="J291" i="20"/>
  <c r="J269" i="20"/>
  <c r="J369" i="20"/>
  <c r="J365" i="20"/>
  <c r="J67" i="20"/>
  <c r="J50" i="20"/>
  <c r="J44" i="20"/>
  <c r="J16" i="20"/>
  <c r="J189" i="20"/>
  <c r="J181" i="20"/>
  <c r="J164" i="20"/>
  <c r="J158" i="20"/>
  <c r="J123" i="20"/>
  <c r="J102" i="20"/>
  <c r="J80" i="20"/>
  <c r="J223" i="20"/>
  <c r="J257" i="20"/>
  <c r="J247" i="20"/>
  <c r="J323" i="20"/>
  <c r="J286" i="20"/>
  <c r="J279" i="20"/>
  <c r="J351" i="20"/>
  <c r="J74" i="20"/>
  <c r="J20" i="20"/>
  <c r="J15" i="20"/>
  <c r="J12" i="20"/>
  <c r="J177" i="20"/>
  <c r="J152" i="20"/>
  <c r="J141" i="20"/>
  <c r="J128" i="20"/>
  <c r="J93" i="20"/>
  <c r="J96" i="20"/>
  <c r="J235" i="20"/>
  <c r="J219" i="20"/>
  <c r="J217" i="20"/>
  <c r="J211" i="20"/>
  <c r="J265" i="20"/>
  <c r="J345" i="20"/>
  <c r="J330" i="20"/>
  <c r="J319" i="20"/>
  <c r="J311" i="20"/>
  <c r="J362" i="20"/>
  <c r="J348" i="20"/>
  <c r="J75" i="20"/>
  <c r="J73" i="20"/>
  <c r="J72" i="20"/>
  <c r="J66" i="20"/>
  <c r="J56" i="20"/>
  <c r="J40" i="20"/>
  <c r="J25" i="20"/>
  <c r="J18" i="20"/>
  <c r="J175" i="20"/>
  <c r="J176" i="20"/>
  <c r="J169" i="20"/>
  <c r="J154" i="20"/>
  <c r="J142" i="20"/>
  <c r="J131" i="20"/>
  <c r="J111" i="20"/>
  <c r="J101" i="20"/>
  <c r="J94" i="20"/>
  <c r="J87" i="20"/>
  <c r="J200" i="20"/>
  <c r="J232" i="20"/>
  <c r="J233" i="20"/>
  <c r="J215" i="20"/>
  <c r="J264" i="20"/>
  <c r="J254" i="20"/>
  <c r="J346" i="20"/>
  <c r="J338" i="20"/>
  <c r="J316" i="20"/>
  <c r="J373" i="20"/>
  <c r="J371" i="20"/>
  <c r="J349" i="20"/>
  <c r="J78" i="20"/>
  <c r="J51" i="20"/>
  <c r="J38" i="20"/>
  <c r="J26" i="20"/>
  <c r="J13" i="20"/>
  <c r="J191" i="20"/>
  <c r="J185" i="20"/>
  <c r="J172" i="20"/>
  <c r="J160" i="20"/>
  <c r="J134" i="20"/>
  <c r="J105" i="20"/>
  <c r="J99" i="20"/>
  <c r="J212" i="20"/>
  <c r="J326" i="20"/>
  <c r="J315" i="20"/>
  <c r="J310" i="20"/>
  <c r="J273" i="20"/>
  <c r="J352" i="20"/>
  <c r="J37" i="20"/>
  <c r="J33" i="20"/>
  <c r="J190" i="20"/>
  <c r="J180" i="20"/>
  <c r="J163" i="20"/>
  <c r="J145" i="20"/>
  <c r="J132" i="20"/>
  <c r="J122" i="20"/>
  <c r="J106" i="20"/>
  <c r="J92" i="20"/>
  <c r="J81" i="20"/>
  <c r="J220" i="20"/>
  <c r="J259" i="20"/>
  <c r="J341" i="20"/>
  <c r="J327" i="20"/>
  <c r="J268" i="20"/>
  <c r="J354" i="20"/>
  <c r="J63" i="20"/>
  <c r="J47" i="20"/>
  <c r="J48" i="20"/>
  <c r="J10" i="20"/>
  <c r="J153" i="20"/>
  <c r="J144" i="20"/>
  <c r="J137" i="20"/>
  <c r="J135" i="20"/>
  <c r="J126" i="20"/>
  <c r="J107" i="20"/>
  <c r="J95" i="20"/>
  <c r="J231" i="20"/>
  <c r="J208" i="20"/>
  <c r="J206" i="20"/>
  <c r="J245" i="20"/>
  <c r="J342" i="20"/>
  <c r="J321" i="20"/>
  <c r="J307" i="20"/>
  <c r="J293" i="20"/>
  <c r="J276" i="20"/>
  <c r="J364" i="20"/>
  <c r="J76" i="20"/>
  <c r="J36" i="20"/>
  <c r="J28" i="20"/>
  <c r="J23" i="20"/>
  <c r="J170" i="20"/>
  <c r="J162" i="20"/>
  <c r="J157" i="20"/>
  <c r="J149" i="20"/>
  <c r="J136" i="20"/>
  <c r="J133" i="20"/>
  <c r="J98" i="20"/>
  <c r="J90" i="20"/>
  <c r="J224" i="20"/>
  <c r="J227" i="20"/>
  <c r="J230" i="20"/>
  <c r="J214" i="20"/>
  <c r="J244" i="20"/>
  <c r="J239" i="20"/>
  <c r="J238" i="20"/>
  <c r="J343" i="20"/>
  <c r="J334" i="20"/>
  <c r="J337" i="20"/>
  <c r="J298" i="20"/>
  <c r="J272" i="20"/>
  <c r="J366" i="20"/>
  <c r="J358" i="20"/>
  <c r="N357" i="20" l="1"/>
  <c r="N241" i="20"/>
  <c r="N97" i="20"/>
  <c r="N32" i="20"/>
  <c r="N28" i="20"/>
  <c r="N115" i="20"/>
  <c r="N10" i="20"/>
  <c r="N192" i="20"/>
  <c r="N37" i="20"/>
  <c r="N148" i="20"/>
  <c r="N160" i="20"/>
  <c r="N260" i="20"/>
  <c r="N175" i="20"/>
  <c r="N96" i="20"/>
  <c r="N372" i="20"/>
  <c r="N158" i="20"/>
  <c r="N237" i="20"/>
  <c r="N7" i="20"/>
  <c r="N159" i="20"/>
  <c r="N127" i="20"/>
  <c r="M337" i="20"/>
  <c r="M36" i="20"/>
  <c r="M48" i="20"/>
  <c r="M352" i="20"/>
  <c r="M373" i="20"/>
  <c r="M87" i="20"/>
  <c r="M311" i="20"/>
  <c r="M279" i="20"/>
  <c r="M82" i="20"/>
  <c r="M277" i="20"/>
  <c r="M90" i="20"/>
  <c r="M208" i="20"/>
  <c r="M92" i="20"/>
  <c r="M172" i="20"/>
  <c r="M18" i="20"/>
  <c r="M93" i="20"/>
  <c r="M164" i="20"/>
  <c r="M17" i="20"/>
  <c r="M229" i="20"/>
  <c r="M269" i="20"/>
  <c r="M166" i="20"/>
  <c r="M325" i="20"/>
  <c r="M39" i="20"/>
  <c r="M150" i="20"/>
  <c r="M266" i="20"/>
  <c r="M209" i="20"/>
  <c r="M4" i="20"/>
  <c r="M297" i="20"/>
  <c r="M34" i="20"/>
  <c r="M234" i="20"/>
  <c r="M289" i="20"/>
  <c r="M130" i="20"/>
  <c r="M306" i="20"/>
  <c r="M271" i="20"/>
  <c r="M85" i="20"/>
  <c r="M295" i="20"/>
  <c r="M109" i="20"/>
  <c r="M145" i="20"/>
  <c r="N337" i="20"/>
  <c r="N90" i="20"/>
  <c r="N36" i="20"/>
  <c r="N208" i="20"/>
  <c r="N48" i="20"/>
  <c r="N92" i="20"/>
  <c r="N352" i="20"/>
  <c r="N172" i="20"/>
  <c r="N373" i="20"/>
  <c r="N87" i="20"/>
  <c r="N18" i="20"/>
  <c r="N311" i="20"/>
  <c r="N93" i="20"/>
  <c r="N279" i="20"/>
  <c r="N164" i="20"/>
  <c r="N269" i="20"/>
  <c r="N82" i="20"/>
  <c r="N17" i="20"/>
  <c r="N277" i="20"/>
  <c r="N229" i="20"/>
  <c r="N166" i="20"/>
  <c r="N325" i="20"/>
  <c r="N39" i="20"/>
  <c r="N150" i="20"/>
  <c r="N266" i="20"/>
  <c r="N209" i="20"/>
  <c r="N4" i="20"/>
  <c r="N297" i="20"/>
  <c r="N34" i="20"/>
  <c r="N234" i="20"/>
  <c r="N289" i="20"/>
  <c r="N130" i="20"/>
  <c r="N306" i="20"/>
  <c r="N271" i="20"/>
  <c r="N85" i="20"/>
  <c r="N295" i="20"/>
  <c r="N109" i="20"/>
  <c r="M293" i="20"/>
  <c r="M131" i="20"/>
  <c r="M257" i="20"/>
  <c r="M332" i="20"/>
  <c r="M6" i="20"/>
  <c r="M359" i="20"/>
  <c r="M103" i="20"/>
  <c r="M248" i="20"/>
  <c r="M71" i="20"/>
  <c r="M244" i="20"/>
  <c r="M157" i="20"/>
  <c r="M307" i="20"/>
  <c r="M135" i="20"/>
  <c r="M327" i="20"/>
  <c r="M163" i="20"/>
  <c r="M212" i="20"/>
  <c r="M38" i="20"/>
  <c r="M264" i="20"/>
  <c r="M142" i="20"/>
  <c r="M72" i="20"/>
  <c r="M211" i="20"/>
  <c r="M12" i="20"/>
  <c r="M223" i="20"/>
  <c r="M50" i="20"/>
  <c r="M251" i="20"/>
  <c r="M138" i="20"/>
  <c r="M60" i="20"/>
  <c r="M335" i="20"/>
  <c r="M129" i="20"/>
  <c r="M24" i="20"/>
  <c r="M125" i="20"/>
  <c r="M253" i="20"/>
  <c r="M29" i="20"/>
  <c r="M317" i="20"/>
  <c r="M118" i="20"/>
  <c r="M52" i="20"/>
  <c r="M207" i="20"/>
  <c r="M275" i="20"/>
  <c r="M77" i="20"/>
  <c r="M242" i="20"/>
  <c r="M195" i="20"/>
  <c r="M182" i="20"/>
  <c r="M347" i="20"/>
  <c r="M30" i="20"/>
  <c r="M261" i="20"/>
  <c r="M19" i="20"/>
  <c r="N334" i="20"/>
  <c r="N98" i="20"/>
  <c r="N76" i="20"/>
  <c r="N231" i="20"/>
  <c r="N47" i="20"/>
  <c r="N106" i="20"/>
  <c r="N273" i="20"/>
  <c r="N185" i="20"/>
  <c r="N316" i="20"/>
  <c r="N94" i="20"/>
  <c r="N25" i="20"/>
  <c r="N319" i="20"/>
  <c r="N128" i="20"/>
  <c r="N286" i="20"/>
  <c r="N181" i="20"/>
  <c r="N291" i="20"/>
  <c r="N100" i="20"/>
  <c r="N21" i="20"/>
  <c r="N299" i="20"/>
  <c r="N225" i="20"/>
  <c r="N173" i="20"/>
  <c r="N258" i="20"/>
  <c r="N65" i="20"/>
  <c r="N171" i="20"/>
  <c r="N274" i="20"/>
  <c r="N236" i="20"/>
  <c r="N8" i="20"/>
  <c r="N304" i="20"/>
  <c r="N42" i="20"/>
  <c r="N196" i="20"/>
  <c r="N287" i="20"/>
  <c r="N143" i="20"/>
  <c r="N324" i="20"/>
  <c r="N294" i="20"/>
  <c r="N121" i="20"/>
  <c r="N300" i="20"/>
  <c r="N114" i="20"/>
  <c r="M126" i="20"/>
  <c r="M254" i="20"/>
  <c r="M44" i="20"/>
  <c r="M89" i="20"/>
  <c r="M53" i="20"/>
  <c r="M331" i="20"/>
  <c r="M358" i="20"/>
  <c r="M214" i="20"/>
  <c r="M162" i="20"/>
  <c r="M321" i="20"/>
  <c r="M137" i="20"/>
  <c r="M341" i="20"/>
  <c r="M180" i="20"/>
  <c r="M99" i="20"/>
  <c r="M51" i="20"/>
  <c r="M215" i="20"/>
  <c r="M154" i="20"/>
  <c r="M73" i="20"/>
  <c r="M217" i="20"/>
  <c r="M15" i="20"/>
  <c r="M80" i="20"/>
  <c r="M67" i="20"/>
  <c r="M255" i="20"/>
  <c r="M167" i="20"/>
  <c r="M64" i="20"/>
  <c r="M246" i="20"/>
  <c r="M140" i="20"/>
  <c r="M58" i="20"/>
  <c r="M161" i="20"/>
  <c r="M202" i="20"/>
  <c r="M31" i="20"/>
  <c r="M328" i="20"/>
  <c r="M147" i="20"/>
  <c r="M61" i="20"/>
  <c r="M199" i="20"/>
  <c r="M284" i="20"/>
  <c r="M356" i="20"/>
  <c r="M262" i="20"/>
  <c r="M14" i="20"/>
  <c r="M193" i="20"/>
  <c r="M250" i="20"/>
  <c r="M41" i="20"/>
  <c r="M203" i="20"/>
  <c r="M35" i="20"/>
  <c r="N343" i="20"/>
  <c r="N133" i="20"/>
  <c r="N364" i="20"/>
  <c r="N95" i="20"/>
  <c r="N63" i="20"/>
  <c r="N122" i="20"/>
  <c r="N310" i="20"/>
  <c r="N191" i="20"/>
  <c r="N338" i="20"/>
  <c r="N101" i="20"/>
  <c r="N40" i="20"/>
  <c r="N330" i="20"/>
  <c r="N141" i="20"/>
  <c r="N323" i="20"/>
  <c r="N189" i="20"/>
  <c r="N302" i="20"/>
  <c r="N112" i="20"/>
  <c r="N49" i="20"/>
  <c r="N313" i="20"/>
  <c r="N197" i="20"/>
  <c r="N188" i="20"/>
  <c r="N204" i="20"/>
  <c r="N281" i="20"/>
  <c r="N186" i="20"/>
  <c r="N282" i="20"/>
  <c r="N84" i="20"/>
  <c r="N43" i="20"/>
  <c r="N322" i="20"/>
  <c r="N54" i="20"/>
  <c r="N110" i="20"/>
  <c r="N288" i="20"/>
  <c r="N156" i="20"/>
  <c r="N305" i="20"/>
  <c r="N139" i="20"/>
  <c r="N309" i="20"/>
  <c r="N120" i="20"/>
  <c r="M239" i="20"/>
  <c r="M326" i="20"/>
  <c r="M265" i="20"/>
  <c r="M314" i="20"/>
  <c r="M113" i="20"/>
  <c r="M312" i="20"/>
  <c r="M45" i="20"/>
  <c r="M3" i="20"/>
  <c r="M366" i="20"/>
  <c r="M230" i="20"/>
  <c r="M170" i="20"/>
  <c r="M342" i="20"/>
  <c r="M144" i="20"/>
  <c r="M259" i="20"/>
  <c r="M190" i="20"/>
  <c r="M105" i="20"/>
  <c r="M78" i="20"/>
  <c r="M233" i="20"/>
  <c r="M169" i="20"/>
  <c r="M75" i="20"/>
  <c r="M219" i="20"/>
  <c r="M20" i="20"/>
  <c r="M102" i="20"/>
  <c r="M201" i="20"/>
  <c r="M165" i="20"/>
  <c r="M350" i="20"/>
  <c r="M252" i="20"/>
  <c r="M151" i="20"/>
  <c r="M285" i="20"/>
  <c r="M187" i="20"/>
  <c r="M210" i="20"/>
  <c r="M59" i="20"/>
  <c r="M340" i="20"/>
  <c r="M179" i="20"/>
  <c r="M368" i="20"/>
  <c r="M86" i="20"/>
  <c r="M303" i="20"/>
  <c r="M353" i="20"/>
  <c r="M218" i="20"/>
  <c r="M22" i="20"/>
  <c r="M79" i="20"/>
  <c r="M263" i="20"/>
  <c r="M363" i="20"/>
  <c r="M216" i="20"/>
  <c r="M70" i="20"/>
  <c r="N238" i="20"/>
  <c r="N136" i="20"/>
  <c r="N276" i="20"/>
  <c r="N107" i="20"/>
  <c r="N354" i="20"/>
  <c r="N132" i="20"/>
  <c r="N315" i="20"/>
  <c r="N13" i="20"/>
  <c r="N346" i="20"/>
  <c r="N111" i="20"/>
  <c r="N56" i="20"/>
  <c r="N345" i="20"/>
  <c r="N152" i="20"/>
  <c r="N247" i="20"/>
  <c r="N16" i="20"/>
  <c r="N308" i="20"/>
  <c r="N117" i="20"/>
  <c r="N55" i="20"/>
  <c r="N320" i="20"/>
  <c r="N88" i="20"/>
  <c r="N5" i="20"/>
  <c r="N91" i="20"/>
  <c r="N336" i="20"/>
  <c r="N2" i="20"/>
  <c r="N290" i="20"/>
  <c r="N104" i="20"/>
  <c r="N46" i="20"/>
  <c r="N339" i="20"/>
  <c r="N68" i="20"/>
  <c r="N146" i="20"/>
  <c r="N178" i="20"/>
  <c r="N228" i="20"/>
  <c r="N318" i="20"/>
  <c r="N194" i="20"/>
  <c r="N333" i="20"/>
  <c r="N168" i="20"/>
  <c r="M149" i="20"/>
  <c r="M26" i="20"/>
  <c r="M177" i="20"/>
  <c r="M57" i="20"/>
  <c r="M11" i="20"/>
  <c r="M108" i="20"/>
  <c r="M184" i="20"/>
  <c r="M9" i="20"/>
  <c r="M272" i="20"/>
  <c r="M227" i="20"/>
  <c r="M23" i="20"/>
  <c r="M245" i="20"/>
  <c r="M153" i="20"/>
  <c r="M220" i="20"/>
  <c r="M33" i="20"/>
  <c r="M134" i="20"/>
  <c r="M349" i="20"/>
  <c r="M232" i="20"/>
  <c r="M176" i="20"/>
  <c r="M348" i="20"/>
  <c r="M235" i="20"/>
  <c r="M74" i="20"/>
  <c r="M123" i="20"/>
  <c r="M365" i="20"/>
  <c r="M226" i="20"/>
  <c r="M174" i="20"/>
  <c r="M361" i="20"/>
  <c r="M205" i="20"/>
  <c r="M155" i="20"/>
  <c r="M296" i="20"/>
  <c r="M27" i="20"/>
  <c r="M222" i="20"/>
  <c r="M62" i="20"/>
  <c r="M243" i="20"/>
  <c r="M183" i="20"/>
  <c r="M270" i="20"/>
  <c r="M119" i="20"/>
  <c r="M344" i="20"/>
  <c r="M278" i="20"/>
  <c r="M116" i="20"/>
  <c r="M69" i="20"/>
  <c r="M370" i="20"/>
  <c r="M221" i="20"/>
  <c r="M367" i="20"/>
  <c r="M83" i="20"/>
  <c r="N239" i="20"/>
  <c r="N149" i="20"/>
  <c r="N293" i="20"/>
  <c r="N126" i="20"/>
  <c r="N268" i="20"/>
  <c r="N145" i="20"/>
  <c r="N326" i="20"/>
  <c r="N26" i="20"/>
  <c r="N254" i="20"/>
  <c r="N131" i="20"/>
  <c r="N66" i="20"/>
  <c r="N265" i="20"/>
  <c r="N177" i="20"/>
  <c r="N257" i="20"/>
  <c r="N44" i="20"/>
  <c r="N314" i="20"/>
  <c r="N124" i="20"/>
  <c r="N57" i="20"/>
  <c r="N332" i="20"/>
  <c r="N89" i="20"/>
  <c r="N11" i="20"/>
  <c r="N113" i="20"/>
  <c r="N240" i="20"/>
  <c r="N6" i="20"/>
  <c r="N312" i="20"/>
  <c r="N108" i="20"/>
  <c r="N53" i="20"/>
  <c r="N249" i="20"/>
  <c r="N359" i="20"/>
  <c r="N45" i="20"/>
  <c r="N331" i="20"/>
  <c r="N184" i="20"/>
  <c r="N103" i="20"/>
  <c r="N329" i="20"/>
  <c r="N3" i="20"/>
  <c r="N248" i="20"/>
  <c r="N9" i="20"/>
  <c r="M268" i="20"/>
  <c r="M66" i="20"/>
  <c r="M124" i="20"/>
  <c r="M240" i="20"/>
  <c r="M249" i="20"/>
  <c r="M329" i="20"/>
  <c r="M298" i="20"/>
  <c r="M224" i="20"/>
  <c r="M28" i="20"/>
  <c r="M206" i="20"/>
  <c r="M10" i="20"/>
  <c r="M81" i="20"/>
  <c r="M37" i="20"/>
  <c r="M160" i="20"/>
  <c r="M371" i="20"/>
  <c r="M200" i="20"/>
  <c r="M175" i="20"/>
  <c r="M362" i="20"/>
  <c r="M96" i="20"/>
  <c r="M351" i="20"/>
  <c r="M158" i="20"/>
  <c r="M369" i="20"/>
  <c r="M198" i="20"/>
  <c r="M7" i="20"/>
  <c r="M360" i="20"/>
  <c r="M213" i="20"/>
  <c r="M159" i="20"/>
  <c r="M301" i="20"/>
  <c r="M32" i="20"/>
  <c r="M115" i="20"/>
  <c r="M355" i="20"/>
  <c r="M256" i="20"/>
  <c r="M192" i="20"/>
  <c r="M292" i="20"/>
  <c r="M148" i="20"/>
  <c r="M260" i="20"/>
  <c r="M280" i="20"/>
  <c r="M127" i="20"/>
  <c r="M372" i="20"/>
  <c r="M267" i="20"/>
  <c r="M237" i="20"/>
  <c r="M283" i="20"/>
  <c r="M97" i="20"/>
  <c r="N71" i="20"/>
  <c r="N244" i="20"/>
  <c r="N157" i="20"/>
  <c r="N307" i="20"/>
  <c r="N135" i="20"/>
  <c r="N327" i="20"/>
  <c r="N163" i="20"/>
  <c r="N212" i="20"/>
  <c r="N38" i="20"/>
  <c r="N264" i="20"/>
  <c r="N142" i="20"/>
  <c r="N72" i="20"/>
  <c r="N211" i="20"/>
  <c r="N12" i="20"/>
  <c r="N223" i="20"/>
  <c r="N50" i="20"/>
  <c r="N251" i="20"/>
  <c r="N138" i="20"/>
  <c r="N60" i="20"/>
  <c r="N335" i="20"/>
  <c r="N129" i="20"/>
  <c r="N24" i="20"/>
  <c r="N125" i="20"/>
  <c r="N253" i="20"/>
  <c r="N29" i="20"/>
  <c r="N317" i="20"/>
  <c r="N118" i="20"/>
  <c r="N52" i="20"/>
  <c r="N207" i="20"/>
  <c r="N275" i="20"/>
  <c r="N77" i="20"/>
  <c r="N242" i="20"/>
  <c r="N195" i="20"/>
  <c r="N182" i="20"/>
  <c r="N347" i="20"/>
  <c r="N30" i="20"/>
  <c r="N261" i="20"/>
  <c r="N19" i="20"/>
  <c r="N358" i="20"/>
  <c r="N214" i="20"/>
  <c r="N162" i="20"/>
  <c r="N321" i="20"/>
  <c r="N137" i="20"/>
  <c r="N341" i="20"/>
  <c r="N180" i="20"/>
  <c r="N99" i="20"/>
  <c r="N51" i="20"/>
  <c r="N215" i="20"/>
  <c r="N154" i="20"/>
  <c r="N73" i="20"/>
  <c r="N217" i="20"/>
  <c r="N15" i="20"/>
  <c r="N80" i="20"/>
  <c r="N67" i="20"/>
  <c r="N255" i="20"/>
  <c r="N167" i="20"/>
  <c r="N64" i="20"/>
  <c r="N246" i="20"/>
  <c r="N140" i="20"/>
  <c r="N58" i="20"/>
  <c r="N161" i="20"/>
  <c r="N202" i="20"/>
  <c r="N31" i="20"/>
  <c r="N328" i="20"/>
  <c r="N147" i="20"/>
  <c r="N61" i="20"/>
  <c r="N199" i="20"/>
  <c r="N284" i="20"/>
  <c r="N356" i="20"/>
  <c r="N262" i="20"/>
  <c r="N14" i="20"/>
  <c r="N193" i="20"/>
  <c r="N250" i="20"/>
  <c r="N41" i="20"/>
  <c r="N203" i="20"/>
  <c r="N35" i="20"/>
  <c r="M334" i="20"/>
  <c r="M98" i="20"/>
  <c r="M76" i="20"/>
  <c r="M231" i="20"/>
  <c r="M47" i="20"/>
  <c r="M106" i="20"/>
  <c r="M273" i="20"/>
  <c r="M185" i="20"/>
  <c r="M316" i="20"/>
  <c r="M94" i="20"/>
  <c r="M25" i="20"/>
  <c r="M319" i="20"/>
  <c r="M128" i="20"/>
  <c r="M286" i="20"/>
  <c r="M181" i="20"/>
  <c r="M291" i="20"/>
  <c r="M100" i="20"/>
  <c r="M21" i="20"/>
  <c r="M299" i="20"/>
  <c r="M225" i="20"/>
  <c r="M173" i="20"/>
  <c r="M258" i="20"/>
  <c r="M65" i="20"/>
  <c r="M171" i="20"/>
  <c r="M274" i="20"/>
  <c r="M236" i="20"/>
  <c r="M8" i="20"/>
  <c r="M304" i="20"/>
  <c r="M42" i="20"/>
  <c r="M196" i="20"/>
  <c r="M287" i="20"/>
  <c r="M143" i="20"/>
  <c r="M324" i="20"/>
  <c r="M294" i="20"/>
  <c r="M121" i="20"/>
  <c r="M300" i="20"/>
  <c r="M114" i="20"/>
  <c r="N366" i="20"/>
  <c r="N230" i="20"/>
  <c r="N170" i="20"/>
  <c r="N342" i="20"/>
  <c r="N144" i="20"/>
  <c r="N259" i="20"/>
  <c r="N190" i="20"/>
  <c r="N105" i="20"/>
  <c r="N78" i="20"/>
  <c r="N233" i="20"/>
  <c r="N169" i="20"/>
  <c r="N75" i="20"/>
  <c r="N219" i="20"/>
  <c r="N20" i="20"/>
  <c r="N102" i="20"/>
  <c r="N201" i="20"/>
  <c r="N165" i="20"/>
  <c r="N350" i="20"/>
  <c r="N252" i="20"/>
  <c r="N151" i="20"/>
  <c r="N285" i="20"/>
  <c r="N187" i="20"/>
  <c r="N210" i="20"/>
  <c r="N59" i="20"/>
  <c r="N340" i="20"/>
  <c r="N179" i="20"/>
  <c r="N368" i="20"/>
  <c r="N86" i="20"/>
  <c r="N303" i="20"/>
  <c r="N353" i="20"/>
  <c r="N218" i="20"/>
  <c r="N22" i="20"/>
  <c r="N79" i="20"/>
  <c r="N263" i="20"/>
  <c r="N363" i="20"/>
  <c r="N216" i="20"/>
  <c r="N70" i="20"/>
  <c r="M343" i="20"/>
  <c r="M133" i="20"/>
  <c r="M364" i="20"/>
  <c r="M95" i="20"/>
  <c r="M63" i="20"/>
  <c r="M122" i="20"/>
  <c r="M310" i="20"/>
  <c r="M191" i="20"/>
  <c r="M338" i="20"/>
  <c r="M101" i="20"/>
  <c r="M40" i="20"/>
  <c r="M330" i="20"/>
  <c r="M141" i="20"/>
  <c r="M323" i="20"/>
  <c r="M189" i="20"/>
  <c r="M302" i="20"/>
  <c r="M112" i="20"/>
  <c r="M49" i="20"/>
  <c r="M313" i="20"/>
  <c r="M197" i="20"/>
  <c r="M188" i="20"/>
  <c r="M204" i="20"/>
  <c r="M281" i="20"/>
  <c r="M186" i="20"/>
  <c r="M282" i="20"/>
  <c r="M84" i="20"/>
  <c r="M43" i="20"/>
  <c r="M322" i="20"/>
  <c r="M54" i="20"/>
  <c r="M110" i="20"/>
  <c r="M288" i="20"/>
  <c r="M156" i="20"/>
  <c r="M305" i="20"/>
  <c r="M139" i="20"/>
  <c r="M309" i="20"/>
  <c r="M120" i="20"/>
  <c r="N272" i="20"/>
  <c r="N227" i="20"/>
  <c r="N23" i="20"/>
  <c r="N245" i="20"/>
  <c r="N153" i="20"/>
  <c r="N220" i="20"/>
  <c r="N33" i="20"/>
  <c r="N134" i="20"/>
  <c r="N349" i="20"/>
  <c r="N232" i="20"/>
  <c r="N176" i="20"/>
  <c r="N348" i="20"/>
  <c r="N235" i="20"/>
  <c r="N74" i="20"/>
  <c r="N123" i="20"/>
  <c r="N365" i="20"/>
  <c r="N226" i="20"/>
  <c r="N174" i="20"/>
  <c r="N361" i="20"/>
  <c r="N205" i="20"/>
  <c r="N155" i="20"/>
  <c r="N296" i="20"/>
  <c r="N27" i="20"/>
  <c r="N222" i="20"/>
  <c r="N62" i="20"/>
  <c r="N243" i="20"/>
  <c r="N183" i="20"/>
  <c r="N270" i="20"/>
  <c r="N119" i="20"/>
  <c r="N344" i="20"/>
  <c r="N278" i="20"/>
  <c r="N116" i="20"/>
  <c r="N69" i="20"/>
  <c r="N370" i="20"/>
  <c r="N221" i="20"/>
  <c r="N367" i="20"/>
  <c r="N83" i="20"/>
  <c r="M238" i="20"/>
  <c r="M136" i="20"/>
  <c r="M276" i="20"/>
  <c r="M107" i="20"/>
  <c r="M354" i="20"/>
  <c r="M132" i="20"/>
  <c r="M315" i="20"/>
  <c r="M13" i="20"/>
  <c r="M346" i="20"/>
  <c r="M111" i="20"/>
  <c r="M56" i="20"/>
  <c r="M345" i="20"/>
  <c r="M152" i="20"/>
  <c r="M247" i="20"/>
  <c r="M16" i="20"/>
  <c r="M308" i="20"/>
  <c r="M117" i="20"/>
  <c r="M55" i="20"/>
  <c r="M320" i="20"/>
  <c r="M88" i="20"/>
  <c r="M5" i="20"/>
  <c r="M91" i="20"/>
  <c r="M336" i="20"/>
  <c r="M2" i="20"/>
  <c r="M290" i="20"/>
  <c r="M104" i="20"/>
  <c r="M46" i="20"/>
  <c r="M339" i="20"/>
  <c r="M68" i="20"/>
  <c r="M146" i="20"/>
  <c r="M178" i="20"/>
  <c r="M228" i="20"/>
  <c r="M318" i="20"/>
  <c r="M194" i="20"/>
  <c r="M333" i="20"/>
  <c r="M168" i="20"/>
  <c r="N298" i="20"/>
  <c r="N224" i="20"/>
  <c r="N206" i="20"/>
  <c r="N81" i="20"/>
  <c r="N371" i="20"/>
  <c r="N200" i="20"/>
  <c r="N362" i="20"/>
  <c r="N351" i="20"/>
  <c r="N369" i="20"/>
  <c r="N198" i="20"/>
  <c r="N360" i="20"/>
  <c r="N213" i="20"/>
  <c r="N301" i="20"/>
  <c r="N355" i="20"/>
  <c r="N256" i="20"/>
  <c r="N292" i="20"/>
  <c r="N280" i="20"/>
  <c r="N267" i="20"/>
  <c r="N283" i="20"/>
</calcChain>
</file>

<file path=xl/sharedStrings.xml><?xml version="1.0" encoding="utf-8"?>
<sst xmlns="http://schemas.openxmlformats.org/spreadsheetml/2006/main" count="5726" uniqueCount="192">
  <si>
    <t>3_Elephant_ID</t>
  </si>
  <si>
    <t>Sunday</t>
  </si>
  <si>
    <t>Toti</t>
  </si>
  <si>
    <t>Duzi</t>
  </si>
  <si>
    <t>Komati</t>
  </si>
  <si>
    <t>Mbizana</t>
  </si>
  <si>
    <t>Storm</t>
  </si>
  <si>
    <t>Umgeni</t>
  </si>
  <si>
    <t>Nahoon</t>
  </si>
  <si>
    <t>Ntombe</t>
  </si>
  <si>
    <t>Sabie</t>
  </si>
  <si>
    <t>Mdumbe</t>
  </si>
  <si>
    <t>Rex</t>
  </si>
  <si>
    <t>Tugela</t>
  </si>
  <si>
    <t>Levubu</t>
  </si>
  <si>
    <t>Umfolozi</t>
  </si>
  <si>
    <t>Zinkwazi</t>
  </si>
  <si>
    <t>Inanda</t>
  </si>
  <si>
    <t>Sample ID # (DDMMYYHHMM)</t>
  </si>
  <si>
    <t>0203231746</t>
  </si>
  <si>
    <t>020220231121</t>
  </si>
  <si>
    <t>020220231120</t>
  </si>
  <si>
    <t>020220231115</t>
  </si>
  <si>
    <t>0501231004</t>
  </si>
  <si>
    <t>0501231051</t>
  </si>
  <si>
    <t>0501231112</t>
  </si>
  <si>
    <t>Y</t>
  </si>
  <si>
    <t>2803231101</t>
  </si>
  <si>
    <t>2803231143</t>
  </si>
  <si>
    <t>2003231309</t>
  </si>
  <si>
    <t>3103231222</t>
  </si>
  <si>
    <t>Kariega</t>
  </si>
  <si>
    <t>0707231658</t>
  </si>
  <si>
    <t>0707231654</t>
  </si>
  <si>
    <t>0707231512</t>
  </si>
  <si>
    <t>0707231518</t>
  </si>
  <si>
    <t>0707231420</t>
  </si>
  <si>
    <t>0707231433</t>
  </si>
  <si>
    <t>0707231503</t>
  </si>
  <si>
    <t>0707231436</t>
  </si>
  <si>
    <t>0707231144</t>
  </si>
  <si>
    <t>0607231721</t>
  </si>
  <si>
    <t>0607231703</t>
  </si>
  <si>
    <t>0607231610</t>
  </si>
  <si>
    <t>0607231345</t>
  </si>
  <si>
    <t>0507231245</t>
  </si>
  <si>
    <t>0507231228</t>
  </si>
  <si>
    <t>0507231149</t>
  </si>
  <si>
    <t>0407231426</t>
  </si>
  <si>
    <t>0407231505</t>
  </si>
  <si>
    <t>0407231413</t>
  </si>
  <si>
    <t>0407231330</t>
  </si>
  <si>
    <t>0407231154</t>
  </si>
  <si>
    <t>0407230946</t>
  </si>
  <si>
    <t>0307231301</t>
  </si>
  <si>
    <t>0307231215</t>
  </si>
  <si>
    <t>0307231002</t>
  </si>
  <si>
    <t>0307230904</t>
  </si>
  <si>
    <t>0307230835</t>
  </si>
  <si>
    <t>0107231331</t>
  </si>
  <si>
    <t>0806231052</t>
  </si>
  <si>
    <t>0806231100</t>
  </si>
  <si>
    <t>0806231153</t>
  </si>
  <si>
    <t>0806231206</t>
  </si>
  <si>
    <t>0706231524</t>
  </si>
  <si>
    <t>0606231604</t>
  </si>
  <si>
    <t>0606231601</t>
  </si>
  <si>
    <t>0606231550</t>
  </si>
  <si>
    <t>0606231228</t>
  </si>
  <si>
    <t>0606231027</t>
  </si>
  <si>
    <t>0606231048</t>
  </si>
  <si>
    <t>0606231058</t>
  </si>
  <si>
    <t>0606230959</t>
  </si>
  <si>
    <t>0506231059</t>
  </si>
  <si>
    <t>0506231034</t>
  </si>
  <si>
    <t>0506230916</t>
  </si>
  <si>
    <t>0506230846</t>
  </si>
  <si>
    <t>0206231020</t>
  </si>
  <si>
    <t>0106231606</t>
  </si>
  <si>
    <t>0106231455</t>
  </si>
  <si>
    <t>0208231653</t>
  </si>
  <si>
    <t>0208231654</t>
  </si>
  <si>
    <t>0208231652</t>
  </si>
  <si>
    <t>0208231329</t>
  </si>
  <si>
    <t>0208231224</t>
  </si>
  <si>
    <t>0208231259</t>
  </si>
  <si>
    <t>0208231202</t>
  </si>
  <si>
    <t>0208231201</t>
  </si>
  <si>
    <t>0208231014</t>
  </si>
  <si>
    <t>0208231101</t>
  </si>
  <si>
    <t>0208230942</t>
  </si>
  <si>
    <t>0108231713</t>
  </si>
  <si>
    <t>0108231655</t>
  </si>
  <si>
    <t>0108231622</t>
  </si>
  <si>
    <t>0108231619</t>
  </si>
  <si>
    <t>0108231533</t>
  </si>
  <si>
    <t>0108231039</t>
  </si>
  <si>
    <t>0108231148</t>
  </si>
  <si>
    <t>0108231140</t>
  </si>
  <si>
    <t>0108231124</t>
  </si>
  <si>
    <t>0108231213</t>
  </si>
  <si>
    <t>0108231202</t>
  </si>
  <si>
    <t>0103241147</t>
  </si>
  <si>
    <t>0103241114</t>
  </si>
  <si>
    <t>0103240937</t>
  </si>
  <si>
    <t>0103241016</t>
  </si>
  <si>
    <t>0103241015</t>
  </si>
  <si>
    <t>0103241017</t>
  </si>
  <si>
    <t>0103241006</t>
  </si>
  <si>
    <t>0502241127</t>
  </si>
  <si>
    <t>0502241129</t>
  </si>
  <si>
    <t>0302241226</t>
  </si>
  <si>
    <t>0302241244</t>
  </si>
  <si>
    <t>0302241224</t>
  </si>
  <si>
    <t>0302241139</t>
  </si>
  <si>
    <t>0302241137</t>
  </si>
  <si>
    <t>0302241140</t>
  </si>
  <si>
    <t>0302241101</t>
  </si>
  <si>
    <t>0302241115</t>
  </si>
  <si>
    <t>0202241221</t>
  </si>
  <si>
    <t>0202240954</t>
  </si>
  <si>
    <t>0701241423</t>
  </si>
  <si>
    <t>0701241417</t>
  </si>
  <si>
    <t>0701241329</t>
  </si>
  <si>
    <t>0701241203</t>
  </si>
  <si>
    <t>1303241520</t>
  </si>
  <si>
    <t>0903240915</t>
  </si>
  <si>
    <t>0703240937</t>
  </si>
  <si>
    <t>0503240924</t>
  </si>
  <si>
    <t>1602241530</t>
  </si>
  <si>
    <t>Sample number</t>
  </si>
  <si>
    <t>Sex</t>
  </si>
  <si>
    <t>Age</t>
  </si>
  <si>
    <t>Dominance_Rank</t>
  </si>
  <si>
    <t>fGCM_Conc</t>
  </si>
  <si>
    <t>AgeSex</t>
  </si>
  <si>
    <t>Individual_Count</t>
  </si>
  <si>
    <t>N</t>
  </si>
  <si>
    <t>No</t>
  </si>
  <si>
    <t>Hunting</t>
  </si>
  <si>
    <t>Plane</t>
  </si>
  <si>
    <t>Others</t>
  </si>
  <si>
    <t>WS3</t>
  </si>
  <si>
    <t>WS4</t>
  </si>
  <si>
    <t>DS4</t>
  </si>
  <si>
    <t>W</t>
  </si>
  <si>
    <t>D</t>
  </si>
  <si>
    <t>River is flowing</t>
  </si>
  <si>
    <t>Water in Dams</t>
  </si>
  <si>
    <t>2_Date_Collected2</t>
  </si>
  <si>
    <t>Day</t>
  </si>
  <si>
    <t>Month</t>
  </si>
  <si>
    <t>Year</t>
  </si>
  <si>
    <t>Yes</t>
  </si>
  <si>
    <t>Plane, Darting</t>
  </si>
  <si>
    <t>2_DayPrior</t>
  </si>
  <si>
    <t>2_Temp_H</t>
  </si>
  <si>
    <t>2_Temp_A</t>
  </si>
  <si>
    <t>2_Temp_L</t>
  </si>
  <si>
    <t>2_WindSpeed_H</t>
  </si>
  <si>
    <t>2_WindSpeed_A</t>
  </si>
  <si>
    <t>2_Pressure_H</t>
  </si>
  <si>
    <t>2_Pressure_L</t>
  </si>
  <si>
    <t>2_Rainfall</t>
  </si>
  <si>
    <t>2_Break_In</t>
  </si>
  <si>
    <t>2_Water_Available</t>
  </si>
  <si>
    <t>2_EventsOnFarm</t>
  </si>
  <si>
    <t>2_Stressor</t>
  </si>
  <si>
    <t>2_Specific_Season</t>
  </si>
  <si>
    <t>2_Wet_Dry</t>
  </si>
  <si>
    <t>2_Plane</t>
  </si>
  <si>
    <t>aNo</t>
  </si>
  <si>
    <t>Degree</t>
  </si>
  <si>
    <t>Betweenness</t>
  </si>
  <si>
    <t>Closeness</t>
  </si>
  <si>
    <t>Multiplied by 10000</t>
  </si>
  <si>
    <t>2_LOWHIGHDIFF</t>
  </si>
  <si>
    <t>F</t>
  </si>
  <si>
    <t>A</t>
  </si>
  <si>
    <t>AF</t>
  </si>
  <si>
    <t>M</t>
  </si>
  <si>
    <t>J</t>
  </si>
  <si>
    <t>JM</t>
  </si>
  <si>
    <t>JF</t>
  </si>
  <si>
    <t>AM</t>
  </si>
  <si>
    <t>TotalDailyAggressiveInteractionsIndividual</t>
  </si>
  <si>
    <t>TotalAggressionsInitiatedStudyPeriod</t>
  </si>
  <si>
    <t>TotalAggressionsReceivedStudyPeriod</t>
  </si>
  <si>
    <t>DifferenceInAggressionStudyPeriod</t>
  </si>
  <si>
    <t>TotalDailyAggressions_All_Individuals</t>
  </si>
  <si>
    <t>DailyAggressionsInitiated_by_Individual</t>
  </si>
  <si>
    <t>DailyAggressionsReceived_by_Individual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</si>
</sst>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/mm/dd;@"/>
    <numFmt numFmtId="168" formatCode="0.0000000000"/>
  </numFmts>
  <fonts count="6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8"/>
      <name val="Helvetica Neue"/>
      <family val="2"/>
    </font>
    <font>
      <sz val="10"/>
      <color indexed="8"/>
      <name val="Helvetica Neue"/>
      <family val="2"/>
      <scheme val="maj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1" applyFill="0">
      <alignment vertical="top" wrapText="1"/>
    </xf>
  </cellStyleXfs>
  <cellXfs count="35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167" fontId="3" fillId="0" borderId="0" xfId="0" applyNumberFormat="1" applyFont="1">
      <alignment vertical="top" wrapText="1"/>
    </xf>
    <xf numFmtId="0" fontId="0" fillId="0" borderId="0" xfId="0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167" fontId="0" fillId="0" borderId="0" xfId="0" applyNumberFormat="1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top" wrapText="1"/>
    </xf>
    <xf numFmtId="0" fontId="3" fillId="0" borderId="0" xfId="0" applyNumberFormat="1" applyFont="1">
      <alignment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167" fontId="1" fillId="0" borderId="0" xfId="0" applyNumberFormat="1" applyFont="1" applyFill="1" applyBorder="1" applyAlignment="1">
      <alignment horizontal="left" vertical="top" wrapText="1"/>
    </xf>
    <xf numFmtId="167" fontId="0" fillId="0" borderId="0" xfId="0" applyNumberFormat="1" applyFill="1" applyAlignment="1">
      <alignment horizontal="left" vertical="top" wrapText="1"/>
    </xf>
    <xf numFmtId="49" fontId="1" fillId="0" borderId="3" xfId="0" applyNumberFormat="1" applyFont="1" applyFill="1" applyBorder="1" applyAlignment="1">
      <alignment horizontal="left" vertical="top" wrapText="1"/>
    </xf>
    <xf numFmtId="0" fontId="0" fillId="0" borderId="0" xfId="0" applyNumberFormat="1" applyFill="1" applyAlignment="1">
      <alignment horizontal="left" vertical="top" wrapText="1"/>
    </xf>
    <xf numFmtId="49" fontId="0" fillId="0" borderId="2" xfId="0" applyNumberFormat="1" applyFill="1" applyBorder="1" applyAlignment="1">
      <alignment horizontal="left" vertical="top" wrapText="1"/>
    </xf>
    <xf numFmtId="49" fontId="1" fillId="0" borderId="2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Alignment="1">
      <alignment horizontal="left" vertical="top" wrapText="1"/>
    </xf>
    <xf numFmtId="168" fontId="0" fillId="2" borderId="0" xfId="0" applyNumberFormat="1" applyFill="1" applyBorder="1" applyAlignment="1">
      <alignment horizontal="left" vertical="top" wrapText="1"/>
    </xf>
    <xf numFmtId="168" fontId="3" fillId="2" borderId="0" xfId="0" applyNumberFormat="1" applyFont="1" applyFill="1">
      <alignment vertical="top" wrapText="1"/>
    </xf>
    <xf numFmtId="1" fontId="1" fillId="2" borderId="0" xfId="0" applyNumberFormat="1" applyFont="1" applyFill="1" applyBorder="1" applyAlignment="1">
      <alignment horizontal="left" vertical="top" wrapText="1"/>
    </xf>
    <xf numFmtId="1" fontId="0" fillId="2" borderId="0" xfId="0" applyNumberFormat="1" applyFill="1" applyBorder="1" applyAlignment="1">
      <alignment horizontal="left" vertical="top" wrapText="1"/>
    </xf>
    <xf numFmtId="1" fontId="3" fillId="2" borderId="0" xfId="0" applyNumberFormat="1" applyFont="1" applyFill="1">
      <alignment vertical="top" wrapText="1"/>
    </xf>
    <xf numFmtId="0" fontId="5" fillId="0" borderId="4" xfId="0" applyFont="1" applyBorder="1">
      <alignment vertical="top" wrapText="1"/>
    </xf>
    <xf numFmtId="0" fontId="4" fillId="3" borderId="0" xfId="0" applyFont="1" applyFill="1">
      <alignment vertical="top" wrapText="1"/>
    </xf>
    <xf numFmtId="0" fontId="4" fillId="0" borderId="0" xfId="0" applyFont="1">
      <alignment vertical="top" wrapText="1"/>
    </xf>
    <xf numFmtId="0" fontId="0" fillId="4" borderId="0" xfId="0" applyFill="1" applyBorder="1" applyAlignment="1">
      <alignment horizontal="left" vertical="top" wrapText="1"/>
    </xf>
    <xf numFmtId="49" fontId="0" fillId="4" borderId="0" xfId="0" applyNumberFormat="1" applyFill="1" applyBorder="1" applyAlignment="1">
      <alignment horizontal="left" vertical="top" wrapText="1"/>
    </xf>
    <xf numFmtId="0" fontId="0" fillId="4" borderId="0" xfId="0" applyNumberFormat="1" applyFill="1" applyBorder="1" applyAlignment="1">
      <alignment horizontal="left" vertical="top" wrapText="1"/>
    </xf>
    <xf numFmtId="167" fontId="0" fillId="4" borderId="0" xfId="0" applyNumberFormat="1" applyFill="1" applyBorder="1" applyAlignment="1">
      <alignment horizontal="left" vertical="top" wrapText="1"/>
    </xf>
    <xf numFmtId="168" fontId="0" fillId="4" borderId="0" xfId="0" applyNumberFormat="1" applyFill="1" applyBorder="1" applyAlignment="1">
      <alignment horizontal="left" vertical="top" wrapText="1"/>
    </xf>
    <xf numFmtId="1" fontId="0" fillId="4" borderId="0" xfId="0" applyNumberFormat="1" applyFill="1" applyBorder="1" applyAlignment="1">
      <alignment horizontal="left" vertical="top" wrapText="1"/>
    </xf>
    <xf numFmtId="167" fontId="0" fillId="4" borderId="0" xfId="0" applyNumberFormat="1" applyFill="1" applyAlignment="1">
      <alignment horizontal="left" vertical="top" wrapText="1"/>
    </xf>
    <xf numFmtId="0" fontId="0" fillId="4" borderId="0" xfId="0" applyNumberFormat="1" applyFill="1" applyAlignment="1">
      <alignment horizontal="left" vertical="top" wrapText="1"/>
    </xf>
    <xf numFmtId="0" fontId="3" fillId="4" borderId="0" xfId="0" applyFont="1" applyFill="1">
      <alignment vertical="top" wrapText="1"/>
    </xf>
    <xf numFmtId="0" fontId="1" fillId="4" borderId="0" xfId="0" applyNumberFormat="1" applyFont="1" applyFill="1" applyAlignment="1">
      <alignment horizontal="left" vertical="top" wrapText="1"/>
    </xf>
  </cellXfs>
  <cellStyles count="2">
    <cellStyle name="Normal" xfId="0" builtinId="0"/>
    <cellStyle name="Style 1" xfId="1" xr:uid="{541E9CF5-50A5-424A-88BB-75E2FB93CE28}"/>
  </cellStyles>
  <dxfs count="84"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67" formatCode="yyyy/mm/dd;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68" formatCode="0.0000000000"/>
      <fill>
        <patternFill patternType="solid">
          <fgColor indexed="64"/>
          <bgColor theme="5" tint="0.3999755851924192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67" formatCode="yyyy/mm/dd;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border diagonalUp="0" diagonalDown="0">
        <left/>
        <right/>
        <top/>
        <bottom/>
      </border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67" formatCode="yyyy/mm/dd;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" formatCode="0"/>
      <fill>
        <patternFill patternType="solid">
          <fgColor indexed="64"/>
          <bgColor theme="5" tint="0.39997558519241921"/>
        </patternFill>
      </fill>
      <alignment horizontal="left" vertical="top" textRotation="0" wrapText="1" indent="0" justifyLastLine="0" shrinkToFit="0" readingOrder="0"/>
    </dxf>
    <dxf>
      <numFmt numFmtId="168" formatCode="0.0000000000"/>
      <fill>
        <patternFill patternType="solid">
          <fgColor indexed="64"/>
          <bgColor theme="5" tint="0.3999755851924192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167" formatCode="yyyy/mm/dd;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0" formatCode="General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border diagonalUp="0" diagonalDown="0">
        <left/>
        <right/>
        <top/>
        <bottom/>
      </border>
    </dxf>
    <dxf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</dxf>
    <dxf>
      <numFmt numFmtId="30" formatCode="@"/>
      <fill>
        <patternFill patternType="none">
          <fgColor auto="1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afunk/Documents/Elephant%20Data/Elephant_Attributes.xlsx" TargetMode="External"/><Relationship Id="rId1" Type="http://schemas.openxmlformats.org/officeDocument/2006/relationships/externalLinkPath" Target="/Users/kylafunk/Documents/Elephant%20Data/Elephant_Attribu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ributes(OUTDATED)"/>
      <sheetName val="Notes"/>
      <sheetName val="All_Attributes"/>
    </sheetNames>
    <sheetDataSet>
      <sheetData sheetId="0">
        <row r="2">
          <cell r="A2" t="str">
            <v>Nahoon</v>
          </cell>
          <cell r="B2" t="str">
            <v>F</v>
          </cell>
          <cell r="C2" t="str">
            <v>A</v>
          </cell>
          <cell r="D2" t="str">
            <v>FA</v>
          </cell>
          <cell r="E2" t="str">
            <v>Y</v>
          </cell>
          <cell r="G2">
            <v>1995</v>
          </cell>
          <cell r="H2">
            <v>1096</v>
          </cell>
          <cell r="J2">
            <v>28</v>
          </cell>
          <cell r="K2">
            <v>30</v>
          </cell>
          <cell r="L2">
            <v>346</v>
          </cell>
          <cell r="M2">
            <v>0.28999999999999998</v>
          </cell>
          <cell r="N2">
            <v>0.28929989906834258</v>
          </cell>
          <cell r="O2">
            <v>0.94444444444444442</v>
          </cell>
          <cell r="P2">
            <v>1</v>
          </cell>
          <cell r="Q2">
            <v>11</v>
          </cell>
          <cell r="R2">
            <v>7</v>
          </cell>
          <cell r="S2">
            <v>4</v>
          </cell>
        </row>
        <row r="3">
          <cell r="A3" t="str">
            <v>Sabie</v>
          </cell>
          <cell r="B3" t="str">
            <v>F</v>
          </cell>
          <cell r="C3" t="str">
            <v>A</v>
          </cell>
          <cell r="D3" t="str">
            <v>FA</v>
          </cell>
          <cell r="E3" t="str">
            <v>Y</v>
          </cell>
          <cell r="G3">
            <v>1995</v>
          </cell>
          <cell r="H3">
            <v>1146</v>
          </cell>
          <cell r="J3">
            <v>28</v>
          </cell>
          <cell r="K3">
            <v>30</v>
          </cell>
          <cell r="L3">
            <v>424</v>
          </cell>
          <cell r="M3">
            <v>0.10299999999999999</v>
          </cell>
          <cell r="N3">
            <v>0.10282190709599449</v>
          </cell>
          <cell r="O3">
            <v>0.94444444444444442</v>
          </cell>
          <cell r="P3">
            <v>1</v>
          </cell>
          <cell r="Q3">
            <v>9</v>
          </cell>
          <cell r="R3">
            <v>8</v>
          </cell>
          <cell r="S3">
            <v>1</v>
          </cell>
        </row>
        <row r="4">
          <cell r="A4" t="str">
            <v>Storm</v>
          </cell>
          <cell r="B4" t="str">
            <v>F</v>
          </cell>
          <cell r="C4" t="str">
            <v>A</v>
          </cell>
          <cell r="D4" t="str">
            <v>FA</v>
          </cell>
          <cell r="E4" t="str">
            <v>Y</v>
          </cell>
          <cell r="G4">
            <v>1995</v>
          </cell>
          <cell r="H4">
            <v>1168</v>
          </cell>
          <cell r="J4">
            <v>28</v>
          </cell>
          <cell r="K4">
            <v>30</v>
          </cell>
          <cell r="L4">
            <v>286</v>
          </cell>
          <cell r="M4">
            <v>0.26800000000000002</v>
          </cell>
          <cell r="N4">
            <v>0.26721028245328138</v>
          </cell>
          <cell r="O4">
            <v>0.89473684210526316</v>
          </cell>
          <cell r="P4">
            <v>2</v>
          </cell>
          <cell r="Q4">
            <v>12</v>
          </cell>
          <cell r="R4">
            <v>5</v>
          </cell>
          <cell r="S4">
            <v>7</v>
          </cell>
        </row>
        <row r="5">
          <cell r="A5" t="str">
            <v>Sunday</v>
          </cell>
          <cell r="B5" t="str">
            <v>F</v>
          </cell>
          <cell r="C5" t="str">
            <v>A</v>
          </cell>
          <cell r="D5" t="str">
            <v>FA</v>
          </cell>
          <cell r="E5" t="str">
            <v>Y</v>
          </cell>
          <cell r="G5">
            <v>2003</v>
          </cell>
          <cell r="H5">
            <v>929</v>
          </cell>
          <cell r="I5" t="str">
            <v xml:space="preserve">Age is wrong. She has 2 babies. </v>
          </cell>
          <cell r="J5">
            <v>25</v>
          </cell>
          <cell r="K5">
            <v>27</v>
          </cell>
          <cell r="L5">
            <v>321</v>
          </cell>
          <cell r="M5">
            <v>0.17599999999999999</v>
          </cell>
          <cell r="N5">
            <v>0.17530262753188491</v>
          </cell>
          <cell r="O5">
            <v>0.89473684210526316</v>
          </cell>
          <cell r="P5">
            <v>1</v>
          </cell>
          <cell r="Q5">
            <v>6</v>
          </cell>
          <cell r="R5">
            <v>8</v>
          </cell>
          <cell r="S5">
            <v>-2</v>
          </cell>
        </row>
        <row r="6">
          <cell r="A6" t="str">
            <v>Toti</v>
          </cell>
          <cell r="B6" t="str">
            <v>F</v>
          </cell>
          <cell r="C6" t="str">
            <v>A</v>
          </cell>
          <cell r="D6" t="str">
            <v>FA</v>
          </cell>
          <cell r="E6" t="str">
            <v>Y</v>
          </cell>
          <cell r="G6">
            <v>2003</v>
          </cell>
          <cell r="H6">
            <v>892</v>
          </cell>
          <cell r="J6">
            <v>20</v>
          </cell>
          <cell r="K6">
            <v>22</v>
          </cell>
          <cell r="L6">
            <v>378</v>
          </cell>
          <cell r="M6">
            <v>8.6999999999999994E-2</v>
          </cell>
          <cell r="N6">
            <v>8.6599138783086713E-2</v>
          </cell>
          <cell r="O6">
            <v>1</v>
          </cell>
          <cell r="P6">
            <v>1</v>
          </cell>
          <cell r="Q6">
            <v>4</v>
          </cell>
          <cell r="R6">
            <v>20</v>
          </cell>
          <cell r="S6">
            <v>-16</v>
          </cell>
        </row>
        <row r="7">
          <cell r="A7" t="str">
            <v>Tugela</v>
          </cell>
          <cell r="B7" t="str">
            <v>F</v>
          </cell>
          <cell r="C7" t="str">
            <v>A</v>
          </cell>
          <cell r="D7" t="str">
            <v>FA</v>
          </cell>
          <cell r="E7" t="str">
            <v>Y</v>
          </cell>
          <cell r="G7">
            <v>1973</v>
          </cell>
          <cell r="H7">
            <v>963</v>
          </cell>
          <cell r="J7">
            <v>50</v>
          </cell>
          <cell r="K7">
            <v>52</v>
          </cell>
          <cell r="L7">
            <v>289</v>
          </cell>
          <cell r="M7">
            <v>0.32400000000000001</v>
          </cell>
          <cell r="N7">
            <v>0.32380809109629533</v>
          </cell>
          <cell r="O7">
            <v>1</v>
          </cell>
          <cell r="P7">
            <v>2</v>
          </cell>
          <cell r="Q7">
            <v>9</v>
          </cell>
          <cell r="R7">
            <v>9</v>
          </cell>
          <cell r="S7">
            <v>0</v>
          </cell>
        </row>
        <row r="8">
          <cell r="A8" t="str">
            <v>Zinkwazi</v>
          </cell>
          <cell r="B8" t="str">
            <v>F</v>
          </cell>
          <cell r="C8" t="str">
            <v>A</v>
          </cell>
          <cell r="D8" t="str">
            <v>FA</v>
          </cell>
          <cell r="E8" t="str">
            <v>Y</v>
          </cell>
          <cell r="G8">
            <v>1973</v>
          </cell>
          <cell r="H8">
            <v>1346</v>
          </cell>
          <cell r="J8">
            <v>50</v>
          </cell>
          <cell r="K8">
            <v>52</v>
          </cell>
          <cell r="L8">
            <v>474</v>
          </cell>
          <cell r="M8">
            <v>0.121</v>
          </cell>
          <cell r="N8">
            <v>0.1206993463154281</v>
          </cell>
          <cell r="O8">
            <v>0.94444444444444442</v>
          </cell>
          <cell r="P8">
            <v>1</v>
          </cell>
          <cell r="Q8">
            <v>16</v>
          </cell>
          <cell r="R8">
            <v>1</v>
          </cell>
          <cell r="S8">
            <v>15</v>
          </cell>
        </row>
        <row r="9">
          <cell r="A9" t="str">
            <v>Kariega</v>
          </cell>
          <cell r="B9" t="str">
            <v>F</v>
          </cell>
          <cell r="C9" t="str">
            <v>J</v>
          </cell>
          <cell r="D9" t="str">
            <v>FJ</v>
          </cell>
          <cell r="E9" t="str">
            <v>N</v>
          </cell>
          <cell r="G9">
            <v>2012</v>
          </cell>
          <cell r="H9">
            <v>765</v>
          </cell>
          <cell r="J9">
            <v>11</v>
          </cell>
          <cell r="K9">
            <v>13</v>
          </cell>
          <cell r="L9">
            <v>258</v>
          </cell>
          <cell r="M9">
            <v>0.25700000000000001</v>
          </cell>
          <cell r="N9">
            <v>0.25665547185998128</v>
          </cell>
          <cell r="O9">
            <v>1</v>
          </cell>
          <cell r="P9">
            <v>2</v>
          </cell>
          <cell r="Q9">
            <v>1</v>
          </cell>
          <cell r="R9">
            <v>10</v>
          </cell>
          <cell r="S9">
            <v>-9</v>
          </cell>
        </row>
        <row r="10">
          <cell r="A10" t="str">
            <v>Levubu</v>
          </cell>
          <cell r="B10" t="str">
            <v>F</v>
          </cell>
          <cell r="C10" t="str">
            <v>J</v>
          </cell>
          <cell r="D10" t="str">
            <v>FJ</v>
          </cell>
          <cell r="E10" t="str">
            <v>N</v>
          </cell>
          <cell r="F10" t="str">
            <v>Sunday</v>
          </cell>
          <cell r="G10">
            <v>2012</v>
          </cell>
          <cell r="H10">
            <v>879</v>
          </cell>
          <cell r="J10">
            <v>11</v>
          </cell>
          <cell r="K10">
            <v>13</v>
          </cell>
          <cell r="L10">
            <v>269</v>
          </cell>
          <cell r="M10">
            <v>0.65800000000000003</v>
          </cell>
          <cell r="N10">
            <v>0.65767064449315993</v>
          </cell>
          <cell r="O10">
            <v>0.94444444444444442</v>
          </cell>
          <cell r="P10">
            <v>1</v>
          </cell>
          <cell r="Q10">
            <v>3</v>
          </cell>
          <cell r="R10">
            <v>9</v>
          </cell>
          <cell r="S10">
            <v>-6</v>
          </cell>
        </row>
        <row r="11">
          <cell r="A11" t="str">
            <v>Ntombe</v>
          </cell>
          <cell r="B11" t="str">
            <v>F</v>
          </cell>
          <cell r="C11" t="str">
            <v>J</v>
          </cell>
          <cell r="D11" t="str">
            <v>FJ</v>
          </cell>
          <cell r="E11" t="str">
            <v>N</v>
          </cell>
          <cell r="F11" t="str">
            <v>Storm</v>
          </cell>
          <cell r="G11">
            <v>2014</v>
          </cell>
          <cell r="H11">
            <v>820</v>
          </cell>
          <cell r="J11">
            <v>9</v>
          </cell>
          <cell r="K11">
            <v>11</v>
          </cell>
          <cell r="L11">
            <v>305</v>
          </cell>
          <cell r="M11">
            <v>0.17499999999999999</v>
          </cell>
          <cell r="N11">
            <v>0.17467336145108631</v>
          </cell>
          <cell r="O11">
            <v>0.89473684210526316</v>
          </cell>
          <cell r="P11">
            <v>2</v>
          </cell>
          <cell r="Q11">
            <v>0</v>
          </cell>
          <cell r="R11">
            <v>4</v>
          </cell>
          <cell r="S11">
            <v>-4</v>
          </cell>
        </row>
        <row r="12">
          <cell r="A12" t="str">
            <v>Umgeni</v>
          </cell>
          <cell r="B12" t="str">
            <v>F</v>
          </cell>
          <cell r="C12" t="str">
            <v>J</v>
          </cell>
          <cell r="D12" t="str">
            <v>FJ</v>
          </cell>
          <cell r="E12" t="str">
            <v>N</v>
          </cell>
          <cell r="F12" t="str">
            <v>Sabie</v>
          </cell>
          <cell r="G12">
            <v>2012</v>
          </cell>
          <cell r="H12">
            <v>711</v>
          </cell>
          <cell r="J12">
            <v>11</v>
          </cell>
          <cell r="K12">
            <v>13</v>
          </cell>
          <cell r="L12">
            <v>398</v>
          </cell>
          <cell r="M12">
            <v>0.47899999999999998</v>
          </cell>
          <cell r="N12">
            <v>0.47820662037086947</v>
          </cell>
          <cell r="O12">
            <v>1</v>
          </cell>
          <cell r="P12">
            <v>1</v>
          </cell>
          <cell r="Q12">
            <v>0</v>
          </cell>
          <cell r="R12">
            <v>12</v>
          </cell>
          <cell r="S12">
            <v>-12</v>
          </cell>
        </row>
        <row r="13">
          <cell r="A13" t="str">
            <v>Mdumbe</v>
          </cell>
          <cell r="B13" t="str">
            <v>M</v>
          </cell>
          <cell r="C13" t="str">
            <v>A</v>
          </cell>
          <cell r="D13" t="str">
            <v>MA</v>
          </cell>
          <cell r="E13" t="str">
            <v>Y</v>
          </cell>
          <cell r="F13" t="str">
            <v>Zinkwazi</v>
          </cell>
          <cell r="G13">
            <v>2001</v>
          </cell>
          <cell r="H13">
            <v>1223</v>
          </cell>
          <cell r="J13">
            <v>22</v>
          </cell>
          <cell r="K13">
            <v>24</v>
          </cell>
          <cell r="L13">
            <v>404</v>
          </cell>
          <cell r="M13">
            <v>0.91700000000000004</v>
          </cell>
          <cell r="N13">
            <v>0.91664628583929353</v>
          </cell>
          <cell r="O13">
            <v>1</v>
          </cell>
          <cell r="P13">
            <v>1</v>
          </cell>
          <cell r="Q13">
            <v>14</v>
          </cell>
          <cell r="R13">
            <v>17</v>
          </cell>
          <cell r="S13">
            <v>-3</v>
          </cell>
        </row>
        <row r="14">
          <cell r="A14" t="str">
            <v>Rex</v>
          </cell>
          <cell r="B14" t="str">
            <v>M</v>
          </cell>
          <cell r="C14" t="str">
            <v>A</v>
          </cell>
          <cell r="D14" t="str">
            <v>MA</v>
          </cell>
          <cell r="E14" t="str">
            <v>Y</v>
          </cell>
          <cell r="G14">
            <v>1984</v>
          </cell>
          <cell r="H14">
            <v>1509</v>
          </cell>
          <cell r="J14">
            <v>39</v>
          </cell>
          <cell r="K14">
            <v>41</v>
          </cell>
          <cell r="L14">
            <v>450</v>
          </cell>
          <cell r="M14">
            <v>0.375</v>
          </cell>
          <cell r="N14">
            <v>0.37414375430996583</v>
          </cell>
          <cell r="O14">
            <v>1</v>
          </cell>
          <cell r="P14">
            <v>1</v>
          </cell>
          <cell r="Q14">
            <v>48</v>
          </cell>
          <cell r="R14">
            <v>3</v>
          </cell>
          <cell r="S14">
            <v>45</v>
          </cell>
        </row>
        <row r="15">
          <cell r="A15" t="str">
            <v>Duzi</v>
          </cell>
          <cell r="B15" t="str">
            <v>M</v>
          </cell>
          <cell r="C15" t="str">
            <v>J</v>
          </cell>
          <cell r="D15" t="str">
            <v>MJ</v>
          </cell>
          <cell r="E15" t="str">
            <v>N</v>
          </cell>
          <cell r="G15">
            <v>2012</v>
          </cell>
          <cell r="H15">
            <v>1031</v>
          </cell>
          <cell r="J15">
            <v>11</v>
          </cell>
          <cell r="K15">
            <v>13</v>
          </cell>
          <cell r="L15">
            <v>234</v>
          </cell>
          <cell r="M15">
            <v>0.16500000000000001</v>
          </cell>
          <cell r="N15">
            <v>0.16420161303383449</v>
          </cell>
          <cell r="O15">
            <v>1</v>
          </cell>
          <cell r="P15">
            <v>1</v>
          </cell>
          <cell r="Q15">
            <v>9</v>
          </cell>
          <cell r="R15">
            <v>9</v>
          </cell>
          <cell r="S15">
            <v>0</v>
          </cell>
        </row>
        <row r="16">
          <cell r="A16" t="str">
            <v>Inanda</v>
          </cell>
          <cell r="B16" t="str">
            <v>M</v>
          </cell>
          <cell r="C16" t="str">
            <v>J</v>
          </cell>
          <cell r="D16" t="str">
            <v>MJ</v>
          </cell>
          <cell r="E16" t="str">
            <v>N</v>
          </cell>
          <cell r="F16" t="str">
            <v>Sunday</v>
          </cell>
          <cell r="G16">
            <v>2014</v>
          </cell>
          <cell r="H16">
            <v>699</v>
          </cell>
          <cell r="J16">
            <v>9</v>
          </cell>
          <cell r="K16">
            <v>11</v>
          </cell>
          <cell r="L16">
            <v>343</v>
          </cell>
          <cell r="M16">
            <v>0.81</v>
          </cell>
          <cell r="N16">
            <v>0.80966774571167055</v>
          </cell>
          <cell r="O16">
            <v>0.94444444444444442</v>
          </cell>
          <cell r="P16">
            <v>1</v>
          </cell>
          <cell r="Q16">
            <v>0</v>
          </cell>
          <cell r="R16">
            <v>8</v>
          </cell>
          <cell r="S16">
            <v>-8</v>
          </cell>
        </row>
        <row r="17">
          <cell r="A17" t="str">
            <v>Komati</v>
          </cell>
          <cell r="B17" t="str">
            <v>M</v>
          </cell>
          <cell r="C17" t="str">
            <v>J</v>
          </cell>
          <cell r="D17" t="str">
            <v>MJ</v>
          </cell>
          <cell r="E17" t="str">
            <v>N</v>
          </cell>
          <cell r="G17">
            <v>2012</v>
          </cell>
          <cell r="H17">
            <v>1055</v>
          </cell>
          <cell r="J17">
            <v>11</v>
          </cell>
          <cell r="K17">
            <v>13</v>
          </cell>
          <cell r="L17">
            <v>181</v>
          </cell>
          <cell r="M17">
            <v>7.3999999999999996E-2</v>
          </cell>
          <cell r="N17">
            <v>7.3914663535330896E-2</v>
          </cell>
          <cell r="O17">
            <v>0.94444444444444442</v>
          </cell>
          <cell r="P17">
            <v>1</v>
          </cell>
          <cell r="Q17">
            <v>7</v>
          </cell>
          <cell r="R17">
            <v>9</v>
          </cell>
          <cell r="S17">
            <v>-2</v>
          </cell>
        </row>
        <row r="18">
          <cell r="A18" t="str">
            <v>Mbizana</v>
          </cell>
          <cell r="B18" t="str">
            <v>M</v>
          </cell>
          <cell r="C18" t="str">
            <v>J</v>
          </cell>
          <cell r="D18" t="str">
            <v>MJ</v>
          </cell>
          <cell r="E18" t="str">
            <v>N</v>
          </cell>
          <cell r="F18" t="str">
            <v>Zinkwazi</v>
          </cell>
          <cell r="G18">
            <v>2014</v>
          </cell>
          <cell r="H18">
            <v>940</v>
          </cell>
          <cell r="J18">
            <v>9</v>
          </cell>
          <cell r="K18">
            <v>11</v>
          </cell>
          <cell r="L18">
            <v>361</v>
          </cell>
          <cell r="M18">
            <v>0.40600000000000003</v>
          </cell>
          <cell r="N18">
            <v>0.40590323220736402</v>
          </cell>
          <cell r="O18">
            <v>1</v>
          </cell>
          <cell r="P18">
            <v>1</v>
          </cell>
          <cell r="Q18">
            <v>2</v>
          </cell>
          <cell r="R18">
            <v>7</v>
          </cell>
          <cell r="S18">
            <v>-5</v>
          </cell>
        </row>
        <row r="19">
          <cell r="A19" t="str">
            <v>Umfolozi</v>
          </cell>
          <cell r="B19" t="str">
            <v>M</v>
          </cell>
          <cell r="C19" t="str">
            <v>J</v>
          </cell>
          <cell r="D19" t="str">
            <v>MJ</v>
          </cell>
          <cell r="E19" t="str">
            <v>N</v>
          </cell>
          <cell r="G19">
            <v>2014</v>
          </cell>
          <cell r="H19">
            <v>828</v>
          </cell>
          <cell r="J19">
            <v>9</v>
          </cell>
          <cell r="K19">
            <v>11</v>
          </cell>
          <cell r="L19">
            <v>219</v>
          </cell>
          <cell r="M19">
            <v>0.32300000000000001</v>
          </cell>
          <cell r="N19">
            <v>0.32257531484312868</v>
          </cell>
          <cell r="O19">
            <v>1</v>
          </cell>
          <cell r="P19">
            <v>2</v>
          </cell>
          <cell r="Q19">
            <v>1</v>
          </cell>
          <cell r="R19">
            <v>6</v>
          </cell>
          <cell r="S19">
            <v>-5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34F17-5DE4-554A-8E2D-CF9035984E8F}" name="Table2" displayName="Table2" ref="A1:AN373" totalsRowShown="0" headerRowDxfId="83" dataDxfId="82" tableBorderDxfId="81" headerRowCellStyle="Normal" dataCellStyle="Normal">
  <autoFilter ref="A1:AN373" xr:uid="{5F834F17-5DE4-554A-8E2D-CF9035984E8F}"/>
  <sortState xmlns:xlrd2="http://schemas.microsoft.com/office/spreadsheetml/2017/richdata2" ref="A2:AN373">
    <sortCondition ref="F1:F373"/>
  </sortState>
  <tableColumns count="40">
    <tableColumn id="1" xr3:uid="{2BBD2A8A-8532-7346-BFD7-FECC36EC727B}" name="Sample number" dataDxfId="80" dataCellStyle="Normal"/>
    <tableColumn id="2" xr3:uid="{F7030637-034E-E64E-B771-A553C77F9536}" name="Sample ID # (DDMMYYHHMM)" dataDxfId="79" dataCellStyle="Normal"/>
    <tableColumn id="3" xr3:uid="{DB8CEBD2-533C-3D48-9B3E-6FFBC3201D37}" name="Day" dataDxfId="78" dataCellStyle="Normal"/>
    <tableColumn id="22" xr3:uid="{989B89A2-EFCD-8C44-BD39-BCA2DCA0E3AB}" name="Month" dataDxfId="77"/>
    <tableColumn id="21" xr3:uid="{A625BA06-906D-F64E-9344-4BCFAA76F25D}" name="Year" dataDxfId="76"/>
    <tableColumn id="20" xr3:uid="{8E8C8392-8AEB-4D4F-8FF7-BF06F2FCFD1E}" name="2_Date_Collected2" dataDxfId="75"/>
    <tableColumn id="4" xr3:uid="{F8DE8E02-556B-5840-B590-43A456585D5C}" name="3_Elephant_ID" dataDxfId="74" dataCellStyle="Normal"/>
    <tableColumn id="14" xr3:uid="{FE27772B-A2A7-9643-B8CE-FD151F89061C}" name="fGCM_Conc" dataDxfId="73" dataCellStyle="Normal"/>
    <tableColumn id="64" xr3:uid="{BB1BB8F9-99F2-2945-AEA4-C30C2637C7A1}" name="Multiplied by 10000" dataDxfId="72">
      <calculatedColumnFormula>ROUNDUP((Table2[[#This Row],[fGCM_Conc]]*10000),0)</calculatedColumnFormula>
    </tableColumn>
    <tableColumn id="15" xr3:uid="{7A0A73C6-43DB-A64A-9268-279A02F0132A}" name="Sex" dataDxfId="71" dataCellStyle="Normal">
      <calculatedColumnFormula>VLOOKUP(G2,'[1]Attributes(OUTDATED)'!$A$2:$C$19,2,FALSE)</calculatedColumnFormula>
    </tableColumn>
    <tableColumn id="16" xr3:uid="{4B8A7C01-CF21-8A44-AB65-B5CDC458047F}" name="Age" dataDxfId="70" dataCellStyle="Normal">
      <calculatedColumnFormula>VLOOKUP(G2,'[1]Attributes(OUTDATED)'!$A$2:$C$19,3,FALSE)</calculatedColumnFormula>
    </tableColumn>
    <tableColumn id="17" xr3:uid="{F65D6FBB-F8D1-2540-B60C-9147284BA3AD}" name="Dominance_Rank" dataDxfId="69" dataCellStyle="Normal">
      <calculatedColumnFormula>VLOOKUP(G2,'[1]Attributes(OUTDATED)'!$A$2:$H$19,8,FALSE)</calculatedColumnFormula>
    </tableColumn>
    <tableColumn id="18" xr3:uid="{8A7B704E-9B0B-3841-8566-21A8ED509ABF}" name="AgeSex" dataDxfId="68" dataCellStyle="Normal">
      <calculatedColumnFormula>K2&amp;J2</calculatedColumnFormula>
    </tableColumn>
    <tableColumn id="19" xr3:uid="{A95B7B43-1D85-0744-BB8E-4755437678B0}" name="Individual_Count" dataDxfId="67" dataCellStyle="Normal">
      <calculatedColumnFormula>VLOOKUP(G2,#REF!,2,FALSE)</calculatedColumnFormula>
    </tableColumn>
    <tableColumn id="32" xr3:uid="{9D4991B8-CCB0-E94F-ACAB-7E418503585B}" name="2_DayPrior" dataDxfId="66" dataCellStyle="Normal"/>
    <tableColumn id="42" xr3:uid="{729F3C45-EE75-C341-9959-70066D319167}" name="2_Temp_H" dataDxfId="65" dataCellStyle="Normal"/>
    <tableColumn id="43" xr3:uid="{CBC190D2-6AEF-7848-ABEB-D24AF7771B2B}" name="2_Temp_A" dataDxfId="64" dataCellStyle="Normal"/>
    <tableColumn id="44" xr3:uid="{388AEA94-0A2B-394F-B912-9B60AF06D2B8}" name="2_Temp_L" dataDxfId="63" dataCellStyle="Normal"/>
    <tableColumn id="68" xr3:uid="{09ABCC16-2769-6A4D-8E06-BCF1F7243EA2}" name="2_LOWHIGHDIFF" dataDxfId="62">
      <calculatedColumnFormula>Table2[[#This Row],[2_Temp_H]]-Table2[[#This Row],[2_Temp_L]]</calculatedColumnFormula>
    </tableColumn>
    <tableColumn id="45" xr3:uid="{3C7DDD1C-9633-CD41-9996-205F16AF407F}" name="2_WindSpeed_H" dataDxfId="61" dataCellStyle="Normal"/>
    <tableColumn id="46" xr3:uid="{74651A54-134A-FD42-A29E-B4DC54EEF655}" name="2_WindSpeed_A" dataDxfId="60" dataCellStyle="Normal"/>
    <tableColumn id="47" xr3:uid="{600624C4-8D54-2048-89F5-70AD92A5E609}" name="2_Pressure_H" dataDxfId="59" dataCellStyle="Normal"/>
    <tableColumn id="48" xr3:uid="{3E1AB1E4-96A5-AD49-8C46-D39AA43A348C}" name="2_Pressure_L" dataDxfId="58" dataCellStyle="Normal"/>
    <tableColumn id="49" xr3:uid="{C31013AB-C35B-B44F-A808-9CCD38FA90D4}" name="2_Rainfall" dataDxfId="57" dataCellStyle="Normal"/>
    <tableColumn id="51" xr3:uid="{1793C461-F540-C243-9924-F6D3C7D7567E}" name="2_Water_Available" dataDxfId="56" dataCellStyle="Normal"/>
    <tableColumn id="52" xr3:uid="{433CE635-6BE2-2745-87AA-FBC1A9C3E039}" name="2_EventsOnFarm" dataDxfId="55" dataCellStyle="Normal"/>
    <tableColumn id="53" xr3:uid="{BBB88C15-92DA-5947-864F-28364893DA50}" name="2_Stressor" dataDxfId="54" dataCellStyle="Normal"/>
    <tableColumn id="54" xr3:uid="{A7234C7A-6886-DB41-828E-0EAC3F55126C}" name="2_Specific_Season" dataDxfId="53" dataCellStyle="Normal"/>
    <tableColumn id="55" xr3:uid="{00D2519E-68FC-1C42-B721-0B0E57156E37}" name="2_Wet_Dry" dataDxfId="52" dataCellStyle="Normal"/>
    <tableColumn id="56" xr3:uid="{E7AA4667-C057-9645-988E-18ECB48B00D8}" name="2_Plane" dataDxfId="51" dataCellStyle="Normal"/>
    <tableColumn id="61" xr3:uid="{90B60BDD-15F8-414B-BB3F-BF288E5FB35B}" name="Degree" dataDxfId="50" dataCellStyle="Normal">
      <calculatedColumnFormula>VLOOKUP(Table2[[#This Row],[3_Elephant_ID]],'[1]Attributes(OUTDATED)'!$A$2:$N$19,12,FALSE)</calculatedColumnFormula>
    </tableColumn>
    <tableColumn id="62" xr3:uid="{EFD9F4F2-EDE8-7D49-9A38-44658FFEA3BB}" name="Betweenness" dataDxfId="49" dataCellStyle="Normal">
      <calculatedColumnFormula>VLOOKUP(Table2[[#This Row],[3_Elephant_ID]],'[1]Attributes(OUTDATED)'!$A$2:$N$19,13,FALSE)</calculatedColumnFormula>
    </tableColumn>
    <tableColumn id="63" xr3:uid="{16B69511-F904-494B-B737-DE39FB496A89}" name="Closeness" dataDxfId="48" dataCellStyle="Normal">
      <calculatedColumnFormula>VLOOKUP(Table2[[#This Row],[3_Elephant_ID]],'[1]Attributes(OUTDATED)'!$A$2:$N$19,14,FALSE)</calculatedColumnFormula>
    </tableColumn>
    <tableColumn id="69" xr3:uid="{195A5B53-DB8E-AD44-B0A8-795F00A6E609}" name="TotalDailyAggressions_All_Individuals" dataDxfId="47" dataCellStyle="Normal"/>
    <tableColumn id="70" xr3:uid="{C7F7D6A9-F221-9645-8A00-82747608C0EC}" name="DailyAggressionsInitiated_by_Individual" dataDxfId="46" dataCellStyle="Normal"/>
    <tableColumn id="71" xr3:uid="{5794F3B2-967A-A340-8D82-305F24916329}" name="DailyAggressionsReceived_by_Individual" dataDxfId="45" dataCellStyle="Normal"/>
    <tableColumn id="72" xr3:uid="{A239B3A0-BC8E-5E44-B1DC-5E1867C26BDE}" name="TotalDailyAggressiveInteractionsIndividual" dataDxfId="44" dataCellStyle="Normal"/>
    <tableColumn id="73" xr3:uid="{FDF1D203-292F-5446-B4EA-12F4CE56A1EF}" name="TotalAggressionsInitiatedStudyPeriod" dataDxfId="43" dataCellStyle="Normal">
      <calculatedColumnFormula>VLOOKUP(Table2[[#This Row],[3_Elephant_ID]],'[1]Attributes(OUTDATED)'!$A$2:$P$19,16,FALSE)</calculatedColumnFormula>
    </tableColumn>
    <tableColumn id="74" xr3:uid="{BC668B19-2740-0C4F-8C97-436FB5FA175E}" name="TotalAggressionsReceivedStudyPeriod" dataDxfId="42" dataCellStyle="Normal">
      <calculatedColumnFormula>VLOOKUP(Table2[[#This Row],[3_Elephant_ID]],'[1]Attributes(OUTDATED)'!$A$2:$S$19,17,FALSE)</calculatedColumnFormula>
    </tableColumn>
    <tableColumn id="75" xr3:uid="{4AD2A55A-4BB7-A14C-9FFA-54EDD2D0D0E7}" name="DifferenceInAggressionStudyPeriod" dataDxfId="41" dataCellStyle="Normal">
      <calculatedColumnFormula>VLOOKUP(Table2[[#This Row],[3_Elephant_ID]],'[1]Attributes(OUTDATED)'!$A$2:$S$19,18,FALSE)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E6451-8596-F54C-A677-8C0EA326D1A5}" name="Table24" displayName="Table24" ref="A1:AL323" totalsRowShown="0" headerRowDxfId="40" dataDxfId="39" tableBorderDxfId="38" headerRowCellStyle="Normal" dataCellStyle="Normal">
  <autoFilter ref="A1:AL323" xr:uid="{526E6451-8596-F54C-A677-8C0EA326D1A5}"/>
  <sortState xmlns:xlrd2="http://schemas.microsoft.com/office/spreadsheetml/2017/richdata2" ref="A2:AL323">
    <sortCondition ref="F1:F323"/>
  </sortState>
  <tableColumns count="38">
    <tableColumn id="1" xr3:uid="{6A82A8D6-9875-1149-B6EE-F05842BAF2CF}" name="Sample number" dataDxfId="37" dataCellStyle="Normal"/>
    <tableColumn id="2" xr3:uid="{530F7EF7-B674-0542-87EF-390402F5B615}" name="Sample ID # (DDMMYYHHMM)" dataDxfId="36" dataCellStyle="Normal"/>
    <tableColumn id="3" xr3:uid="{7B4B0137-71D6-294F-AA4E-BE5A13A49C75}" name="Day" dataDxfId="35" dataCellStyle="Normal"/>
    <tableColumn id="22" xr3:uid="{157790BC-F042-8448-A6B5-B17A772F9330}" name="Month" dataDxfId="34"/>
    <tableColumn id="21" xr3:uid="{ABD39FC1-06FB-8347-B2EB-815D5C0697E8}" name="Year" dataDxfId="33"/>
    <tableColumn id="20" xr3:uid="{58646DB5-353D-C342-BDDC-0D905FF93202}" name="2_Date_Collected2" dataDxfId="32"/>
    <tableColumn id="4" xr3:uid="{6754752F-1A91-C044-9F80-5BF15028DC63}" name="3_Elephant_ID" dataDxfId="31" dataCellStyle="Normal"/>
    <tableColumn id="14" xr3:uid="{AE3B82B2-16F3-4040-909A-365441D110BA}" name="fGCM_Conc" dataDxfId="30" dataCellStyle="Normal"/>
    <tableColumn id="15" xr3:uid="{F189F9BD-4730-CC47-871F-7730759BFBA8}" name="Sex" dataDxfId="29" dataCellStyle="Normal">
      <calculatedColumnFormula>VLOOKUP(G2,'[1]Attributes(OUTDATED)'!$A$2:$C$19,2,FALSE)</calculatedColumnFormula>
    </tableColumn>
    <tableColumn id="16" xr3:uid="{BC59A145-47D0-F944-A2C4-7FFA0E3549E1}" name="Age" dataDxfId="28" dataCellStyle="Normal">
      <calculatedColumnFormula>VLOOKUP(G2,'[1]Attributes(OUTDATED)'!$A$2:$C$19,3,FALSE)</calculatedColumnFormula>
    </tableColumn>
    <tableColumn id="17" xr3:uid="{D310BF7C-1C9B-8A46-ABFF-B52177D19C5A}" name="Dominance_Rank" dataDxfId="27" dataCellStyle="Normal">
      <calculatedColumnFormula>VLOOKUP(G2,'[1]Attributes(OUTDATED)'!$A$2:$H$19,8,FALSE)</calculatedColumnFormula>
    </tableColumn>
    <tableColumn id="18" xr3:uid="{CF2A7AAE-98FD-4F4F-BADF-F550EF601A2E}" name="AgeSex" dataDxfId="26" dataCellStyle="Normal">
      <calculatedColumnFormula>J2&amp;I2</calculatedColumnFormula>
    </tableColumn>
    <tableColumn id="32" xr3:uid="{3FB5A1BD-1142-624E-84B6-A80A7BABE16F}" name="2_DayPrior" dataDxfId="25" dataCellStyle="Normal"/>
    <tableColumn id="42" xr3:uid="{5BBE5E69-0F24-5A4A-9D59-CE2B07B9928F}" name="2_Temp_H" dataDxfId="24" dataCellStyle="Normal"/>
    <tableColumn id="43" xr3:uid="{F0290B11-BDE1-1741-8A87-F8CBAD2C6F09}" name="2_Temp_A" dataDxfId="23" dataCellStyle="Normal"/>
    <tableColumn id="44" xr3:uid="{139CAC52-11E2-9749-90F3-90827D7D39A0}" name="2_Temp_L" dataDxfId="22" dataCellStyle="Normal"/>
    <tableColumn id="68" xr3:uid="{75115A63-C47A-BE41-BDC2-3442D6031F4B}" name="2_LOWHIGHDIFF" dataDxfId="21">
      <calculatedColumnFormula>Table24[[#This Row],[2_Temp_H]]-Table24[[#This Row],[2_Temp_L]]</calculatedColumnFormula>
    </tableColumn>
    <tableColumn id="45" xr3:uid="{6522388B-5ACC-3C4B-9866-343B56FA81F0}" name="2_WindSpeed_H" dataDxfId="20" dataCellStyle="Normal"/>
    <tableColumn id="46" xr3:uid="{EEBA5895-F105-F944-A976-1868142862A2}" name="2_WindSpeed_A" dataDxfId="19" dataCellStyle="Normal"/>
    <tableColumn id="47" xr3:uid="{21F4EA0A-C320-F848-B18F-6553B649CFFC}" name="2_Pressure_H" dataDxfId="18" dataCellStyle="Normal"/>
    <tableColumn id="48" xr3:uid="{6E942BD5-18A7-4B47-B5DC-D11C2B3528AB}" name="2_Pressure_L" dataDxfId="17" dataCellStyle="Normal"/>
    <tableColumn id="49" xr3:uid="{09774754-73CA-8248-A076-3BB80D9DEE12}" name="2_Rainfall" dataDxfId="16" dataCellStyle="Normal"/>
    <tableColumn id="51" xr3:uid="{CC8959C8-3430-2445-A8A8-ADFFD6A98181}" name="2_Water_Available" dataDxfId="15" dataCellStyle="Normal"/>
    <tableColumn id="52" xr3:uid="{5117D8F1-1997-5348-BE74-A462C7EAFCE1}" name="2_EventsOnFarm" dataDxfId="14" dataCellStyle="Normal"/>
    <tableColumn id="53" xr3:uid="{5EFABE90-5239-5040-8556-526BE862D7AC}" name="2_Stressor" dataDxfId="13" dataCellStyle="Normal"/>
    <tableColumn id="54" xr3:uid="{837090CE-1144-B84B-8FDF-E4FD16862F4A}" name="2_Specific_Season" dataDxfId="12" dataCellStyle="Normal"/>
    <tableColumn id="55" xr3:uid="{337CE527-E5BA-5E40-A172-CDD69C1CD3FE}" name="2_Wet_Dry" dataDxfId="11" dataCellStyle="Normal"/>
    <tableColumn id="56" xr3:uid="{D987CB32-67B8-5648-84BD-4E96580C781B}" name="2_Plane" dataDxfId="10" dataCellStyle="Normal"/>
    <tableColumn id="61" xr3:uid="{F2269340-F20D-404F-BDB0-3FD36C6B6A11}" name="Degree" dataDxfId="9" dataCellStyle="Normal">
      <calculatedColumnFormula>VLOOKUP(Table24[[#This Row],[3_Elephant_ID]],'[1]Attributes(OUTDATED)'!$A$2:$N$19,12,FALSE)</calculatedColumnFormula>
    </tableColumn>
    <tableColumn id="62" xr3:uid="{898D174D-0387-EC4A-8264-AF13BF33ECA5}" name="Betweenness" dataDxfId="8" dataCellStyle="Normal">
      <calculatedColumnFormula>VLOOKUP(Table24[[#This Row],[3_Elephant_ID]],'[1]Attributes(OUTDATED)'!$A$2:$N$19,13,FALSE)</calculatedColumnFormula>
    </tableColumn>
    <tableColumn id="63" xr3:uid="{18B8C5DF-C05D-C343-ADDD-044B758CA6DA}" name="Closeness" dataDxfId="7" dataCellStyle="Normal">
      <calculatedColumnFormula>VLOOKUP(Table24[[#This Row],[3_Elephant_ID]],'[1]Attributes(OUTDATED)'!$A$2:$N$19,14,FALSE)</calculatedColumnFormula>
    </tableColumn>
    <tableColumn id="69" xr3:uid="{4FE64CFA-644C-9346-90D1-6A7794834C49}" name="TotalDailyAggressions_All_Individuals" dataDxfId="6" dataCellStyle="Normal"/>
    <tableColumn id="70" xr3:uid="{FD365F8F-A3F5-8B4D-8F7E-FD29A3DB3913}" name="DailyAggressionsInitiated_by_Individual" dataDxfId="5" dataCellStyle="Normal"/>
    <tableColumn id="71" xr3:uid="{9AE21A7E-7E6E-F946-80C4-CB9BC6B00A85}" name="DailyAggressionsReceived_by_Individual" dataDxfId="4" dataCellStyle="Normal"/>
    <tableColumn id="72" xr3:uid="{665FF9BA-D593-D841-A3D1-7537BA53B51D}" name="TotalDailyAggressiveInteractionsIndividual" dataDxfId="3" dataCellStyle="Normal"/>
    <tableColumn id="73" xr3:uid="{BBE9C836-62C4-1943-8E61-8171048379A2}" name="TotalAggressionsInitiatedStudyPeriod" dataDxfId="2" dataCellStyle="Normal">
      <calculatedColumnFormula>VLOOKUP(Table24[[#This Row],[3_Elephant_ID]],'[1]Attributes(OUTDATED)'!$A$2:$P$19,16,FALSE)</calculatedColumnFormula>
    </tableColumn>
    <tableColumn id="74" xr3:uid="{D4FD521F-F090-5F46-B380-FD9CD7D75795}" name="TotalAggressionsReceivedStudyPeriod" dataDxfId="1" dataCellStyle="Normal">
      <calculatedColumnFormula>VLOOKUP(Table24[[#This Row],[3_Elephant_ID]],'[1]Attributes(OUTDATED)'!$A$2:$S$19,17,FALSE)</calculatedColumnFormula>
    </tableColumn>
    <tableColumn id="75" xr3:uid="{3A8FC4D6-2F22-554F-81FB-0B180E7F93B5}" name="DifferenceInAggressionStudyPeriod" dataDxfId="0" dataCellStyle="Normal">
      <calculatedColumnFormula>VLOOKUP(Table24[[#This Row],[3_Elephant_ID]],'[1]Attributes(OUTDATED)'!$A$2:$S$19,18,FALSE)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C9C7-6500-4222-B290-F9AFE77CE5F8}">
  <dimension ref="A1:AN373"/>
  <sheetViews>
    <sheetView tabSelected="1" zoomScale="91" zoomScaleNormal="132" workbookViewId="0">
      <selection activeCell="Y1" sqref="Y1:Y1048576"/>
    </sheetView>
  </sheetViews>
  <sheetFormatPr baseColWidth="10" defaultColWidth="8.83203125" defaultRowHeight="13" x14ac:dyDescent="0.15"/>
  <cols>
    <col min="1" max="1" width="14.5" style="1" customWidth="1"/>
    <col min="2" max="2" width="25.6640625" style="1" customWidth="1"/>
    <col min="3" max="5" width="15.83203125" style="8" customWidth="1"/>
    <col min="6" max="6" width="15.83203125" style="2" customWidth="1"/>
    <col min="7" max="7" width="13.6640625" style="1" customWidth="1"/>
    <col min="8" max="8" width="20.6640625" style="18" customWidth="1"/>
    <col min="9" max="9" width="20.6640625" style="21" customWidth="1"/>
    <col min="10" max="11" width="8.83203125" style="1" customWidth="1"/>
    <col min="12" max="12" width="15.83203125" style="1" customWidth="1"/>
    <col min="13" max="13" width="8.83203125" style="1" customWidth="1"/>
    <col min="14" max="14" width="15" style="1" customWidth="1"/>
    <col min="15" max="15" width="10.5" style="1" bestFit="1" customWidth="1"/>
    <col min="16" max="30" width="8.83203125" style="1" customWidth="1"/>
    <col min="31" max="31" width="9" style="1" customWidth="1"/>
    <col min="32" max="32" width="11.83203125" style="1" customWidth="1"/>
    <col min="33" max="33" width="11.6640625" style="1" customWidth="1"/>
    <col min="34" max="16384" width="8.83203125" style="1"/>
  </cols>
  <sheetData>
    <row r="1" spans="1:40" ht="70" x14ac:dyDescent="0.15">
      <c r="A1" s="3" t="s">
        <v>130</v>
      </c>
      <c r="B1" s="4" t="s">
        <v>18</v>
      </c>
      <c r="C1" s="9" t="s">
        <v>150</v>
      </c>
      <c r="D1" s="9" t="s">
        <v>151</v>
      </c>
      <c r="E1" s="9" t="s">
        <v>152</v>
      </c>
      <c r="F1" s="10" t="s">
        <v>149</v>
      </c>
      <c r="G1" s="6" t="s">
        <v>0</v>
      </c>
      <c r="H1" s="19" t="s">
        <v>134</v>
      </c>
      <c r="I1" s="19" t="s">
        <v>175</v>
      </c>
      <c r="J1" s="6" t="s">
        <v>131</v>
      </c>
      <c r="K1" s="6" t="s">
        <v>132</v>
      </c>
      <c r="L1" s="6" t="s">
        <v>133</v>
      </c>
      <c r="M1" s="6" t="s">
        <v>135</v>
      </c>
      <c r="N1" s="6" t="s">
        <v>136</v>
      </c>
      <c r="O1" s="15" t="s">
        <v>155</v>
      </c>
      <c r="P1" s="12" t="s">
        <v>156</v>
      </c>
      <c r="Q1" s="4" t="s">
        <v>157</v>
      </c>
      <c r="R1" s="4" t="s">
        <v>158</v>
      </c>
      <c r="S1" s="4" t="s">
        <v>176</v>
      </c>
      <c r="T1" s="4" t="s">
        <v>159</v>
      </c>
      <c r="U1" s="4" t="s">
        <v>160</v>
      </c>
      <c r="V1" s="4" t="s">
        <v>161</v>
      </c>
      <c r="W1" s="4" t="s">
        <v>162</v>
      </c>
      <c r="X1" s="4" t="s">
        <v>163</v>
      </c>
      <c r="Y1" s="4" t="s">
        <v>165</v>
      </c>
      <c r="Z1" s="4" t="s">
        <v>166</v>
      </c>
      <c r="AA1" s="4" t="s">
        <v>167</v>
      </c>
      <c r="AB1" s="4" t="s">
        <v>168</v>
      </c>
      <c r="AC1" s="4" t="s">
        <v>169</v>
      </c>
      <c r="AD1" s="4" t="s">
        <v>170</v>
      </c>
      <c r="AE1" s="14" t="s">
        <v>172</v>
      </c>
      <c r="AF1" s="14" t="s">
        <v>173</v>
      </c>
      <c r="AG1" s="14" t="s">
        <v>174</v>
      </c>
      <c r="AH1" s="15" t="s">
        <v>189</v>
      </c>
      <c r="AI1" s="15" t="s">
        <v>190</v>
      </c>
      <c r="AJ1" s="15" t="s">
        <v>191</v>
      </c>
      <c r="AK1" s="15" t="s">
        <v>185</v>
      </c>
      <c r="AL1" s="15" t="s">
        <v>186</v>
      </c>
      <c r="AM1" s="15" t="s">
        <v>187</v>
      </c>
      <c r="AN1" s="15" t="s">
        <v>188</v>
      </c>
    </row>
    <row r="2" spans="1:40" ht="28" x14ac:dyDescent="0.15">
      <c r="A2" s="3">
        <v>77</v>
      </c>
      <c r="B2" s="6" t="s">
        <v>24</v>
      </c>
      <c r="C2" s="7">
        <v>5</v>
      </c>
      <c r="D2" s="7">
        <v>1</v>
      </c>
      <c r="E2" s="7">
        <v>2023</v>
      </c>
      <c r="F2" s="5">
        <v>44931</v>
      </c>
      <c r="G2" s="6" t="s">
        <v>8</v>
      </c>
      <c r="H2" s="17">
        <v>0.46025096525096526</v>
      </c>
      <c r="I2" s="20">
        <f>ROUNDUP((Table2[[#This Row],[fGCM_Conc]]*10000),0)</f>
        <v>4603</v>
      </c>
      <c r="J2" s="3" t="str">
        <f>VLOOKUP(G2,'[1]Attributes(OUTDATED)'!$A$2:$C$19,2,FALSE)</f>
        <v>F</v>
      </c>
      <c r="K2" s="3" t="str">
        <f>VLOOKUP(G2,'[1]Attributes(OUTDATED)'!$A$2:$C$19,3,FALSE)</f>
        <v>A</v>
      </c>
      <c r="L2" s="3">
        <f>VLOOKUP(G2,'[1]Attributes(OUTDATED)'!$A$2:$H$19,8,FALSE)</f>
        <v>1096</v>
      </c>
      <c r="M2" s="3" t="str">
        <f>K2&amp;J2</f>
        <v>AF</v>
      </c>
      <c r="N2" s="3" t="e">
        <f>VLOOKUP(G2,#REF!,2,FALSE)</f>
        <v>#REF!</v>
      </c>
      <c r="O2" s="11">
        <v>44929</v>
      </c>
      <c r="P2" s="13">
        <v>35.299999999999997</v>
      </c>
      <c r="Q2" s="13">
        <v>27</v>
      </c>
      <c r="R2" s="13">
        <v>16.899999999999999</v>
      </c>
      <c r="S2" s="13">
        <f>Table2[[#This Row],[2_Temp_H]]-Table2[[#This Row],[2_Temp_L]]</f>
        <v>18.399999999999999</v>
      </c>
      <c r="T2" s="13">
        <v>43.8</v>
      </c>
      <c r="U2" s="13">
        <v>7.6</v>
      </c>
      <c r="V2" s="13">
        <v>1008.81</v>
      </c>
      <c r="W2" s="13">
        <v>1003.05</v>
      </c>
      <c r="X2" s="13">
        <v>2.79</v>
      </c>
      <c r="Y2" s="13" t="s">
        <v>147</v>
      </c>
      <c r="Z2" s="16" t="s">
        <v>171</v>
      </c>
      <c r="AA2" s="13" t="s">
        <v>137</v>
      </c>
      <c r="AB2" s="13" t="s">
        <v>142</v>
      </c>
      <c r="AC2" s="13" t="s">
        <v>145</v>
      </c>
      <c r="AD2" s="13" t="s">
        <v>137</v>
      </c>
      <c r="AE2" s="13">
        <f>VLOOKUP(Table2[[#This Row],[3_Elephant_ID]],'[1]Attributes(OUTDATED)'!$A$2:$N$19,12,FALSE)</f>
        <v>346</v>
      </c>
      <c r="AF2" s="13">
        <f>VLOOKUP(Table2[[#This Row],[3_Elephant_ID]],'[1]Attributes(OUTDATED)'!$A$2:$N$19,13,FALSE)</f>
        <v>0.28999999999999998</v>
      </c>
      <c r="AG2" s="13">
        <f>VLOOKUP(Table2[[#This Row],[3_Elephant_ID]],'[1]Attributes(OUTDATED)'!$A$2:$N$19,14,FALSE)</f>
        <v>0.28929989906834258</v>
      </c>
      <c r="AH2" s="13">
        <v>0</v>
      </c>
      <c r="AI2" s="13">
        <v>0</v>
      </c>
      <c r="AJ2" s="13">
        <v>0</v>
      </c>
      <c r="AK2" s="13">
        <v>0</v>
      </c>
      <c r="AL2" s="13">
        <f>VLOOKUP(Table2[[#This Row],[3_Elephant_ID]],'[1]Attributes(OUTDATED)'!$A$2:$P$19,16,FALSE)</f>
        <v>1</v>
      </c>
      <c r="AM2" s="13">
        <f>VLOOKUP(Table2[[#This Row],[3_Elephant_ID]],'[1]Attributes(OUTDATED)'!$A$2:$S$19,17,FALSE)</f>
        <v>11</v>
      </c>
      <c r="AN2" s="13">
        <f>VLOOKUP(Table2[[#This Row],[3_Elephant_ID]],'[1]Attributes(OUTDATED)'!$A$2:$S$19,18,FALSE)</f>
        <v>7</v>
      </c>
    </row>
    <row r="3" spans="1:40" ht="28" x14ac:dyDescent="0.15">
      <c r="A3" s="3">
        <v>76</v>
      </c>
      <c r="B3" s="6" t="s">
        <v>23</v>
      </c>
      <c r="C3" s="7">
        <v>5</v>
      </c>
      <c r="D3" s="7">
        <v>1</v>
      </c>
      <c r="E3" s="7">
        <v>2023</v>
      </c>
      <c r="F3" s="5">
        <v>44931</v>
      </c>
      <c r="G3" s="6" t="s">
        <v>17</v>
      </c>
      <c r="H3" s="17">
        <v>0.32069169960474309</v>
      </c>
      <c r="I3" s="20">
        <f>ROUNDUP((Table2[[#This Row],[fGCM_Conc]]*10000),0)</f>
        <v>3207</v>
      </c>
      <c r="J3" s="3" t="str">
        <f>VLOOKUP(G3,'[1]Attributes(OUTDATED)'!$A$2:$C$19,2,FALSE)</f>
        <v>M</v>
      </c>
      <c r="K3" s="3" t="str">
        <f>VLOOKUP(G3,'[1]Attributes(OUTDATED)'!$A$2:$C$19,3,FALSE)</f>
        <v>J</v>
      </c>
      <c r="L3" s="3">
        <f>VLOOKUP(G3,'[1]Attributes(OUTDATED)'!$A$2:$H$19,8,FALSE)</f>
        <v>699</v>
      </c>
      <c r="M3" s="3" t="str">
        <f>K3&amp;J3</f>
        <v>JM</v>
      </c>
      <c r="N3" s="3" t="e">
        <f>VLOOKUP(G3,#REF!,2,FALSE)</f>
        <v>#REF!</v>
      </c>
      <c r="O3" s="11">
        <v>44929</v>
      </c>
      <c r="P3" s="13">
        <v>35.299999999999997</v>
      </c>
      <c r="Q3" s="13">
        <v>27</v>
      </c>
      <c r="R3" s="13">
        <v>16.899999999999999</v>
      </c>
      <c r="S3" s="13">
        <f>Table2[[#This Row],[2_Temp_H]]-Table2[[#This Row],[2_Temp_L]]</f>
        <v>18.399999999999999</v>
      </c>
      <c r="T3" s="13">
        <v>43.8</v>
      </c>
      <c r="U3" s="13">
        <v>7.6</v>
      </c>
      <c r="V3" s="13">
        <v>1008.81</v>
      </c>
      <c r="W3" s="13">
        <v>1003.05</v>
      </c>
      <c r="X3" s="13">
        <v>2.79</v>
      </c>
      <c r="Y3" s="13" t="s">
        <v>147</v>
      </c>
      <c r="Z3" s="16" t="s">
        <v>171</v>
      </c>
      <c r="AA3" s="13" t="s">
        <v>137</v>
      </c>
      <c r="AB3" s="13" t="s">
        <v>142</v>
      </c>
      <c r="AC3" s="13" t="s">
        <v>145</v>
      </c>
      <c r="AD3" s="13" t="s">
        <v>137</v>
      </c>
      <c r="AE3" s="13">
        <f>VLOOKUP(Table2[[#This Row],[3_Elephant_ID]],'[1]Attributes(OUTDATED)'!$A$2:$N$19,12,FALSE)</f>
        <v>343</v>
      </c>
      <c r="AF3" s="13">
        <f>VLOOKUP(Table2[[#This Row],[3_Elephant_ID]],'[1]Attributes(OUTDATED)'!$A$2:$N$19,13,FALSE)</f>
        <v>0.81</v>
      </c>
      <c r="AG3" s="13">
        <f>VLOOKUP(Table2[[#This Row],[3_Elephant_ID]],'[1]Attributes(OUTDATED)'!$A$2:$N$19,14,FALSE)</f>
        <v>0.80966774571167055</v>
      </c>
      <c r="AH3" s="13">
        <v>0</v>
      </c>
      <c r="AI3" s="13">
        <v>0</v>
      </c>
      <c r="AJ3" s="13">
        <v>0</v>
      </c>
      <c r="AK3" s="13">
        <v>0</v>
      </c>
      <c r="AL3" s="13">
        <f>VLOOKUP(Table2[[#This Row],[3_Elephant_ID]],'[1]Attributes(OUTDATED)'!$A$2:$P$19,16,FALSE)</f>
        <v>1</v>
      </c>
      <c r="AM3" s="13">
        <f>VLOOKUP(Table2[[#This Row],[3_Elephant_ID]],'[1]Attributes(OUTDATED)'!$A$2:$S$19,17,FALSE)</f>
        <v>0</v>
      </c>
      <c r="AN3" s="13">
        <f>VLOOKUP(Table2[[#This Row],[3_Elephant_ID]],'[1]Attributes(OUTDATED)'!$A$2:$S$19,18,FALSE)</f>
        <v>8</v>
      </c>
    </row>
    <row r="4" spans="1:40" ht="28" x14ac:dyDescent="0.15">
      <c r="A4" s="3">
        <v>78</v>
      </c>
      <c r="B4" s="6" t="s">
        <v>25</v>
      </c>
      <c r="C4" s="7">
        <v>5</v>
      </c>
      <c r="D4" s="7">
        <v>1</v>
      </c>
      <c r="E4" s="7">
        <v>2023</v>
      </c>
      <c r="F4" s="5">
        <v>44931</v>
      </c>
      <c r="G4" s="6" t="s">
        <v>11</v>
      </c>
      <c r="H4" s="17">
        <v>0.25508474576271184</v>
      </c>
      <c r="I4" s="20">
        <f>ROUNDUP((Table2[[#This Row],[fGCM_Conc]]*10000),0)</f>
        <v>2551</v>
      </c>
      <c r="J4" s="3" t="str">
        <f>VLOOKUP(G4,'[1]Attributes(OUTDATED)'!$A$2:$C$19,2,FALSE)</f>
        <v>M</v>
      </c>
      <c r="K4" s="3" t="str">
        <f>VLOOKUP(G4,'[1]Attributes(OUTDATED)'!$A$2:$C$19,3,FALSE)</f>
        <v>A</v>
      </c>
      <c r="L4" s="3">
        <f>VLOOKUP(G4,'[1]Attributes(OUTDATED)'!$A$2:$H$19,8,FALSE)</f>
        <v>1223</v>
      </c>
      <c r="M4" s="3" t="str">
        <f>K4&amp;J4</f>
        <v>AM</v>
      </c>
      <c r="N4" s="3" t="e">
        <f>VLOOKUP(G4,#REF!,2,FALSE)</f>
        <v>#REF!</v>
      </c>
      <c r="O4" s="11">
        <v>44929</v>
      </c>
      <c r="P4" s="13">
        <v>35.299999999999997</v>
      </c>
      <c r="Q4" s="13">
        <v>27</v>
      </c>
      <c r="R4" s="13">
        <v>16.899999999999999</v>
      </c>
      <c r="S4" s="13">
        <f>Table2[[#This Row],[2_Temp_H]]-Table2[[#This Row],[2_Temp_L]]</f>
        <v>18.399999999999999</v>
      </c>
      <c r="T4" s="13">
        <v>43.8</v>
      </c>
      <c r="U4" s="13">
        <v>7.6</v>
      </c>
      <c r="V4" s="13">
        <v>1008.81</v>
      </c>
      <c r="W4" s="13">
        <v>1003.05</v>
      </c>
      <c r="X4" s="13">
        <v>2.79</v>
      </c>
      <c r="Y4" s="13" t="s">
        <v>147</v>
      </c>
      <c r="Z4" s="16" t="s">
        <v>171</v>
      </c>
      <c r="AA4" s="13" t="s">
        <v>137</v>
      </c>
      <c r="AB4" s="13" t="s">
        <v>142</v>
      </c>
      <c r="AC4" s="13" t="s">
        <v>145</v>
      </c>
      <c r="AD4" s="13" t="s">
        <v>137</v>
      </c>
      <c r="AE4" s="13">
        <f>VLOOKUP(Table2[[#This Row],[3_Elephant_ID]],'[1]Attributes(OUTDATED)'!$A$2:$N$19,12,FALSE)</f>
        <v>404</v>
      </c>
      <c r="AF4" s="13">
        <f>VLOOKUP(Table2[[#This Row],[3_Elephant_ID]],'[1]Attributes(OUTDATED)'!$A$2:$N$19,13,FALSE)</f>
        <v>0.91700000000000004</v>
      </c>
      <c r="AG4" s="13">
        <f>VLOOKUP(Table2[[#This Row],[3_Elephant_ID]],'[1]Attributes(OUTDATED)'!$A$2:$N$19,14,FALSE)</f>
        <v>0.91664628583929353</v>
      </c>
      <c r="AH4" s="13">
        <v>0</v>
      </c>
      <c r="AI4" s="13">
        <v>0</v>
      </c>
      <c r="AJ4" s="13">
        <v>0</v>
      </c>
      <c r="AK4" s="13">
        <v>0</v>
      </c>
      <c r="AL4" s="13">
        <f>VLOOKUP(Table2[[#This Row],[3_Elephant_ID]],'[1]Attributes(OUTDATED)'!$A$2:$P$19,16,FALSE)</f>
        <v>1</v>
      </c>
      <c r="AM4" s="13">
        <f>VLOOKUP(Table2[[#This Row],[3_Elephant_ID]],'[1]Attributes(OUTDATED)'!$A$2:$S$19,17,FALSE)</f>
        <v>14</v>
      </c>
      <c r="AN4" s="13">
        <f>VLOOKUP(Table2[[#This Row],[3_Elephant_ID]],'[1]Attributes(OUTDATED)'!$A$2:$S$19,18,FALSE)</f>
        <v>17</v>
      </c>
    </row>
    <row r="5" spans="1:40" ht="28" x14ac:dyDescent="0.15">
      <c r="A5" s="3">
        <v>75</v>
      </c>
      <c r="B5" s="6">
        <v>1601231216</v>
      </c>
      <c r="C5" s="7">
        <v>16</v>
      </c>
      <c r="D5" s="7">
        <v>1</v>
      </c>
      <c r="E5" s="7">
        <v>2023</v>
      </c>
      <c r="F5" s="5">
        <v>44942</v>
      </c>
      <c r="G5" s="6" t="s">
        <v>12</v>
      </c>
      <c r="H5" s="17">
        <v>0.59204081632653049</v>
      </c>
      <c r="I5" s="20">
        <f>ROUNDUP((Table2[[#This Row],[fGCM_Conc]]*10000),0)</f>
        <v>5921</v>
      </c>
      <c r="J5" s="3" t="str">
        <f>VLOOKUP(G5,'[1]Attributes(OUTDATED)'!$A$2:$C$19,2,FALSE)</f>
        <v>M</v>
      </c>
      <c r="K5" s="3" t="str">
        <f>VLOOKUP(G5,'[1]Attributes(OUTDATED)'!$A$2:$C$19,3,FALSE)</f>
        <v>A</v>
      </c>
      <c r="L5" s="3">
        <f>VLOOKUP(G5,'[1]Attributes(OUTDATED)'!$A$2:$H$19,8,FALSE)</f>
        <v>1509</v>
      </c>
      <c r="M5" s="3" t="str">
        <f>K5&amp;J5</f>
        <v>AM</v>
      </c>
      <c r="N5" s="3" t="e">
        <f>VLOOKUP(G5,#REF!,2,FALSE)</f>
        <v>#REF!</v>
      </c>
      <c r="O5" s="11">
        <v>44940</v>
      </c>
      <c r="P5" s="13">
        <v>34.1</v>
      </c>
      <c r="Q5" s="13">
        <v>23.7</v>
      </c>
      <c r="R5" s="13">
        <v>16.600000000000001</v>
      </c>
      <c r="S5" s="13">
        <f>Table2[[#This Row],[2_Temp_H]]-Table2[[#This Row],[2_Temp_L]]</f>
        <v>17.5</v>
      </c>
      <c r="T5" s="13">
        <v>20.100000000000001</v>
      </c>
      <c r="U5" s="13">
        <v>5.9</v>
      </c>
      <c r="V5" s="13">
        <v>1012.87</v>
      </c>
      <c r="W5" s="13">
        <v>1008.81</v>
      </c>
      <c r="X5" s="13">
        <v>0</v>
      </c>
      <c r="Y5" s="13" t="s">
        <v>147</v>
      </c>
      <c r="Z5" s="16" t="s">
        <v>171</v>
      </c>
      <c r="AA5" s="13" t="s">
        <v>137</v>
      </c>
      <c r="AB5" s="13" t="s">
        <v>142</v>
      </c>
      <c r="AC5" s="13" t="s">
        <v>145</v>
      </c>
      <c r="AD5" s="13" t="s">
        <v>137</v>
      </c>
      <c r="AE5" s="13">
        <f>VLOOKUP(Table2[[#This Row],[3_Elephant_ID]],'[1]Attributes(OUTDATED)'!$A$2:$N$19,12,FALSE)</f>
        <v>450</v>
      </c>
      <c r="AF5" s="13">
        <f>VLOOKUP(Table2[[#This Row],[3_Elephant_ID]],'[1]Attributes(OUTDATED)'!$A$2:$N$19,13,FALSE)</f>
        <v>0.375</v>
      </c>
      <c r="AG5" s="13">
        <f>VLOOKUP(Table2[[#This Row],[3_Elephant_ID]],'[1]Attributes(OUTDATED)'!$A$2:$N$19,14,FALSE)</f>
        <v>0.37414375430996583</v>
      </c>
      <c r="AH5" s="13">
        <v>0</v>
      </c>
      <c r="AI5" s="13">
        <v>0</v>
      </c>
      <c r="AJ5" s="13">
        <v>0</v>
      </c>
      <c r="AK5" s="13">
        <v>0</v>
      </c>
      <c r="AL5" s="13">
        <f>VLOOKUP(Table2[[#This Row],[3_Elephant_ID]],'[1]Attributes(OUTDATED)'!$A$2:$P$19,16,FALSE)</f>
        <v>1</v>
      </c>
      <c r="AM5" s="13">
        <f>VLOOKUP(Table2[[#This Row],[3_Elephant_ID]],'[1]Attributes(OUTDATED)'!$A$2:$S$19,17,FALSE)</f>
        <v>48</v>
      </c>
      <c r="AN5" s="13">
        <f>VLOOKUP(Table2[[#This Row],[3_Elephant_ID]],'[1]Attributes(OUTDATED)'!$A$2:$S$19,18,FALSE)</f>
        <v>3</v>
      </c>
    </row>
    <row r="6" spans="1:40" ht="28" x14ac:dyDescent="0.15">
      <c r="A6" s="3">
        <v>74</v>
      </c>
      <c r="B6" s="6">
        <v>2001231142</v>
      </c>
      <c r="C6" s="7">
        <v>20</v>
      </c>
      <c r="D6" s="7">
        <v>1</v>
      </c>
      <c r="E6" s="7">
        <v>2023</v>
      </c>
      <c r="F6" s="5">
        <v>44946</v>
      </c>
      <c r="G6" s="6" t="s">
        <v>8</v>
      </c>
      <c r="H6" s="17">
        <v>0.53695571955719568</v>
      </c>
      <c r="I6" s="20">
        <f>ROUNDUP((Table2[[#This Row],[fGCM_Conc]]*10000),0)</f>
        <v>5370</v>
      </c>
      <c r="J6" s="3" t="str">
        <f>VLOOKUP(G6,'[1]Attributes(OUTDATED)'!$A$2:$C$19,2,FALSE)</f>
        <v>F</v>
      </c>
      <c r="K6" s="3" t="str">
        <f>VLOOKUP(G6,'[1]Attributes(OUTDATED)'!$A$2:$C$19,3,FALSE)</f>
        <v>A</v>
      </c>
      <c r="L6" s="3">
        <f>VLOOKUP(G6,'[1]Attributes(OUTDATED)'!$A$2:$H$19,8,FALSE)</f>
        <v>1096</v>
      </c>
      <c r="M6" s="3" t="str">
        <f>K6&amp;J6</f>
        <v>AF</v>
      </c>
      <c r="N6" s="3" t="e">
        <f>VLOOKUP(G6,#REF!,2,FALSE)</f>
        <v>#REF!</v>
      </c>
      <c r="O6" s="11">
        <v>44944</v>
      </c>
      <c r="P6" s="13">
        <v>38.200000000000003</v>
      </c>
      <c r="Q6" s="13">
        <v>24.1</v>
      </c>
      <c r="R6" s="13">
        <v>17.3</v>
      </c>
      <c r="S6" s="13">
        <f>Table2[[#This Row],[2_Temp_H]]-Table2[[#This Row],[2_Temp_L]]</f>
        <v>20.900000000000002</v>
      </c>
      <c r="T6" s="13">
        <v>52.8</v>
      </c>
      <c r="U6" s="13">
        <v>6</v>
      </c>
      <c r="V6" s="13">
        <v>1013.88</v>
      </c>
      <c r="W6" s="13">
        <v>1005.08</v>
      </c>
      <c r="X6" s="13">
        <v>41.15</v>
      </c>
      <c r="Y6" s="13" t="s">
        <v>147</v>
      </c>
      <c r="Z6" s="13" t="s">
        <v>139</v>
      </c>
      <c r="AA6" s="13" t="s">
        <v>26</v>
      </c>
      <c r="AB6" s="13" t="s">
        <v>142</v>
      </c>
      <c r="AC6" s="13" t="s">
        <v>145</v>
      </c>
      <c r="AD6" s="13" t="s">
        <v>137</v>
      </c>
      <c r="AE6" s="13">
        <f>VLOOKUP(Table2[[#This Row],[3_Elephant_ID]],'[1]Attributes(OUTDATED)'!$A$2:$N$19,12,FALSE)</f>
        <v>346</v>
      </c>
      <c r="AF6" s="13">
        <f>VLOOKUP(Table2[[#This Row],[3_Elephant_ID]],'[1]Attributes(OUTDATED)'!$A$2:$N$19,13,FALSE)</f>
        <v>0.28999999999999998</v>
      </c>
      <c r="AG6" s="13">
        <f>VLOOKUP(Table2[[#This Row],[3_Elephant_ID]],'[1]Attributes(OUTDATED)'!$A$2:$N$19,14,FALSE)</f>
        <v>0.28929989906834258</v>
      </c>
      <c r="AH6" s="13">
        <v>0</v>
      </c>
      <c r="AI6" s="13">
        <v>0</v>
      </c>
      <c r="AJ6" s="13">
        <v>0</v>
      </c>
      <c r="AK6" s="13">
        <v>0</v>
      </c>
      <c r="AL6" s="13">
        <f>VLOOKUP(Table2[[#This Row],[3_Elephant_ID]],'[1]Attributes(OUTDATED)'!$A$2:$P$19,16,FALSE)</f>
        <v>1</v>
      </c>
      <c r="AM6" s="13">
        <f>VLOOKUP(Table2[[#This Row],[3_Elephant_ID]],'[1]Attributes(OUTDATED)'!$A$2:$S$19,17,FALSE)</f>
        <v>11</v>
      </c>
      <c r="AN6" s="13">
        <f>VLOOKUP(Table2[[#This Row],[3_Elephant_ID]],'[1]Attributes(OUTDATED)'!$A$2:$S$19,18,FALSE)</f>
        <v>7</v>
      </c>
    </row>
    <row r="7" spans="1:40" ht="28" x14ac:dyDescent="0.15">
      <c r="A7" s="3">
        <v>73</v>
      </c>
      <c r="B7" s="6">
        <v>2001231228</v>
      </c>
      <c r="C7" s="7">
        <v>20</v>
      </c>
      <c r="D7" s="7">
        <v>1</v>
      </c>
      <c r="E7" s="7">
        <v>2023</v>
      </c>
      <c r="F7" s="5">
        <v>44946</v>
      </c>
      <c r="G7" s="6" t="s">
        <v>10</v>
      </c>
      <c r="H7" s="17">
        <v>0.4006985294117647</v>
      </c>
      <c r="I7" s="20">
        <f>ROUNDUP((Table2[[#This Row],[fGCM_Conc]]*10000),0)</f>
        <v>4007</v>
      </c>
      <c r="J7" s="3" t="str">
        <f>VLOOKUP(G7,'[1]Attributes(OUTDATED)'!$A$2:$C$19,2,FALSE)</f>
        <v>F</v>
      </c>
      <c r="K7" s="3" t="str">
        <f>VLOOKUP(G7,'[1]Attributes(OUTDATED)'!$A$2:$C$19,3,FALSE)</f>
        <v>A</v>
      </c>
      <c r="L7" s="3">
        <f>VLOOKUP(G7,'[1]Attributes(OUTDATED)'!$A$2:$H$19,8,FALSE)</f>
        <v>1146</v>
      </c>
      <c r="M7" s="3" t="str">
        <f>K7&amp;J7</f>
        <v>AF</v>
      </c>
      <c r="N7" s="3" t="e">
        <f>VLOOKUP(G7,#REF!,2,FALSE)</f>
        <v>#REF!</v>
      </c>
      <c r="O7" s="11">
        <v>44944</v>
      </c>
      <c r="P7" s="13">
        <v>38.200000000000003</v>
      </c>
      <c r="Q7" s="13">
        <v>24.1</v>
      </c>
      <c r="R7" s="13">
        <v>17.3</v>
      </c>
      <c r="S7" s="13">
        <f>Table2[[#This Row],[2_Temp_H]]-Table2[[#This Row],[2_Temp_L]]</f>
        <v>20.900000000000002</v>
      </c>
      <c r="T7" s="13">
        <v>52.8</v>
      </c>
      <c r="U7" s="13">
        <v>6</v>
      </c>
      <c r="V7" s="13">
        <v>1013.88</v>
      </c>
      <c r="W7" s="13">
        <v>1005.08</v>
      </c>
      <c r="X7" s="13">
        <v>41.15</v>
      </c>
      <c r="Y7" s="13" t="s">
        <v>147</v>
      </c>
      <c r="Z7" s="13" t="s">
        <v>139</v>
      </c>
      <c r="AA7" s="13" t="s">
        <v>26</v>
      </c>
      <c r="AB7" s="13" t="s">
        <v>142</v>
      </c>
      <c r="AC7" s="13" t="s">
        <v>145</v>
      </c>
      <c r="AD7" s="13" t="s">
        <v>137</v>
      </c>
      <c r="AE7" s="13">
        <f>VLOOKUP(Table2[[#This Row],[3_Elephant_ID]],'[1]Attributes(OUTDATED)'!$A$2:$N$19,12,FALSE)</f>
        <v>424</v>
      </c>
      <c r="AF7" s="13">
        <f>VLOOKUP(Table2[[#This Row],[3_Elephant_ID]],'[1]Attributes(OUTDATED)'!$A$2:$N$19,13,FALSE)</f>
        <v>0.10299999999999999</v>
      </c>
      <c r="AG7" s="13">
        <f>VLOOKUP(Table2[[#This Row],[3_Elephant_ID]],'[1]Attributes(OUTDATED)'!$A$2:$N$19,14,FALSE)</f>
        <v>0.10282190709599449</v>
      </c>
      <c r="AH7" s="13">
        <v>0</v>
      </c>
      <c r="AI7" s="13">
        <v>0</v>
      </c>
      <c r="AJ7" s="13">
        <v>0</v>
      </c>
      <c r="AK7" s="13">
        <v>0</v>
      </c>
      <c r="AL7" s="13">
        <f>VLOOKUP(Table2[[#This Row],[3_Elephant_ID]],'[1]Attributes(OUTDATED)'!$A$2:$P$19,16,FALSE)</f>
        <v>1</v>
      </c>
      <c r="AM7" s="13">
        <f>VLOOKUP(Table2[[#This Row],[3_Elephant_ID]],'[1]Attributes(OUTDATED)'!$A$2:$S$19,17,FALSE)</f>
        <v>9</v>
      </c>
      <c r="AN7" s="13">
        <f>VLOOKUP(Table2[[#This Row],[3_Elephant_ID]],'[1]Attributes(OUTDATED)'!$A$2:$S$19,18,FALSE)</f>
        <v>8</v>
      </c>
    </row>
    <row r="8" spans="1:40" ht="28" x14ac:dyDescent="0.15">
      <c r="A8" s="3">
        <v>70</v>
      </c>
      <c r="B8" s="6">
        <v>3101230941</v>
      </c>
      <c r="C8" s="7">
        <v>31</v>
      </c>
      <c r="D8" s="7">
        <v>1</v>
      </c>
      <c r="E8" s="7">
        <v>2023</v>
      </c>
      <c r="F8" s="5">
        <v>44957</v>
      </c>
      <c r="G8" s="6" t="s">
        <v>11</v>
      </c>
      <c r="H8" s="17">
        <v>0.31162213740458006</v>
      </c>
      <c r="I8" s="20">
        <f>ROUNDUP((Table2[[#This Row],[fGCM_Conc]]*10000),0)</f>
        <v>3117</v>
      </c>
      <c r="J8" s="3" t="str">
        <f>VLOOKUP(G8,'[1]Attributes(OUTDATED)'!$A$2:$C$19,2,FALSE)</f>
        <v>M</v>
      </c>
      <c r="K8" s="3" t="str">
        <f>VLOOKUP(G8,'[1]Attributes(OUTDATED)'!$A$2:$C$19,3,FALSE)</f>
        <v>A</v>
      </c>
      <c r="L8" s="3">
        <f>VLOOKUP(G8,'[1]Attributes(OUTDATED)'!$A$2:$H$19,8,FALSE)</f>
        <v>1223</v>
      </c>
      <c r="M8" s="3" t="str">
        <f>K8&amp;J8</f>
        <v>AM</v>
      </c>
      <c r="N8" s="3" t="e">
        <f>VLOOKUP(G8,#REF!,2,FALSE)</f>
        <v>#REF!</v>
      </c>
      <c r="O8" s="11">
        <v>44955</v>
      </c>
      <c r="P8" s="13">
        <v>20.2</v>
      </c>
      <c r="Q8" s="13">
        <v>15.3</v>
      </c>
      <c r="R8" s="13">
        <v>11.8</v>
      </c>
      <c r="S8" s="13">
        <f>Table2[[#This Row],[2_Temp_H]]-Table2[[#This Row],[2_Temp_L]]</f>
        <v>8.3999999999999986</v>
      </c>
      <c r="T8" s="13">
        <v>26.2</v>
      </c>
      <c r="U8" s="13">
        <v>6.9</v>
      </c>
      <c r="V8" s="13">
        <v>1012.87</v>
      </c>
      <c r="W8" s="13">
        <v>1009.82</v>
      </c>
      <c r="X8" s="13">
        <v>0</v>
      </c>
      <c r="Y8" s="13" t="s">
        <v>147</v>
      </c>
      <c r="Z8" s="16" t="s">
        <v>171</v>
      </c>
      <c r="AA8" s="13" t="s">
        <v>137</v>
      </c>
      <c r="AB8" s="13" t="s">
        <v>142</v>
      </c>
      <c r="AC8" s="13" t="s">
        <v>145</v>
      </c>
      <c r="AD8" s="13" t="s">
        <v>137</v>
      </c>
      <c r="AE8" s="13">
        <f>VLOOKUP(Table2[[#This Row],[3_Elephant_ID]],'[1]Attributes(OUTDATED)'!$A$2:$N$19,12,FALSE)</f>
        <v>404</v>
      </c>
      <c r="AF8" s="13">
        <f>VLOOKUP(Table2[[#This Row],[3_Elephant_ID]],'[1]Attributes(OUTDATED)'!$A$2:$N$19,13,FALSE)</f>
        <v>0.91700000000000004</v>
      </c>
      <c r="AG8" s="13">
        <f>VLOOKUP(Table2[[#This Row],[3_Elephant_ID]],'[1]Attributes(OUTDATED)'!$A$2:$N$19,14,FALSE)</f>
        <v>0.91664628583929353</v>
      </c>
      <c r="AH8" s="13">
        <v>0</v>
      </c>
      <c r="AI8" s="13">
        <v>0</v>
      </c>
      <c r="AJ8" s="13">
        <v>0</v>
      </c>
      <c r="AK8" s="13">
        <v>0</v>
      </c>
      <c r="AL8" s="13">
        <f>VLOOKUP(Table2[[#This Row],[3_Elephant_ID]],'[1]Attributes(OUTDATED)'!$A$2:$P$19,16,FALSE)</f>
        <v>1</v>
      </c>
      <c r="AM8" s="13">
        <f>VLOOKUP(Table2[[#This Row],[3_Elephant_ID]],'[1]Attributes(OUTDATED)'!$A$2:$S$19,17,FALSE)</f>
        <v>14</v>
      </c>
      <c r="AN8" s="13">
        <f>VLOOKUP(Table2[[#This Row],[3_Elephant_ID]],'[1]Attributes(OUTDATED)'!$A$2:$S$19,18,FALSE)</f>
        <v>17</v>
      </c>
    </row>
    <row r="9" spans="1:40" ht="28" x14ac:dyDescent="0.15">
      <c r="A9" s="3">
        <v>71</v>
      </c>
      <c r="B9" s="6">
        <v>3101230951</v>
      </c>
      <c r="C9" s="7">
        <v>31</v>
      </c>
      <c r="D9" s="7">
        <v>1</v>
      </c>
      <c r="E9" s="7">
        <v>2023</v>
      </c>
      <c r="F9" s="5">
        <v>44957</v>
      </c>
      <c r="G9" s="6" t="s">
        <v>3</v>
      </c>
      <c r="H9" s="17">
        <v>0.30644531250000001</v>
      </c>
      <c r="I9" s="20">
        <f>ROUNDUP((Table2[[#This Row],[fGCM_Conc]]*10000),0)</f>
        <v>3065</v>
      </c>
      <c r="J9" s="3" t="str">
        <f>VLOOKUP(G9,'[1]Attributes(OUTDATED)'!$A$2:$C$19,2,FALSE)</f>
        <v>M</v>
      </c>
      <c r="K9" s="3" t="str">
        <f>VLOOKUP(G9,'[1]Attributes(OUTDATED)'!$A$2:$C$19,3,FALSE)</f>
        <v>J</v>
      </c>
      <c r="L9" s="3">
        <f>VLOOKUP(G9,'[1]Attributes(OUTDATED)'!$A$2:$H$19,8,FALSE)</f>
        <v>1031</v>
      </c>
      <c r="M9" s="3" t="str">
        <f>K9&amp;J9</f>
        <v>JM</v>
      </c>
      <c r="N9" s="3" t="e">
        <f>VLOOKUP(G9,#REF!,2,FALSE)</f>
        <v>#REF!</v>
      </c>
      <c r="O9" s="11">
        <v>44955</v>
      </c>
      <c r="P9" s="13">
        <v>20.2</v>
      </c>
      <c r="Q9" s="13">
        <v>15.3</v>
      </c>
      <c r="R9" s="13">
        <v>11.8</v>
      </c>
      <c r="S9" s="13">
        <f>Table2[[#This Row],[2_Temp_H]]-Table2[[#This Row],[2_Temp_L]]</f>
        <v>8.3999999999999986</v>
      </c>
      <c r="T9" s="13">
        <v>26.2</v>
      </c>
      <c r="U9" s="13">
        <v>6.9</v>
      </c>
      <c r="V9" s="13">
        <v>1012.87</v>
      </c>
      <c r="W9" s="13">
        <v>1009.82</v>
      </c>
      <c r="X9" s="13">
        <v>0</v>
      </c>
      <c r="Y9" s="13" t="s">
        <v>147</v>
      </c>
      <c r="Z9" s="16" t="s">
        <v>171</v>
      </c>
      <c r="AA9" s="13" t="s">
        <v>137</v>
      </c>
      <c r="AB9" s="13" t="s">
        <v>142</v>
      </c>
      <c r="AC9" s="13" t="s">
        <v>145</v>
      </c>
      <c r="AD9" s="13" t="s">
        <v>137</v>
      </c>
      <c r="AE9" s="13">
        <f>VLOOKUP(Table2[[#This Row],[3_Elephant_ID]],'[1]Attributes(OUTDATED)'!$A$2:$N$19,12,FALSE)</f>
        <v>234</v>
      </c>
      <c r="AF9" s="13">
        <f>VLOOKUP(Table2[[#This Row],[3_Elephant_ID]],'[1]Attributes(OUTDATED)'!$A$2:$N$19,13,FALSE)</f>
        <v>0.16500000000000001</v>
      </c>
      <c r="AG9" s="13">
        <f>VLOOKUP(Table2[[#This Row],[3_Elephant_ID]],'[1]Attributes(OUTDATED)'!$A$2:$N$19,14,FALSE)</f>
        <v>0.16420161303383449</v>
      </c>
      <c r="AH9" s="13">
        <v>0</v>
      </c>
      <c r="AI9" s="13">
        <v>0</v>
      </c>
      <c r="AJ9" s="13">
        <v>0</v>
      </c>
      <c r="AK9" s="13">
        <v>0</v>
      </c>
      <c r="AL9" s="13">
        <f>VLOOKUP(Table2[[#This Row],[3_Elephant_ID]],'[1]Attributes(OUTDATED)'!$A$2:$P$19,16,FALSE)</f>
        <v>1</v>
      </c>
      <c r="AM9" s="13">
        <f>VLOOKUP(Table2[[#This Row],[3_Elephant_ID]],'[1]Attributes(OUTDATED)'!$A$2:$S$19,17,FALSE)</f>
        <v>9</v>
      </c>
      <c r="AN9" s="13">
        <f>VLOOKUP(Table2[[#This Row],[3_Elephant_ID]],'[1]Attributes(OUTDATED)'!$A$2:$S$19,18,FALSE)</f>
        <v>9</v>
      </c>
    </row>
    <row r="10" spans="1:40" ht="28" x14ac:dyDescent="0.15">
      <c r="A10" s="3">
        <v>72</v>
      </c>
      <c r="B10" s="6">
        <v>3101231005</v>
      </c>
      <c r="C10" s="7">
        <v>31</v>
      </c>
      <c r="D10" s="7">
        <v>1</v>
      </c>
      <c r="E10" s="7">
        <v>2023</v>
      </c>
      <c r="F10" s="5">
        <v>44957</v>
      </c>
      <c r="G10" s="6" t="s">
        <v>7</v>
      </c>
      <c r="H10" s="17">
        <v>0.26691860465116279</v>
      </c>
      <c r="I10" s="20">
        <f>ROUNDUP((Table2[[#This Row],[fGCM_Conc]]*10000),0)</f>
        <v>2670</v>
      </c>
      <c r="J10" s="3" t="str">
        <f>VLOOKUP(G10,'[1]Attributes(OUTDATED)'!$A$2:$C$19,2,FALSE)</f>
        <v>F</v>
      </c>
      <c r="K10" s="3" t="str">
        <f>VLOOKUP(G10,'[1]Attributes(OUTDATED)'!$A$2:$C$19,3,FALSE)</f>
        <v>J</v>
      </c>
      <c r="L10" s="3">
        <f>VLOOKUP(G10,'[1]Attributes(OUTDATED)'!$A$2:$H$19,8,FALSE)</f>
        <v>711</v>
      </c>
      <c r="M10" s="3" t="str">
        <f>K10&amp;J10</f>
        <v>JF</v>
      </c>
      <c r="N10" s="3" t="e">
        <f>VLOOKUP(G10,#REF!,2,FALSE)</f>
        <v>#REF!</v>
      </c>
      <c r="O10" s="11">
        <v>44955</v>
      </c>
      <c r="P10" s="13">
        <v>20.2</v>
      </c>
      <c r="Q10" s="13">
        <v>15.3</v>
      </c>
      <c r="R10" s="13">
        <v>11.8</v>
      </c>
      <c r="S10" s="13">
        <f>Table2[[#This Row],[2_Temp_H]]-Table2[[#This Row],[2_Temp_L]]</f>
        <v>8.3999999999999986</v>
      </c>
      <c r="T10" s="13">
        <v>26.2</v>
      </c>
      <c r="U10" s="13">
        <v>6.9</v>
      </c>
      <c r="V10" s="13">
        <v>1012.87</v>
      </c>
      <c r="W10" s="13">
        <v>1009.82</v>
      </c>
      <c r="X10" s="13">
        <v>0</v>
      </c>
      <c r="Y10" s="13" t="s">
        <v>147</v>
      </c>
      <c r="Z10" s="16" t="s">
        <v>171</v>
      </c>
      <c r="AA10" s="13" t="s">
        <v>137</v>
      </c>
      <c r="AB10" s="13" t="s">
        <v>142</v>
      </c>
      <c r="AC10" s="13" t="s">
        <v>145</v>
      </c>
      <c r="AD10" s="13" t="s">
        <v>137</v>
      </c>
      <c r="AE10" s="13">
        <f>VLOOKUP(Table2[[#This Row],[3_Elephant_ID]],'[1]Attributes(OUTDATED)'!$A$2:$N$19,12,FALSE)</f>
        <v>398</v>
      </c>
      <c r="AF10" s="13">
        <f>VLOOKUP(Table2[[#This Row],[3_Elephant_ID]],'[1]Attributes(OUTDATED)'!$A$2:$N$19,13,FALSE)</f>
        <v>0.47899999999999998</v>
      </c>
      <c r="AG10" s="13">
        <f>VLOOKUP(Table2[[#This Row],[3_Elephant_ID]],'[1]Attributes(OUTDATED)'!$A$2:$N$19,14,FALSE)</f>
        <v>0.47820662037086947</v>
      </c>
      <c r="AH10" s="13">
        <v>0</v>
      </c>
      <c r="AI10" s="13">
        <v>0</v>
      </c>
      <c r="AJ10" s="13">
        <v>0</v>
      </c>
      <c r="AK10" s="13">
        <v>0</v>
      </c>
      <c r="AL10" s="13">
        <f>VLOOKUP(Table2[[#This Row],[3_Elephant_ID]],'[1]Attributes(OUTDATED)'!$A$2:$P$19,16,FALSE)</f>
        <v>1</v>
      </c>
      <c r="AM10" s="13">
        <f>VLOOKUP(Table2[[#This Row],[3_Elephant_ID]],'[1]Attributes(OUTDATED)'!$A$2:$S$19,17,FALSE)</f>
        <v>0</v>
      </c>
      <c r="AN10" s="13">
        <f>VLOOKUP(Table2[[#This Row],[3_Elephant_ID]],'[1]Attributes(OUTDATED)'!$A$2:$S$19,18,FALSE)</f>
        <v>12</v>
      </c>
    </row>
    <row r="11" spans="1:40" ht="28" x14ac:dyDescent="0.15">
      <c r="A11" s="3">
        <v>68</v>
      </c>
      <c r="B11" s="6" t="s">
        <v>21</v>
      </c>
      <c r="C11" s="7">
        <v>2</v>
      </c>
      <c r="D11" s="7">
        <v>2</v>
      </c>
      <c r="E11" s="7">
        <v>2023</v>
      </c>
      <c r="F11" s="5">
        <v>44959</v>
      </c>
      <c r="G11" s="6" t="s">
        <v>12</v>
      </c>
      <c r="H11" s="17">
        <v>0.37453667953667952</v>
      </c>
      <c r="I11" s="20">
        <f>ROUNDUP((Table2[[#This Row],[fGCM_Conc]]*10000),0)</f>
        <v>3746</v>
      </c>
      <c r="J11" s="3" t="str">
        <f>VLOOKUP(G11,'[1]Attributes(OUTDATED)'!$A$2:$C$19,2,FALSE)</f>
        <v>M</v>
      </c>
      <c r="K11" s="3" t="str">
        <f>VLOOKUP(G11,'[1]Attributes(OUTDATED)'!$A$2:$C$19,3,FALSE)</f>
        <v>A</v>
      </c>
      <c r="L11" s="3">
        <f>VLOOKUP(G11,'[1]Attributes(OUTDATED)'!$A$2:$H$19,8,FALSE)</f>
        <v>1509</v>
      </c>
      <c r="M11" s="3" t="str">
        <f>K11&amp;J11</f>
        <v>AM</v>
      </c>
      <c r="N11" s="3" t="e">
        <f>VLOOKUP(G11,#REF!,2,FALSE)</f>
        <v>#REF!</v>
      </c>
      <c r="O11" s="11">
        <v>44957</v>
      </c>
      <c r="P11" s="13">
        <v>31.5</v>
      </c>
      <c r="Q11" s="13">
        <v>21.3</v>
      </c>
      <c r="R11" s="13">
        <v>12.3</v>
      </c>
      <c r="S11" s="13">
        <f>Table2[[#This Row],[2_Temp_H]]-Table2[[#This Row],[2_Temp_L]]</f>
        <v>19.2</v>
      </c>
      <c r="T11" s="13">
        <v>29.1</v>
      </c>
      <c r="U11" s="13">
        <v>4.5</v>
      </c>
      <c r="V11" s="13">
        <v>1010.84</v>
      </c>
      <c r="W11" s="13">
        <v>1006.1</v>
      </c>
      <c r="X11" s="13">
        <v>0</v>
      </c>
      <c r="Y11" s="13" t="s">
        <v>147</v>
      </c>
      <c r="Z11" s="16" t="s">
        <v>171</v>
      </c>
      <c r="AA11" s="13" t="s">
        <v>137</v>
      </c>
      <c r="AB11" s="13" t="s">
        <v>142</v>
      </c>
      <c r="AC11" s="13" t="s">
        <v>145</v>
      </c>
      <c r="AD11" s="13" t="s">
        <v>137</v>
      </c>
      <c r="AE11" s="13">
        <f>VLOOKUP(Table2[[#This Row],[3_Elephant_ID]],'[1]Attributes(OUTDATED)'!$A$2:$N$19,12,FALSE)</f>
        <v>450</v>
      </c>
      <c r="AF11" s="13">
        <f>VLOOKUP(Table2[[#This Row],[3_Elephant_ID]],'[1]Attributes(OUTDATED)'!$A$2:$N$19,13,FALSE)</f>
        <v>0.375</v>
      </c>
      <c r="AG11" s="13">
        <f>VLOOKUP(Table2[[#This Row],[3_Elephant_ID]],'[1]Attributes(OUTDATED)'!$A$2:$N$19,14,FALSE)</f>
        <v>0.37414375430996583</v>
      </c>
      <c r="AH11" s="13">
        <v>3</v>
      </c>
      <c r="AI11" s="13">
        <v>2</v>
      </c>
      <c r="AJ11" s="13">
        <v>1</v>
      </c>
      <c r="AK11" s="13">
        <v>3</v>
      </c>
      <c r="AL11" s="13">
        <f>VLOOKUP(Table2[[#This Row],[3_Elephant_ID]],'[1]Attributes(OUTDATED)'!$A$2:$P$19,16,FALSE)</f>
        <v>1</v>
      </c>
      <c r="AM11" s="13">
        <f>VLOOKUP(Table2[[#This Row],[3_Elephant_ID]],'[1]Attributes(OUTDATED)'!$A$2:$S$19,17,FALSE)</f>
        <v>48</v>
      </c>
      <c r="AN11" s="13">
        <f>VLOOKUP(Table2[[#This Row],[3_Elephant_ID]],'[1]Attributes(OUTDATED)'!$A$2:$S$19,18,FALSE)</f>
        <v>3</v>
      </c>
    </row>
    <row r="12" spans="1:40" ht="28" x14ac:dyDescent="0.15">
      <c r="A12" s="3">
        <v>67</v>
      </c>
      <c r="B12" s="6" t="s">
        <v>20</v>
      </c>
      <c r="C12" s="7">
        <v>2</v>
      </c>
      <c r="D12" s="7">
        <v>2</v>
      </c>
      <c r="E12" s="7">
        <v>2023</v>
      </c>
      <c r="F12" s="5">
        <v>44959</v>
      </c>
      <c r="G12" s="6" t="s">
        <v>1</v>
      </c>
      <c r="H12" s="17">
        <v>0.34357414448669199</v>
      </c>
      <c r="I12" s="20">
        <f>ROUNDUP((Table2[[#This Row],[fGCM_Conc]]*10000),0)</f>
        <v>3436</v>
      </c>
      <c r="J12" s="3" t="str">
        <f>VLOOKUP(G12,'[1]Attributes(OUTDATED)'!$A$2:$C$19,2,FALSE)</f>
        <v>F</v>
      </c>
      <c r="K12" s="3" t="str">
        <f>VLOOKUP(G12,'[1]Attributes(OUTDATED)'!$A$2:$C$19,3,FALSE)</f>
        <v>A</v>
      </c>
      <c r="L12" s="3">
        <f>VLOOKUP(G12,'[1]Attributes(OUTDATED)'!$A$2:$H$19,8,FALSE)</f>
        <v>929</v>
      </c>
      <c r="M12" s="3" t="str">
        <f>K12&amp;J12</f>
        <v>AF</v>
      </c>
      <c r="N12" s="3" t="e">
        <f>VLOOKUP(G12,#REF!,2,FALSE)</f>
        <v>#REF!</v>
      </c>
      <c r="O12" s="11">
        <v>44957</v>
      </c>
      <c r="P12" s="13">
        <v>31.5</v>
      </c>
      <c r="Q12" s="13">
        <v>21.3</v>
      </c>
      <c r="R12" s="13">
        <v>12.3</v>
      </c>
      <c r="S12" s="13">
        <f>Table2[[#This Row],[2_Temp_H]]-Table2[[#This Row],[2_Temp_L]]</f>
        <v>19.2</v>
      </c>
      <c r="T12" s="13">
        <v>29.1</v>
      </c>
      <c r="U12" s="13">
        <v>4.5</v>
      </c>
      <c r="V12" s="13">
        <v>1010.84</v>
      </c>
      <c r="W12" s="13">
        <v>1006.1</v>
      </c>
      <c r="X12" s="13">
        <v>0</v>
      </c>
      <c r="Y12" s="13" t="s">
        <v>147</v>
      </c>
      <c r="Z12" s="16" t="s">
        <v>171</v>
      </c>
      <c r="AA12" s="13" t="s">
        <v>137</v>
      </c>
      <c r="AB12" s="13" t="s">
        <v>142</v>
      </c>
      <c r="AC12" s="13" t="s">
        <v>145</v>
      </c>
      <c r="AD12" s="13" t="s">
        <v>137</v>
      </c>
      <c r="AE12" s="13">
        <f>VLOOKUP(Table2[[#This Row],[3_Elephant_ID]],'[1]Attributes(OUTDATED)'!$A$2:$N$19,12,FALSE)</f>
        <v>321</v>
      </c>
      <c r="AF12" s="13">
        <f>VLOOKUP(Table2[[#This Row],[3_Elephant_ID]],'[1]Attributes(OUTDATED)'!$A$2:$N$19,13,FALSE)</f>
        <v>0.17599999999999999</v>
      </c>
      <c r="AG12" s="13">
        <f>VLOOKUP(Table2[[#This Row],[3_Elephant_ID]],'[1]Attributes(OUTDATED)'!$A$2:$N$19,14,FALSE)</f>
        <v>0.17530262753188491</v>
      </c>
      <c r="AH12" s="13">
        <v>3</v>
      </c>
      <c r="AI12" s="13">
        <v>0</v>
      </c>
      <c r="AJ12" s="13">
        <v>0</v>
      </c>
      <c r="AK12" s="13">
        <v>0</v>
      </c>
      <c r="AL12" s="13">
        <f>VLOOKUP(Table2[[#This Row],[3_Elephant_ID]],'[1]Attributes(OUTDATED)'!$A$2:$P$19,16,FALSE)</f>
        <v>1</v>
      </c>
      <c r="AM12" s="13">
        <f>VLOOKUP(Table2[[#This Row],[3_Elephant_ID]],'[1]Attributes(OUTDATED)'!$A$2:$S$19,17,FALSE)</f>
        <v>6</v>
      </c>
      <c r="AN12" s="13">
        <f>VLOOKUP(Table2[[#This Row],[3_Elephant_ID]],'[1]Attributes(OUTDATED)'!$A$2:$S$19,18,FALSE)</f>
        <v>8</v>
      </c>
    </row>
    <row r="13" spans="1:40" ht="28" x14ac:dyDescent="0.15">
      <c r="A13" s="3">
        <v>69</v>
      </c>
      <c r="B13" s="6" t="s">
        <v>22</v>
      </c>
      <c r="C13" s="7">
        <v>2</v>
      </c>
      <c r="D13" s="7">
        <v>2</v>
      </c>
      <c r="E13" s="7">
        <v>2023</v>
      </c>
      <c r="F13" s="5">
        <v>44959</v>
      </c>
      <c r="G13" s="6" t="s">
        <v>13</v>
      </c>
      <c r="H13" s="17">
        <v>0.29466918714555757</v>
      </c>
      <c r="I13" s="20">
        <f>ROUNDUP((Table2[[#This Row],[fGCM_Conc]]*10000),0)</f>
        <v>2947</v>
      </c>
      <c r="J13" s="3" t="str">
        <f>VLOOKUP(G13,'[1]Attributes(OUTDATED)'!$A$2:$C$19,2,FALSE)</f>
        <v>F</v>
      </c>
      <c r="K13" s="3" t="str">
        <f>VLOOKUP(G13,'[1]Attributes(OUTDATED)'!$A$2:$C$19,3,FALSE)</f>
        <v>A</v>
      </c>
      <c r="L13" s="3">
        <f>VLOOKUP(G13,'[1]Attributes(OUTDATED)'!$A$2:$H$19,8,FALSE)</f>
        <v>963</v>
      </c>
      <c r="M13" s="3" t="str">
        <f>K13&amp;J13</f>
        <v>AF</v>
      </c>
      <c r="N13" s="3" t="e">
        <f>VLOOKUP(G13,#REF!,2,FALSE)</f>
        <v>#REF!</v>
      </c>
      <c r="O13" s="11">
        <v>44957</v>
      </c>
      <c r="P13" s="13">
        <v>31.5</v>
      </c>
      <c r="Q13" s="13">
        <v>21.3</v>
      </c>
      <c r="R13" s="13">
        <v>12.3</v>
      </c>
      <c r="S13" s="13">
        <f>Table2[[#This Row],[2_Temp_H]]-Table2[[#This Row],[2_Temp_L]]</f>
        <v>19.2</v>
      </c>
      <c r="T13" s="13">
        <v>29.1</v>
      </c>
      <c r="U13" s="13">
        <v>4.5</v>
      </c>
      <c r="V13" s="13">
        <v>1010.84</v>
      </c>
      <c r="W13" s="13">
        <v>1006.1</v>
      </c>
      <c r="X13" s="13">
        <v>0</v>
      </c>
      <c r="Y13" s="13" t="s">
        <v>147</v>
      </c>
      <c r="Z13" s="16" t="s">
        <v>171</v>
      </c>
      <c r="AA13" s="13" t="s">
        <v>137</v>
      </c>
      <c r="AB13" s="13" t="s">
        <v>142</v>
      </c>
      <c r="AC13" s="13" t="s">
        <v>145</v>
      </c>
      <c r="AD13" s="13" t="s">
        <v>137</v>
      </c>
      <c r="AE13" s="13">
        <f>VLOOKUP(Table2[[#This Row],[3_Elephant_ID]],'[1]Attributes(OUTDATED)'!$A$2:$N$19,12,FALSE)</f>
        <v>289</v>
      </c>
      <c r="AF13" s="13">
        <f>VLOOKUP(Table2[[#This Row],[3_Elephant_ID]],'[1]Attributes(OUTDATED)'!$A$2:$N$19,13,FALSE)</f>
        <v>0.32400000000000001</v>
      </c>
      <c r="AG13" s="13">
        <f>VLOOKUP(Table2[[#This Row],[3_Elephant_ID]],'[1]Attributes(OUTDATED)'!$A$2:$N$19,14,FALSE)</f>
        <v>0.32380809109629533</v>
      </c>
      <c r="AH13" s="13">
        <v>3</v>
      </c>
      <c r="AI13" s="13">
        <v>0</v>
      </c>
      <c r="AJ13" s="13">
        <v>0</v>
      </c>
      <c r="AK13" s="13">
        <v>0</v>
      </c>
      <c r="AL13" s="13">
        <f>VLOOKUP(Table2[[#This Row],[3_Elephant_ID]],'[1]Attributes(OUTDATED)'!$A$2:$P$19,16,FALSE)</f>
        <v>2</v>
      </c>
      <c r="AM13" s="13">
        <f>VLOOKUP(Table2[[#This Row],[3_Elephant_ID]],'[1]Attributes(OUTDATED)'!$A$2:$S$19,17,FALSE)</f>
        <v>9</v>
      </c>
      <c r="AN13" s="13">
        <f>VLOOKUP(Table2[[#This Row],[3_Elephant_ID]],'[1]Attributes(OUTDATED)'!$A$2:$S$19,18,FALSE)</f>
        <v>9</v>
      </c>
    </row>
    <row r="14" spans="1:40" ht="28" x14ac:dyDescent="0.15">
      <c r="A14" s="3">
        <v>65</v>
      </c>
      <c r="B14" s="6">
        <v>2102231509</v>
      </c>
      <c r="C14" s="7">
        <v>21</v>
      </c>
      <c r="D14" s="7">
        <v>2</v>
      </c>
      <c r="E14" s="7">
        <v>2023</v>
      </c>
      <c r="F14" s="5">
        <v>44978</v>
      </c>
      <c r="G14" s="6" t="s">
        <v>4</v>
      </c>
      <c r="H14" s="17">
        <v>0.30659340659340661</v>
      </c>
      <c r="I14" s="20">
        <f>ROUNDUP((Table2[[#This Row],[fGCM_Conc]]*10000),0)</f>
        <v>3066</v>
      </c>
      <c r="J14" s="3" t="str">
        <f>VLOOKUP(G14,'[1]Attributes(OUTDATED)'!$A$2:$C$19,2,FALSE)</f>
        <v>M</v>
      </c>
      <c r="K14" s="3" t="str">
        <f>VLOOKUP(G14,'[1]Attributes(OUTDATED)'!$A$2:$C$19,3,FALSE)</f>
        <v>J</v>
      </c>
      <c r="L14" s="3">
        <f>VLOOKUP(G14,'[1]Attributes(OUTDATED)'!$A$2:$H$19,8,FALSE)</f>
        <v>1055</v>
      </c>
      <c r="M14" s="3" t="str">
        <f>K14&amp;J14</f>
        <v>JM</v>
      </c>
      <c r="N14" s="3" t="e">
        <f>VLOOKUP(G14,#REF!,2,FALSE)</f>
        <v>#REF!</v>
      </c>
      <c r="O14" s="11">
        <v>44976</v>
      </c>
      <c r="P14" s="13">
        <v>30.7</v>
      </c>
      <c r="Q14" s="13">
        <v>21.1</v>
      </c>
      <c r="R14" s="13">
        <v>15.2</v>
      </c>
      <c r="S14" s="13">
        <f>Table2[[#This Row],[2_Temp_H]]-Table2[[#This Row],[2_Temp_L]]</f>
        <v>15.5</v>
      </c>
      <c r="T14" s="13">
        <v>21.1</v>
      </c>
      <c r="U14" s="13">
        <v>3.6</v>
      </c>
      <c r="V14" s="13">
        <v>1006.77</v>
      </c>
      <c r="W14" s="13">
        <v>996.95</v>
      </c>
      <c r="X14" s="13">
        <v>0</v>
      </c>
      <c r="Y14" s="13" t="s">
        <v>147</v>
      </c>
      <c r="Z14" s="16" t="s">
        <v>171</v>
      </c>
      <c r="AA14" s="13" t="s">
        <v>137</v>
      </c>
      <c r="AB14" s="13" t="s">
        <v>142</v>
      </c>
      <c r="AC14" s="13" t="s">
        <v>145</v>
      </c>
      <c r="AD14" s="13" t="s">
        <v>137</v>
      </c>
      <c r="AE14" s="13">
        <f>VLOOKUP(Table2[[#This Row],[3_Elephant_ID]],'[1]Attributes(OUTDATED)'!$A$2:$N$19,12,FALSE)</f>
        <v>181</v>
      </c>
      <c r="AF14" s="13">
        <f>VLOOKUP(Table2[[#This Row],[3_Elephant_ID]],'[1]Attributes(OUTDATED)'!$A$2:$N$19,13,FALSE)</f>
        <v>7.3999999999999996E-2</v>
      </c>
      <c r="AG14" s="13">
        <f>VLOOKUP(Table2[[#This Row],[3_Elephant_ID]],'[1]Attributes(OUTDATED)'!$A$2:$N$19,14,FALSE)</f>
        <v>7.3914663535330896E-2</v>
      </c>
      <c r="AH14" s="13">
        <v>0</v>
      </c>
      <c r="AI14" s="13">
        <v>0</v>
      </c>
      <c r="AJ14" s="13">
        <v>0</v>
      </c>
      <c r="AK14" s="13">
        <v>0</v>
      </c>
      <c r="AL14" s="13">
        <f>VLOOKUP(Table2[[#This Row],[3_Elephant_ID]],'[1]Attributes(OUTDATED)'!$A$2:$P$19,16,FALSE)</f>
        <v>1</v>
      </c>
      <c r="AM14" s="13">
        <f>VLOOKUP(Table2[[#This Row],[3_Elephant_ID]],'[1]Attributes(OUTDATED)'!$A$2:$S$19,17,FALSE)</f>
        <v>7</v>
      </c>
      <c r="AN14" s="13">
        <f>VLOOKUP(Table2[[#This Row],[3_Elephant_ID]],'[1]Attributes(OUTDATED)'!$A$2:$S$19,18,FALSE)</f>
        <v>9</v>
      </c>
    </row>
    <row r="15" spans="1:40" ht="28" x14ac:dyDescent="0.15">
      <c r="A15" s="3">
        <v>66</v>
      </c>
      <c r="B15" s="6">
        <v>2102231316</v>
      </c>
      <c r="C15" s="7">
        <v>21</v>
      </c>
      <c r="D15" s="7">
        <v>2</v>
      </c>
      <c r="E15" s="7">
        <v>2023</v>
      </c>
      <c r="F15" s="5">
        <v>44978</v>
      </c>
      <c r="G15" s="6" t="s">
        <v>1</v>
      </c>
      <c r="H15" s="17">
        <v>0.24855513307984792</v>
      </c>
      <c r="I15" s="20">
        <f>ROUNDUP((Table2[[#This Row],[fGCM_Conc]]*10000),0)</f>
        <v>2486</v>
      </c>
      <c r="J15" s="3" t="str">
        <f>VLOOKUP(G15,'[1]Attributes(OUTDATED)'!$A$2:$C$19,2,FALSE)</f>
        <v>F</v>
      </c>
      <c r="K15" s="3" t="str">
        <f>VLOOKUP(G15,'[1]Attributes(OUTDATED)'!$A$2:$C$19,3,FALSE)</f>
        <v>A</v>
      </c>
      <c r="L15" s="3">
        <f>VLOOKUP(G15,'[1]Attributes(OUTDATED)'!$A$2:$H$19,8,FALSE)</f>
        <v>929</v>
      </c>
      <c r="M15" s="3" t="str">
        <f>K15&amp;J15</f>
        <v>AF</v>
      </c>
      <c r="N15" s="3" t="e">
        <f>VLOOKUP(G15,#REF!,2,FALSE)</f>
        <v>#REF!</v>
      </c>
      <c r="O15" s="11">
        <v>44976</v>
      </c>
      <c r="P15" s="13">
        <v>30.7</v>
      </c>
      <c r="Q15" s="13">
        <v>21.1</v>
      </c>
      <c r="R15" s="13">
        <v>15.2</v>
      </c>
      <c r="S15" s="13">
        <f>Table2[[#This Row],[2_Temp_H]]-Table2[[#This Row],[2_Temp_L]]</f>
        <v>15.5</v>
      </c>
      <c r="T15" s="13">
        <v>21.1</v>
      </c>
      <c r="U15" s="13">
        <v>3.6</v>
      </c>
      <c r="V15" s="13">
        <v>1006.77</v>
      </c>
      <c r="W15" s="13">
        <v>996.95</v>
      </c>
      <c r="X15" s="13">
        <v>0</v>
      </c>
      <c r="Y15" s="13" t="s">
        <v>147</v>
      </c>
      <c r="Z15" s="16" t="s">
        <v>171</v>
      </c>
      <c r="AA15" s="13" t="s">
        <v>137</v>
      </c>
      <c r="AB15" s="13" t="s">
        <v>142</v>
      </c>
      <c r="AC15" s="13" t="s">
        <v>145</v>
      </c>
      <c r="AD15" s="13" t="s">
        <v>137</v>
      </c>
      <c r="AE15" s="13">
        <f>VLOOKUP(Table2[[#This Row],[3_Elephant_ID]],'[1]Attributes(OUTDATED)'!$A$2:$N$19,12,FALSE)</f>
        <v>321</v>
      </c>
      <c r="AF15" s="13">
        <f>VLOOKUP(Table2[[#This Row],[3_Elephant_ID]],'[1]Attributes(OUTDATED)'!$A$2:$N$19,13,FALSE)</f>
        <v>0.17599999999999999</v>
      </c>
      <c r="AG15" s="13">
        <f>VLOOKUP(Table2[[#This Row],[3_Elephant_ID]],'[1]Attributes(OUTDATED)'!$A$2:$N$19,14,FALSE)</f>
        <v>0.17530262753188491</v>
      </c>
      <c r="AH15" s="13">
        <v>0</v>
      </c>
      <c r="AI15" s="13">
        <v>0</v>
      </c>
      <c r="AJ15" s="13">
        <v>0</v>
      </c>
      <c r="AK15" s="13">
        <v>0</v>
      </c>
      <c r="AL15" s="13">
        <f>VLOOKUP(Table2[[#This Row],[3_Elephant_ID]],'[1]Attributes(OUTDATED)'!$A$2:$P$19,16,FALSE)</f>
        <v>1</v>
      </c>
      <c r="AM15" s="13">
        <f>VLOOKUP(Table2[[#This Row],[3_Elephant_ID]],'[1]Attributes(OUTDATED)'!$A$2:$S$19,17,FALSE)</f>
        <v>6</v>
      </c>
      <c r="AN15" s="13">
        <f>VLOOKUP(Table2[[#This Row],[3_Elephant_ID]],'[1]Attributes(OUTDATED)'!$A$2:$S$19,18,FALSE)</f>
        <v>8</v>
      </c>
    </row>
    <row r="16" spans="1:40" ht="28" x14ac:dyDescent="0.15">
      <c r="A16" s="3">
        <v>64</v>
      </c>
      <c r="B16" s="6">
        <v>2202230930</v>
      </c>
      <c r="C16" s="7">
        <v>22</v>
      </c>
      <c r="D16" s="7">
        <v>2</v>
      </c>
      <c r="E16" s="7">
        <v>2023</v>
      </c>
      <c r="F16" s="5">
        <v>44979</v>
      </c>
      <c r="G16" s="6" t="s">
        <v>6</v>
      </c>
      <c r="H16" s="17">
        <v>0.38345351043643267</v>
      </c>
      <c r="I16" s="20">
        <f>ROUNDUP((Table2[[#This Row],[fGCM_Conc]]*10000),0)</f>
        <v>3835</v>
      </c>
      <c r="J16" s="3" t="str">
        <f>VLOOKUP(G16,'[1]Attributes(OUTDATED)'!$A$2:$C$19,2,FALSE)</f>
        <v>F</v>
      </c>
      <c r="K16" s="3" t="str">
        <f>VLOOKUP(G16,'[1]Attributes(OUTDATED)'!$A$2:$C$19,3,FALSE)</f>
        <v>A</v>
      </c>
      <c r="L16" s="3">
        <f>VLOOKUP(G16,'[1]Attributes(OUTDATED)'!$A$2:$H$19,8,FALSE)</f>
        <v>1168</v>
      </c>
      <c r="M16" s="3" t="str">
        <f>K16&amp;J16</f>
        <v>AF</v>
      </c>
      <c r="N16" s="3" t="e">
        <f>VLOOKUP(G16,#REF!,2,FALSE)</f>
        <v>#REF!</v>
      </c>
      <c r="O16" s="11">
        <v>44977</v>
      </c>
      <c r="P16" s="13">
        <v>26.7</v>
      </c>
      <c r="Q16" s="13">
        <v>20.399999999999999</v>
      </c>
      <c r="R16" s="13">
        <v>12.7</v>
      </c>
      <c r="S16" s="13">
        <f>Table2[[#This Row],[2_Temp_H]]-Table2[[#This Row],[2_Temp_L]]</f>
        <v>14</v>
      </c>
      <c r="T16" s="13">
        <v>36.200000000000003</v>
      </c>
      <c r="U16" s="13">
        <v>11</v>
      </c>
      <c r="V16" s="13">
        <v>1006.1</v>
      </c>
      <c r="W16" s="13">
        <v>994.92</v>
      </c>
      <c r="X16" s="13">
        <v>1.02</v>
      </c>
      <c r="Y16" s="13" t="s">
        <v>147</v>
      </c>
      <c r="Z16" s="16" t="s">
        <v>171</v>
      </c>
      <c r="AA16" s="13" t="s">
        <v>137</v>
      </c>
      <c r="AB16" s="13" t="s">
        <v>142</v>
      </c>
      <c r="AC16" s="13" t="s">
        <v>145</v>
      </c>
      <c r="AD16" s="13" t="s">
        <v>137</v>
      </c>
      <c r="AE16" s="13">
        <f>VLOOKUP(Table2[[#This Row],[3_Elephant_ID]],'[1]Attributes(OUTDATED)'!$A$2:$N$19,12,FALSE)</f>
        <v>286</v>
      </c>
      <c r="AF16" s="13">
        <f>VLOOKUP(Table2[[#This Row],[3_Elephant_ID]],'[1]Attributes(OUTDATED)'!$A$2:$N$19,13,FALSE)</f>
        <v>0.26800000000000002</v>
      </c>
      <c r="AG16" s="13">
        <f>VLOOKUP(Table2[[#This Row],[3_Elephant_ID]],'[1]Attributes(OUTDATED)'!$A$2:$N$19,14,FALSE)</f>
        <v>0.26721028245328138</v>
      </c>
      <c r="AH16" s="13">
        <v>2</v>
      </c>
      <c r="AI16" s="13">
        <v>1</v>
      </c>
      <c r="AJ16" s="13">
        <v>0</v>
      </c>
      <c r="AK16" s="13">
        <v>1</v>
      </c>
      <c r="AL16" s="13">
        <f>VLOOKUP(Table2[[#This Row],[3_Elephant_ID]],'[1]Attributes(OUTDATED)'!$A$2:$P$19,16,FALSE)</f>
        <v>2</v>
      </c>
      <c r="AM16" s="13">
        <f>VLOOKUP(Table2[[#This Row],[3_Elephant_ID]],'[1]Attributes(OUTDATED)'!$A$2:$S$19,17,FALSE)</f>
        <v>12</v>
      </c>
      <c r="AN16" s="13">
        <f>VLOOKUP(Table2[[#This Row],[3_Elephant_ID]],'[1]Attributes(OUTDATED)'!$A$2:$S$19,18,FALSE)</f>
        <v>5</v>
      </c>
    </row>
    <row r="17" spans="1:40" ht="28" x14ac:dyDescent="0.15">
      <c r="A17" s="3">
        <v>63</v>
      </c>
      <c r="B17" s="6">
        <v>2202230940</v>
      </c>
      <c r="C17" s="7">
        <v>22</v>
      </c>
      <c r="D17" s="7">
        <v>2</v>
      </c>
      <c r="E17" s="7">
        <v>2023</v>
      </c>
      <c r="F17" s="5">
        <v>44979</v>
      </c>
      <c r="G17" s="6" t="s">
        <v>10</v>
      </c>
      <c r="H17" s="17">
        <v>0.33439703153988865</v>
      </c>
      <c r="I17" s="20">
        <f>ROUNDUP((Table2[[#This Row],[fGCM_Conc]]*10000),0)</f>
        <v>3344</v>
      </c>
      <c r="J17" s="3" t="str">
        <f>VLOOKUP(G17,'[1]Attributes(OUTDATED)'!$A$2:$C$19,2,FALSE)</f>
        <v>F</v>
      </c>
      <c r="K17" s="3" t="str">
        <f>VLOOKUP(G17,'[1]Attributes(OUTDATED)'!$A$2:$C$19,3,FALSE)</f>
        <v>A</v>
      </c>
      <c r="L17" s="3">
        <f>VLOOKUP(G17,'[1]Attributes(OUTDATED)'!$A$2:$H$19,8,FALSE)</f>
        <v>1146</v>
      </c>
      <c r="M17" s="3" t="str">
        <f>K17&amp;J17</f>
        <v>AF</v>
      </c>
      <c r="N17" s="3" t="e">
        <f>VLOOKUP(G17,#REF!,2,FALSE)</f>
        <v>#REF!</v>
      </c>
      <c r="O17" s="11">
        <v>44977</v>
      </c>
      <c r="P17" s="13">
        <v>26.7</v>
      </c>
      <c r="Q17" s="13">
        <v>20.399999999999999</v>
      </c>
      <c r="R17" s="13">
        <v>12.7</v>
      </c>
      <c r="S17" s="13">
        <f>Table2[[#This Row],[2_Temp_H]]-Table2[[#This Row],[2_Temp_L]]</f>
        <v>14</v>
      </c>
      <c r="T17" s="13">
        <v>36.200000000000003</v>
      </c>
      <c r="U17" s="13">
        <v>11</v>
      </c>
      <c r="V17" s="13">
        <v>1006.1</v>
      </c>
      <c r="W17" s="13">
        <v>994.92</v>
      </c>
      <c r="X17" s="13">
        <v>1.02</v>
      </c>
      <c r="Y17" s="13" t="s">
        <v>147</v>
      </c>
      <c r="Z17" s="16" t="s">
        <v>171</v>
      </c>
      <c r="AA17" s="13" t="s">
        <v>137</v>
      </c>
      <c r="AB17" s="13" t="s">
        <v>142</v>
      </c>
      <c r="AC17" s="13" t="s">
        <v>145</v>
      </c>
      <c r="AD17" s="13" t="s">
        <v>137</v>
      </c>
      <c r="AE17" s="13">
        <f>VLOOKUP(Table2[[#This Row],[3_Elephant_ID]],'[1]Attributes(OUTDATED)'!$A$2:$N$19,12,FALSE)</f>
        <v>424</v>
      </c>
      <c r="AF17" s="13">
        <f>VLOOKUP(Table2[[#This Row],[3_Elephant_ID]],'[1]Attributes(OUTDATED)'!$A$2:$N$19,13,FALSE)</f>
        <v>0.10299999999999999</v>
      </c>
      <c r="AG17" s="13">
        <f>VLOOKUP(Table2[[#This Row],[3_Elephant_ID]],'[1]Attributes(OUTDATED)'!$A$2:$N$19,14,FALSE)</f>
        <v>0.10282190709599449</v>
      </c>
      <c r="AH17" s="13">
        <v>2</v>
      </c>
      <c r="AI17" s="13">
        <v>0</v>
      </c>
      <c r="AJ17" s="13">
        <v>0</v>
      </c>
      <c r="AK17" s="13">
        <v>0</v>
      </c>
      <c r="AL17" s="13">
        <f>VLOOKUP(Table2[[#This Row],[3_Elephant_ID]],'[1]Attributes(OUTDATED)'!$A$2:$P$19,16,FALSE)</f>
        <v>1</v>
      </c>
      <c r="AM17" s="13">
        <f>VLOOKUP(Table2[[#This Row],[3_Elephant_ID]],'[1]Attributes(OUTDATED)'!$A$2:$S$19,17,FALSE)</f>
        <v>9</v>
      </c>
      <c r="AN17" s="13">
        <f>VLOOKUP(Table2[[#This Row],[3_Elephant_ID]],'[1]Attributes(OUTDATED)'!$A$2:$S$19,18,FALSE)</f>
        <v>8</v>
      </c>
    </row>
    <row r="18" spans="1:40" ht="28" x14ac:dyDescent="0.15">
      <c r="A18" s="3">
        <v>62</v>
      </c>
      <c r="B18" s="6">
        <v>2202231415</v>
      </c>
      <c r="C18" s="7">
        <v>22</v>
      </c>
      <c r="D18" s="7">
        <v>2</v>
      </c>
      <c r="E18" s="7">
        <v>2023</v>
      </c>
      <c r="F18" s="5">
        <v>44979</v>
      </c>
      <c r="G18" s="6" t="s">
        <v>2</v>
      </c>
      <c r="H18" s="17">
        <v>0.30871345029239766</v>
      </c>
      <c r="I18" s="20">
        <f>ROUNDUP((Table2[[#This Row],[fGCM_Conc]]*10000),0)</f>
        <v>3088</v>
      </c>
      <c r="J18" s="3" t="str">
        <f>VLOOKUP(G18,'[1]Attributes(OUTDATED)'!$A$2:$C$19,2,FALSE)</f>
        <v>F</v>
      </c>
      <c r="K18" s="3" t="str">
        <f>VLOOKUP(G18,'[1]Attributes(OUTDATED)'!$A$2:$C$19,3,FALSE)</f>
        <v>A</v>
      </c>
      <c r="L18" s="3">
        <f>VLOOKUP(G18,'[1]Attributes(OUTDATED)'!$A$2:$H$19,8,FALSE)</f>
        <v>892</v>
      </c>
      <c r="M18" s="3" t="str">
        <f>K18&amp;J18</f>
        <v>AF</v>
      </c>
      <c r="N18" s="3" t="e">
        <f>VLOOKUP(G18,#REF!,2,FALSE)</f>
        <v>#REF!</v>
      </c>
      <c r="O18" s="11">
        <v>44977</v>
      </c>
      <c r="P18" s="13">
        <v>26.7</v>
      </c>
      <c r="Q18" s="13">
        <v>20.399999999999999</v>
      </c>
      <c r="R18" s="13">
        <v>12.7</v>
      </c>
      <c r="S18" s="13">
        <f>Table2[[#This Row],[2_Temp_H]]-Table2[[#This Row],[2_Temp_L]]</f>
        <v>14</v>
      </c>
      <c r="T18" s="13">
        <v>36.200000000000003</v>
      </c>
      <c r="U18" s="13">
        <v>11</v>
      </c>
      <c r="V18" s="13">
        <v>1006.1</v>
      </c>
      <c r="W18" s="13">
        <v>994.92</v>
      </c>
      <c r="X18" s="13">
        <v>1.02</v>
      </c>
      <c r="Y18" s="13" t="s">
        <v>147</v>
      </c>
      <c r="Z18" s="16" t="s">
        <v>171</v>
      </c>
      <c r="AA18" s="13" t="s">
        <v>137</v>
      </c>
      <c r="AB18" s="13" t="s">
        <v>142</v>
      </c>
      <c r="AC18" s="13" t="s">
        <v>145</v>
      </c>
      <c r="AD18" s="13" t="s">
        <v>137</v>
      </c>
      <c r="AE18" s="13">
        <f>VLOOKUP(Table2[[#This Row],[3_Elephant_ID]],'[1]Attributes(OUTDATED)'!$A$2:$N$19,12,FALSE)</f>
        <v>378</v>
      </c>
      <c r="AF18" s="13">
        <f>VLOOKUP(Table2[[#This Row],[3_Elephant_ID]],'[1]Attributes(OUTDATED)'!$A$2:$N$19,13,FALSE)</f>
        <v>8.6999999999999994E-2</v>
      </c>
      <c r="AG18" s="13">
        <f>VLOOKUP(Table2[[#This Row],[3_Elephant_ID]],'[1]Attributes(OUTDATED)'!$A$2:$N$19,14,FALSE)</f>
        <v>8.6599138783086713E-2</v>
      </c>
      <c r="AH18" s="13">
        <v>2</v>
      </c>
      <c r="AI18" s="13">
        <v>0</v>
      </c>
      <c r="AJ18" s="13">
        <v>0</v>
      </c>
      <c r="AK18" s="13">
        <v>0</v>
      </c>
      <c r="AL18" s="13">
        <f>VLOOKUP(Table2[[#This Row],[3_Elephant_ID]],'[1]Attributes(OUTDATED)'!$A$2:$P$19,16,FALSE)</f>
        <v>1</v>
      </c>
      <c r="AM18" s="13">
        <f>VLOOKUP(Table2[[#This Row],[3_Elephant_ID]],'[1]Attributes(OUTDATED)'!$A$2:$S$19,17,FALSE)</f>
        <v>4</v>
      </c>
      <c r="AN18" s="13">
        <f>VLOOKUP(Table2[[#This Row],[3_Elephant_ID]],'[1]Attributes(OUTDATED)'!$A$2:$S$19,18,FALSE)</f>
        <v>20</v>
      </c>
    </row>
    <row r="19" spans="1:40" ht="28" x14ac:dyDescent="0.15">
      <c r="A19" s="3">
        <v>60</v>
      </c>
      <c r="B19" s="6">
        <v>2202231444</v>
      </c>
      <c r="C19" s="7">
        <v>22</v>
      </c>
      <c r="D19" s="7">
        <v>2</v>
      </c>
      <c r="E19" s="7">
        <v>2023</v>
      </c>
      <c r="F19" s="5">
        <v>44979</v>
      </c>
      <c r="G19" s="6" t="s">
        <v>3</v>
      </c>
      <c r="H19" s="17">
        <v>0.25275992438563322</v>
      </c>
      <c r="I19" s="20">
        <f>ROUNDUP((Table2[[#This Row],[fGCM_Conc]]*10000),0)</f>
        <v>2528</v>
      </c>
      <c r="J19" s="3" t="str">
        <f>VLOOKUP(G19,'[1]Attributes(OUTDATED)'!$A$2:$C$19,2,FALSE)</f>
        <v>M</v>
      </c>
      <c r="K19" s="3" t="str">
        <f>VLOOKUP(G19,'[1]Attributes(OUTDATED)'!$A$2:$C$19,3,FALSE)</f>
        <v>J</v>
      </c>
      <c r="L19" s="3">
        <f>VLOOKUP(G19,'[1]Attributes(OUTDATED)'!$A$2:$H$19,8,FALSE)</f>
        <v>1031</v>
      </c>
      <c r="M19" s="3" t="str">
        <f>K19&amp;J19</f>
        <v>JM</v>
      </c>
      <c r="N19" s="3" t="e">
        <f>VLOOKUP(G19,#REF!,2,FALSE)</f>
        <v>#REF!</v>
      </c>
      <c r="O19" s="11">
        <v>44977</v>
      </c>
      <c r="P19" s="13">
        <v>26.7</v>
      </c>
      <c r="Q19" s="13">
        <v>20.399999999999999</v>
      </c>
      <c r="R19" s="13">
        <v>12.7</v>
      </c>
      <c r="S19" s="13">
        <f>Table2[[#This Row],[2_Temp_H]]-Table2[[#This Row],[2_Temp_L]]</f>
        <v>14</v>
      </c>
      <c r="T19" s="13">
        <v>36.200000000000003</v>
      </c>
      <c r="U19" s="13">
        <v>11</v>
      </c>
      <c r="V19" s="13">
        <v>1006.1</v>
      </c>
      <c r="W19" s="13">
        <v>994.92</v>
      </c>
      <c r="X19" s="13">
        <v>1.02</v>
      </c>
      <c r="Y19" s="13" t="s">
        <v>147</v>
      </c>
      <c r="Z19" s="16" t="s">
        <v>171</v>
      </c>
      <c r="AA19" s="13" t="s">
        <v>137</v>
      </c>
      <c r="AB19" s="13" t="s">
        <v>142</v>
      </c>
      <c r="AC19" s="13" t="s">
        <v>145</v>
      </c>
      <c r="AD19" s="13" t="s">
        <v>137</v>
      </c>
      <c r="AE19" s="13">
        <f>VLOOKUP(Table2[[#This Row],[3_Elephant_ID]],'[1]Attributes(OUTDATED)'!$A$2:$N$19,12,FALSE)</f>
        <v>234</v>
      </c>
      <c r="AF19" s="13">
        <f>VLOOKUP(Table2[[#This Row],[3_Elephant_ID]],'[1]Attributes(OUTDATED)'!$A$2:$N$19,13,FALSE)</f>
        <v>0.16500000000000001</v>
      </c>
      <c r="AG19" s="13">
        <f>VLOOKUP(Table2[[#This Row],[3_Elephant_ID]],'[1]Attributes(OUTDATED)'!$A$2:$N$19,14,FALSE)</f>
        <v>0.16420161303383449</v>
      </c>
      <c r="AH19" s="13">
        <v>2</v>
      </c>
      <c r="AI19" s="13">
        <v>0</v>
      </c>
      <c r="AJ19" s="13">
        <v>0</v>
      </c>
      <c r="AK19" s="13">
        <v>0</v>
      </c>
      <c r="AL19" s="13">
        <f>VLOOKUP(Table2[[#This Row],[3_Elephant_ID]],'[1]Attributes(OUTDATED)'!$A$2:$P$19,16,FALSE)</f>
        <v>1</v>
      </c>
      <c r="AM19" s="13">
        <f>VLOOKUP(Table2[[#This Row],[3_Elephant_ID]],'[1]Attributes(OUTDATED)'!$A$2:$S$19,17,FALSE)</f>
        <v>9</v>
      </c>
      <c r="AN19" s="13">
        <f>VLOOKUP(Table2[[#This Row],[3_Elephant_ID]],'[1]Attributes(OUTDATED)'!$A$2:$S$19,18,FALSE)</f>
        <v>9</v>
      </c>
    </row>
    <row r="20" spans="1:40" ht="28" x14ac:dyDescent="0.15">
      <c r="A20" s="3">
        <v>59</v>
      </c>
      <c r="B20" s="6">
        <v>2202231503</v>
      </c>
      <c r="C20" s="7">
        <v>22</v>
      </c>
      <c r="D20" s="7">
        <v>2</v>
      </c>
      <c r="E20" s="7">
        <v>2023</v>
      </c>
      <c r="F20" s="5">
        <v>44979</v>
      </c>
      <c r="G20" s="6" t="s">
        <v>1</v>
      </c>
      <c r="H20" s="17">
        <v>0.24982248520710065</v>
      </c>
      <c r="I20" s="20">
        <f>ROUNDUP((Table2[[#This Row],[fGCM_Conc]]*10000),0)</f>
        <v>2499</v>
      </c>
      <c r="J20" s="3" t="str">
        <f>VLOOKUP(G20,'[1]Attributes(OUTDATED)'!$A$2:$C$19,2,FALSE)</f>
        <v>F</v>
      </c>
      <c r="K20" s="3" t="str">
        <f>VLOOKUP(G20,'[1]Attributes(OUTDATED)'!$A$2:$C$19,3,FALSE)</f>
        <v>A</v>
      </c>
      <c r="L20" s="3">
        <f>VLOOKUP(G20,'[1]Attributes(OUTDATED)'!$A$2:$H$19,8,FALSE)</f>
        <v>929</v>
      </c>
      <c r="M20" s="3" t="str">
        <f>K20&amp;J20</f>
        <v>AF</v>
      </c>
      <c r="N20" s="3" t="e">
        <f>VLOOKUP(G20,#REF!,2,FALSE)</f>
        <v>#REF!</v>
      </c>
      <c r="O20" s="11">
        <v>44977</v>
      </c>
      <c r="P20" s="13">
        <v>26.7</v>
      </c>
      <c r="Q20" s="13">
        <v>20.399999999999999</v>
      </c>
      <c r="R20" s="13">
        <v>12.7</v>
      </c>
      <c r="S20" s="13">
        <f>Table2[[#This Row],[2_Temp_H]]-Table2[[#This Row],[2_Temp_L]]</f>
        <v>14</v>
      </c>
      <c r="T20" s="13">
        <v>36.200000000000003</v>
      </c>
      <c r="U20" s="13">
        <v>11</v>
      </c>
      <c r="V20" s="13">
        <v>1006.1</v>
      </c>
      <c r="W20" s="13">
        <v>994.92</v>
      </c>
      <c r="X20" s="13">
        <v>1.02</v>
      </c>
      <c r="Y20" s="13" t="s">
        <v>147</v>
      </c>
      <c r="Z20" s="16" t="s">
        <v>171</v>
      </c>
      <c r="AA20" s="13" t="s">
        <v>137</v>
      </c>
      <c r="AB20" s="13" t="s">
        <v>142</v>
      </c>
      <c r="AC20" s="13" t="s">
        <v>145</v>
      </c>
      <c r="AD20" s="13" t="s">
        <v>137</v>
      </c>
      <c r="AE20" s="13">
        <f>VLOOKUP(Table2[[#This Row],[3_Elephant_ID]],'[1]Attributes(OUTDATED)'!$A$2:$N$19,12,FALSE)</f>
        <v>321</v>
      </c>
      <c r="AF20" s="13">
        <f>VLOOKUP(Table2[[#This Row],[3_Elephant_ID]],'[1]Attributes(OUTDATED)'!$A$2:$N$19,13,FALSE)</f>
        <v>0.17599999999999999</v>
      </c>
      <c r="AG20" s="13">
        <f>VLOOKUP(Table2[[#This Row],[3_Elephant_ID]],'[1]Attributes(OUTDATED)'!$A$2:$N$19,14,FALSE)</f>
        <v>0.17530262753188491</v>
      </c>
      <c r="AH20" s="13">
        <v>2</v>
      </c>
      <c r="AI20" s="13">
        <v>0</v>
      </c>
      <c r="AJ20" s="13">
        <v>0</v>
      </c>
      <c r="AK20" s="13">
        <v>0</v>
      </c>
      <c r="AL20" s="13">
        <f>VLOOKUP(Table2[[#This Row],[3_Elephant_ID]],'[1]Attributes(OUTDATED)'!$A$2:$P$19,16,FALSE)</f>
        <v>1</v>
      </c>
      <c r="AM20" s="13">
        <f>VLOOKUP(Table2[[#This Row],[3_Elephant_ID]],'[1]Attributes(OUTDATED)'!$A$2:$S$19,17,FALSE)</f>
        <v>6</v>
      </c>
      <c r="AN20" s="13">
        <f>VLOOKUP(Table2[[#This Row],[3_Elephant_ID]],'[1]Attributes(OUTDATED)'!$A$2:$S$19,18,FALSE)</f>
        <v>8</v>
      </c>
    </row>
    <row r="21" spans="1:40" ht="28" x14ac:dyDescent="0.15">
      <c r="A21" s="3">
        <v>61</v>
      </c>
      <c r="B21" s="6">
        <v>2202231427</v>
      </c>
      <c r="C21" s="7">
        <v>22</v>
      </c>
      <c r="D21" s="7">
        <v>2</v>
      </c>
      <c r="E21" s="7">
        <v>2023</v>
      </c>
      <c r="F21" s="5">
        <v>44979</v>
      </c>
      <c r="G21" s="6" t="s">
        <v>10</v>
      </c>
      <c r="H21" s="17">
        <v>0.20421550094517957</v>
      </c>
      <c r="I21" s="20">
        <f>ROUNDUP((Table2[[#This Row],[fGCM_Conc]]*10000),0)</f>
        <v>2043</v>
      </c>
      <c r="J21" s="3" t="str">
        <f>VLOOKUP(G21,'[1]Attributes(OUTDATED)'!$A$2:$C$19,2,FALSE)</f>
        <v>F</v>
      </c>
      <c r="K21" s="3" t="str">
        <f>VLOOKUP(G21,'[1]Attributes(OUTDATED)'!$A$2:$C$19,3,FALSE)</f>
        <v>A</v>
      </c>
      <c r="L21" s="3">
        <f>VLOOKUP(G21,'[1]Attributes(OUTDATED)'!$A$2:$H$19,8,FALSE)</f>
        <v>1146</v>
      </c>
      <c r="M21" s="3" t="str">
        <f>K21&amp;J21</f>
        <v>AF</v>
      </c>
      <c r="N21" s="3" t="e">
        <f>VLOOKUP(G21,#REF!,2,FALSE)</f>
        <v>#REF!</v>
      </c>
      <c r="O21" s="11">
        <v>44977</v>
      </c>
      <c r="P21" s="13">
        <v>26.7</v>
      </c>
      <c r="Q21" s="13">
        <v>20.399999999999999</v>
      </c>
      <c r="R21" s="13">
        <v>12.7</v>
      </c>
      <c r="S21" s="13">
        <f>Table2[[#This Row],[2_Temp_H]]-Table2[[#This Row],[2_Temp_L]]</f>
        <v>14</v>
      </c>
      <c r="T21" s="13">
        <v>36.200000000000003</v>
      </c>
      <c r="U21" s="13">
        <v>11</v>
      </c>
      <c r="V21" s="13">
        <v>1006.1</v>
      </c>
      <c r="W21" s="13">
        <v>994.92</v>
      </c>
      <c r="X21" s="13">
        <v>1.02</v>
      </c>
      <c r="Y21" s="13" t="s">
        <v>147</v>
      </c>
      <c r="Z21" s="16" t="s">
        <v>171</v>
      </c>
      <c r="AA21" s="13" t="s">
        <v>137</v>
      </c>
      <c r="AB21" s="13" t="s">
        <v>142</v>
      </c>
      <c r="AC21" s="13" t="s">
        <v>145</v>
      </c>
      <c r="AD21" s="13" t="s">
        <v>137</v>
      </c>
      <c r="AE21" s="13">
        <f>VLOOKUP(Table2[[#This Row],[3_Elephant_ID]],'[1]Attributes(OUTDATED)'!$A$2:$N$19,12,FALSE)</f>
        <v>424</v>
      </c>
      <c r="AF21" s="13">
        <f>VLOOKUP(Table2[[#This Row],[3_Elephant_ID]],'[1]Attributes(OUTDATED)'!$A$2:$N$19,13,FALSE)</f>
        <v>0.10299999999999999</v>
      </c>
      <c r="AG21" s="13">
        <f>VLOOKUP(Table2[[#This Row],[3_Elephant_ID]],'[1]Attributes(OUTDATED)'!$A$2:$N$19,14,FALSE)</f>
        <v>0.10282190709599449</v>
      </c>
      <c r="AH21" s="13">
        <v>2</v>
      </c>
      <c r="AI21" s="13">
        <v>0</v>
      </c>
      <c r="AJ21" s="13">
        <v>0</v>
      </c>
      <c r="AK21" s="13">
        <v>0</v>
      </c>
      <c r="AL21" s="13">
        <f>VLOOKUP(Table2[[#This Row],[3_Elephant_ID]],'[1]Attributes(OUTDATED)'!$A$2:$P$19,16,FALSE)</f>
        <v>1</v>
      </c>
      <c r="AM21" s="13">
        <f>VLOOKUP(Table2[[#This Row],[3_Elephant_ID]],'[1]Attributes(OUTDATED)'!$A$2:$S$19,17,FALSE)</f>
        <v>9</v>
      </c>
      <c r="AN21" s="13">
        <f>VLOOKUP(Table2[[#This Row],[3_Elephant_ID]],'[1]Attributes(OUTDATED)'!$A$2:$S$19,18,FALSE)</f>
        <v>8</v>
      </c>
    </row>
    <row r="22" spans="1:40" ht="28" x14ac:dyDescent="0.15">
      <c r="A22" s="3">
        <v>58</v>
      </c>
      <c r="B22" s="6">
        <v>2402231514</v>
      </c>
      <c r="C22" s="7">
        <v>24</v>
      </c>
      <c r="D22" s="7">
        <v>2</v>
      </c>
      <c r="E22" s="7">
        <v>2023</v>
      </c>
      <c r="F22" s="5">
        <v>44981</v>
      </c>
      <c r="G22" s="6" t="s">
        <v>4</v>
      </c>
      <c r="H22" s="17">
        <v>0.33609108159392792</v>
      </c>
      <c r="I22" s="20">
        <f>ROUNDUP((Table2[[#This Row],[fGCM_Conc]]*10000),0)</f>
        <v>3361</v>
      </c>
      <c r="J22" s="3" t="str">
        <f>VLOOKUP(G22,'[1]Attributes(OUTDATED)'!$A$2:$C$19,2,FALSE)</f>
        <v>M</v>
      </c>
      <c r="K22" s="3" t="str">
        <f>VLOOKUP(G22,'[1]Attributes(OUTDATED)'!$A$2:$C$19,3,FALSE)</f>
        <v>J</v>
      </c>
      <c r="L22" s="3">
        <f>VLOOKUP(G22,'[1]Attributes(OUTDATED)'!$A$2:$H$19,8,FALSE)</f>
        <v>1055</v>
      </c>
      <c r="M22" s="3" t="str">
        <f>K22&amp;J22</f>
        <v>JM</v>
      </c>
      <c r="N22" s="3" t="e">
        <f>VLOOKUP(G22,#REF!,2,FALSE)</f>
        <v>#REF!</v>
      </c>
      <c r="O22" s="11">
        <v>44979</v>
      </c>
      <c r="P22" s="13">
        <v>31</v>
      </c>
      <c r="Q22" s="13">
        <v>20.3</v>
      </c>
      <c r="R22" s="13">
        <v>7.4</v>
      </c>
      <c r="S22" s="13">
        <f>Table2[[#This Row],[2_Temp_H]]-Table2[[#This Row],[2_Temp_L]]</f>
        <v>23.6</v>
      </c>
      <c r="T22" s="13">
        <v>16.399999999999999</v>
      </c>
      <c r="U22" s="13">
        <v>4</v>
      </c>
      <c r="V22" s="13">
        <v>1014.9</v>
      </c>
      <c r="W22" s="13">
        <v>1011.85</v>
      </c>
      <c r="X22" s="13">
        <v>0</v>
      </c>
      <c r="Y22" s="13" t="s">
        <v>147</v>
      </c>
      <c r="Z22" s="16" t="s">
        <v>171</v>
      </c>
      <c r="AA22" s="13" t="s">
        <v>137</v>
      </c>
      <c r="AB22" s="13" t="s">
        <v>142</v>
      </c>
      <c r="AC22" s="13" t="s">
        <v>145</v>
      </c>
      <c r="AD22" s="13" t="s">
        <v>137</v>
      </c>
      <c r="AE22" s="13">
        <f>VLOOKUP(Table2[[#This Row],[3_Elephant_ID]],'[1]Attributes(OUTDATED)'!$A$2:$N$19,12,FALSE)</f>
        <v>181</v>
      </c>
      <c r="AF22" s="13">
        <f>VLOOKUP(Table2[[#This Row],[3_Elephant_ID]],'[1]Attributes(OUTDATED)'!$A$2:$N$19,13,FALSE)</f>
        <v>7.3999999999999996E-2</v>
      </c>
      <c r="AG22" s="13">
        <f>VLOOKUP(Table2[[#This Row],[3_Elephant_ID]],'[1]Attributes(OUTDATED)'!$A$2:$N$19,14,FALSE)</f>
        <v>7.3914663535330896E-2</v>
      </c>
      <c r="AH22" s="13">
        <v>1</v>
      </c>
      <c r="AI22" s="13">
        <v>0</v>
      </c>
      <c r="AJ22" s="13">
        <v>0</v>
      </c>
      <c r="AK22" s="13">
        <v>0</v>
      </c>
      <c r="AL22" s="13">
        <f>VLOOKUP(Table2[[#This Row],[3_Elephant_ID]],'[1]Attributes(OUTDATED)'!$A$2:$P$19,16,FALSE)</f>
        <v>1</v>
      </c>
      <c r="AM22" s="13">
        <f>VLOOKUP(Table2[[#This Row],[3_Elephant_ID]],'[1]Attributes(OUTDATED)'!$A$2:$S$19,17,FALSE)</f>
        <v>7</v>
      </c>
      <c r="AN22" s="13">
        <f>VLOOKUP(Table2[[#This Row],[3_Elephant_ID]],'[1]Attributes(OUTDATED)'!$A$2:$S$19,18,FALSE)</f>
        <v>9</v>
      </c>
    </row>
    <row r="23" spans="1:40" ht="28" x14ac:dyDescent="0.15">
      <c r="A23" s="3">
        <v>55</v>
      </c>
      <c r="B23" s="6">
        <v>2502231058</v>
      </c>
      <c r="C23" s="7">
        <v>25</v>
      </c>
      <c r="D23" s="7">
        <v>2</v>
      </c>
      <c r="E23" s="7">
        <v>2023</v>
      </c>
      <c r="F23" s="5">
        <v>44982</v>
      </c>
      <c r="G23" s="6" t="s">
        <v>16</v>
      </c>
      <c r="H23" s="17">
        <v>0.31726415094339622</v>
      </c>
      <c r="I23" s="20">
        <f>ROUNDUP((Table2[[#This Row],[fGCM_Conc]]*10000),0)</f>
        <v>3173</v>
      </c>
      <c r="J23" s="3" t="str">
        <f>VLOOKUP(G23,'[1]Attributes(OUTDATED)'!$A$2:$C$19,2,FALSE)</f>
        <v>F</v>
      </c>
      <c r="K23" s="3" t="str">
        <f>VLOOKUP(G23,'[1]Attributes(OUTDATED)'!$A$2:$C$19,3,FALSE)</f>
        <v>A</v>
      </c>
      <c r="L23" s="3">
        <f>VLOOKUP(G23,'[1]Attributes(OUTDATED)'!$A$2:$H$19,8,FALSE)</f>
        <v>1346</v>
      </c>
      <c r="M23" s="3" t="str">
        <f>K23&amp;J23</f>
        <v>AF</v>
      </c>
      <c r="N23" s="3" t="e">
        <f>VLOOKUP(G23,#REF!,2,FALSE)</f>
        <v>#REF!</v>
      </c>
      <c r="O23" s="11">
        <v>44980</v>
      </c>
      <c r="P23" s="13">
        <v>36.4</v>
      </c>
      <c r="Q23" s="13">
        <v>23.7</v>
      </c>
      <c r="R23" s="13">
        <v>10.7</v>
      </c>
      <c r="S23" s="13">
        <f>Table2[[#This Row],[2_Temp_H]]-Table2[[#This Row],[2_Temp_L]]</f>
        <v>25.7</v>
      </c>
      <c r="T23" s="13">
        <v>23.3</v>
      </c>
      <c r="U23" s="13">
        <v>4.3</v>
      </c>
      <c r="V23" s="13">
        <v>1013.88</v>
      </c>
      <c r="W23" s="13">
        <v>1007.79</v>
      </c>
      <c r="X23" s="13">
        <v>0</v>
      </c>
      <c r="Y23" s="13" t="s">
        <v>147</v>
      </c>
      <c r="Z23" s="16" t="s">
        <v>171</v>
      </c>
      <c r="AA23" s="13" t="s">
        <v>137</v>
      </c>
      <c r="AB23" s="13" t="s">
        <v>142</v>
      </c>
      <c r="AC23" s="13" t="s">
        <v>145</v>
      </c>
      <c r="AD23" s="13" t="s">
        <v>137</v>
      </c>
      <c r="AE23" s="13">
        <f>VLOOKUP(Table2[[#This Row],[3_Elephant_ID]],'[1]Attributes(OUTDATED)'!$A$2:$N$19,12,FALSE)</f>
        <v>474</v>
      </c>
      <c r="AF23" s="13">
        <f>VLOOKUP(Table2[[#This Row],[3_Elephant_ID]],'[1]Attributes(OUTDATED)'!$A$2:$N$19,13,FALSE)</f>
        <v>0.121</v>
      </c>
      <c r="AG23" s="13">
        <f>VLOOKUP(Table2[[#This Row],[3_Elephant_ID]],'[1]Attributes(OUTDATED)'!$A$2:$N$19,14,FALSE)</f>
        <v>0.1206993463154281</v>
      </c>
      <c r="AH23" s="13">
        <v>0</v>
      </c>
      <c r="AI23" s="13">
        <v>0</v>
      </c>
      <c r="AJ23" s="13">
        <v>0</v>
      </c>
      <c r="AK23" s="13">
        <v>0</v>
      </c>
      <c r="AL23" s="13">
        <f>VLOOKUP(Table2[[#This Row],[3_Elephant_ID]],'[1]Attributes(OUTDATED)'!$A$2:$P$19,16,FALSE)</f>
        <v>1</v>
      </c>
      <c r="AM23" s="13">
        <f>VLOOKUP(Table2[[#This Row],[3_Elephant_ID]],'[1]Attributes(OUTDATED)'!$A$2:$S$19,17,FALSE)</f>
        <v>16</v>
      </c>
      <c r="AN23" s="13">
        <f>VLOOKUP(Table2[[#This Row],[3_Elephant_ID]],'[1]Attributes(OUTDATED)'!$A$2:$S$19,18,FALSE)</f>
        <v>1</v>
      </c>
    </row>
    <row r="24" spans="1:40" ht="28" x14ac:dyDescent="0.15">
      <c r="A24" s="3">
        <v>57</v>
      </c>
      <c r="B24" s="6">
        <v>2502230959</v>
      </c>
      <c r="C24" s="7">
        <v>25</v>
      </c>
      <c r="D24" s="7">
        <v>2</v>
      </c>
      <c r="E24" s="7">
        <v>2023</v>
      </c>
      <c r="F24" s="5">
        <v>44982</v>
      </c>
      <c r="G24" s="6" t="s">
        <v>12</v>
      </c>
      <c r="H24" s="17">
        <v>0.31184971098265896</v>
      </c>
      <c r="I24" s="20">
        <f>ROUNDUP((Table2[[#This Row],[fGCM_Conc]]*10000),0)</f>
        <v>3119</v>
      </c>
      <c r="J24" s="3" t="str">
        <f>VLOOKUP(G24,'[1]Attributes(OUTDATED)'!$A$2:$C$19,2,FALSE)</f>
        <v>M</v>
      </c>
      <c r="K24" s="3" t="str">
        <f>VLOOKUP(G24,'[1]Attributes(OUTDATED)'!$A$2:$C$19,3,FALSE)</f>
        <v>A</v>
      </c>
      <c r="L24" s="3">
        <f>VLOOKUP(G24,'[1]Attributes(OUTDATED)'!$A$2:$H$19,8,FALSE)</f>
        <v>1509</v>
      </c>
      <c r="M24" s="3" t="str">
        <f>K24&amp;J24</f>
        <v>AM</v>
      </c>
      <c r="N24" s="3" t="e">
        <f>VLOOKUP(G24,#REF!,2,FALSE)</f>
        <v>#REF!</v>
      </c>
      <c r="O24" s="11">
        <v>44980</v>
      </c>
      <c r="P24" s="13">
        <v>36.4</v>
      </c>
      <c r="Q24" s="13">
        <v>23.7</v>
      </c>
      <c r="R24" s="13">
        <v>10.7</v>
      </c>
      <c r="S24" s="13">
        <f>Table2[[#This Row],[2_Temp_H]]-Table2[[#This Row],[2_Temp_L]]</f>
        <v>25.7</v>
      </c>
      <c r="T24" s="13">
        <v>23.3</v>
      </c>
      <c r="U24" s="13">
        <v>4.3</v>
      </c>
      <c r="V24" s="13">
        <v>1013.88</v>
      </c>
      <c r="W24" s="13">
        <v>1007.79</v>
      </c>
      <c r="X24" s="13">
        <v>0</v>
      </c>
      <c r="Y24" s="13" t="s">
        <v>147</v>
      </c>
      <c r="Z24" s="16" t="s">
        <v>171</v>
      </c>
      <c r="AA24" s="13" t="s">
        <v>137</v>
      </c>
      <c r="AB24" s="13" t="s">
        <v>142</v>
      </c>
      <c r="AC24" s="13" t="s">
        <v>145</v>
      </c>
      <c r="AD24" s="13" t="s">
        <v>137</v>
      </c>
      <c r="AE24" s="13">
        <f>VLOOKUP(Table2[[#This Row],[3_Elephant_ID]],'[1]Attributes(OUTDATED)'!$A$2:$N$19,12,FALSE)</f>
        <v>450</v>
      </c>
      <c r="AF24" s="13">
        <f>VLOOKUP(Table2[[#This Row],[3_Elephant_ID]],'[1]Attributes(OUTDATED)'!$A$2:$N$19,13,FALSE)</f>
        <v>0.375</v>
      </c>
      <c r="AG24" s="13">
        <f>VLOOKUP(Table2[[#This Row],[3_Elephant_ID]],'[1]Attributes(OUTDATED)'!$A$2:$N$19,14,FALSE)</f>
        <v>0.37414375430996583</v>
      </c>
      <c r="AH24" s="13">
        <v>0</v>
      </c>
      <c r="AI24" s="13">
        <v>0</v>
      </c>
      <c r="AJ24" s="13">
        <v>0</v>
      </c>
      <c r="AK24" s="13">
        <v>0</v>
      </c>
      <c r="AL24" s="13">
        <f>VLOOKUP(Table2[[#This Row],[3_Elephant_ID]],'[1]Attributes(OUTDATED)'!$A$2:$P$19,16,FALSE)</f>
        <v>1</v>
      </c>
      <c r="AM24" s="13">
        <f>VLOOKUP(Table2[[#This Row],[3_Elephant_ID]],'[1]Attributes(OUTDATED)'!$A$2:$S$19,17,FALSE)</f>
        <v>48</v>
      </c>
      <c r="AN24" s="13">
        <f>VLOOKUP(Table2[[#This Row],[3_Elephant_ID]],'[1]Attributes(OUTDATED)'!$A$2:$S$19,18,FALSE)</f>
        <v>3</v>
      </c>
    </row>
    <row r="25" spans="1:40" ht="28" x14ac:dyDescent="0.15">
      <c r="A25" s="3">
        <v>56</v>
      </c>
      <c r="B25" s="6">
        <v>2502231046</v>
      </c>
      <c r="C25" s="7">
        <v>25</v>
      </c>
      <c r="D25" s="7">
        <v>2</v>
      </c>
      <c r="E25" s="7">
        <v>2023</v>
      </c>
      <c r="F25" s="5">
        <v>44982</v>
      </c>
      <c r="G25" s="6" t="s">
        <v>2</v>
      </c>
      <c r="H25" s="17">
        <v>0.27569060773480664</v>
      </c>
      <c r="I25" s="20">
        <f>ROUNDUP((Table2[[#This Row],[fGCM_Conc]]*10000),0)</f>
        <v>2757</v>
      </c>
      <c r="J25" s="3" t="str">
        <f>VLOOKUP(G25,'[1]Attributes(OUTDATED)'!$A$2:$C$19,2,FALSE)</f>
        <v>F</v>
      </c>
      <c r="K25" s="3" t="str">
        <f>VLOOKUP(G25,'[1]Attributes(OUTDATED)'!$A$2:$C$19,3,FALSE)</f>
        <v>A</v>
      </c>
      <c r="L25" s="3">
        <f>VLOOKUP(G25,'[1]Attributes(OUTDATED)'!$A$2:$H$19,8,FALSE)</f>
        <v>892</v>
      </c>
      <c r="M25" s="3" t="str">
        <f>K25&amp;J25</f>
        <v>AF</v>
      </c>
      <c r="N25" s="3" t="e">
        <f>VLOOKUP(G25,#REF!,2,FALSE)</f>
        <v>#REF!</v>
      </c>
      <c r="O25" s="11">
        <v>44980</v>
      </c>
      <c r="P25" s="13">
        <v>36.4</v>
      </c>
      <c r="Q25" s="13">
        <v>23.7</v>
      </c>
      <c r="R25" s="13">
        <v>10.7</v>
      </c>
      <c r="S25" s="13">
        <f>Table2[[#This Row],[2_Temp_H]]-Table2[[#This Row],[2_Temp_L]]</f>
        <v>25.7</v>
      </c>
      <c r="T25" s="13">
        <v>23.3</v>
      </c>
      <c r="U25" s="13">
        <v>4.3</v>
      </c>
      <c r="V25" s="13">
        <v>1013.88</v>
      </c>
      <c r="W25" s="13">
        <v>1007.79</v>
      </c>
      <c r="X25" s="13">
        <v>0</v>
      </c>
      <c r="Y25" s="13" t="s">
        <v>147</v>
      </c>
      <c r="Z25" s="16" t="s">
        <v>171</v>
      </c>
      <c r="AA25" s="13" t="s">
        <v>137</v>
      </c>
      <c r="AB25" s="13" t="s">
        <v>142</v>
      </c>
      <c r="AC25" s="13" t="s">
        <v>145</v>
      </c>
      <c r="AD25" s="13" t="s">
        <v>137</v>
      </c>
      <c r="AE25" s="13">
        <f>VLOOKUP(Table2[[#This Row],[3_Elephant_ID]],'[1]Attributes(OUTDATED)'!$A$2:$N$19,12,FALSE)</f>
        <v>378</v>
      </c>
      <c r="AF25" s="13">
        <f>VLOOKUP(Table2[[#This Row],[3_Elephant_ID]],'[1]Attributes(OUTDATED)'!$A$2:$N$19,13,FALSE)</f>
        <v>8.6999999999999994E-2</v>
      </c>
      <c r="AG25" s="13">
        <f>VLOOKUP(Table2[[#This Row],[3_Elephant_ID]],'[1]Attributes(OUTDATED)'!$A$2:$N$19,14,FALSE)</f>
        <v>8.6599138783086713E-2</v>
      </c>
      <c r="AH25" s="13">
        <v>0</v>
      </c>
      <c r="AI25" s="13">
        <v>0</v>
      </c>
      <c r="AJ25" s="13">
        <v>0</v>
      </c>
      <c r="AK25" s="13">
        <v>0</v>
      </c>
      <c r="AL25" s="13">
        <f>VLOOKUP(Table2[[#This Row],[3_Elephant_ID]],'[1]Attributes(OUTDATED)'!$A$2:$P$19,16,FALSE)</f>
        <v>1</v>
      </c>
      <c r="AM25" s="13">
        <f>VLOOKUP(Table2[[#This Row],[3_Elephant_ID]],'[1]Attributes(OUTDATED)'!$A$2:$S$19,17,FALSE)</f>
        <v>4</v>
      </c>
      <c r="AN25" s="13">
        <f>VLOOKUP(Table2[[#This Row],[3_Elephant_ID]],'[1]Attributes(OUTDATED)'!$A$2:$S$19,18,FALSE)</f>
        <v>20</v>
      </c>
    </row>
    <row r="26" spans="1:40" ht="28" x14ac:dyDescent="0.15">
      <c r="A26" s="3">
        <v>53</v>
      </c>
      <c r="B26" s="6">
        <v>2602231016</v>
      </c>
      <c r="C26" s="7">
        <v>26</v>
      </c>
      <c r="D26" s="7">
        <v>2</v>
      </c>
      <c r="E26" s="7">
        <v>2023</v>
      </c>
      <c r="F26" s="5">
        <v>44983</v>
      </c>
      <c r="G26" s="6" t="s">
        <v>13</v>
      </c>
      <c r="H26" s="17">
        <v>0.52618042226487527</v>
      </c>
      <c r="I26" s="20">
        <f>ROUNDUP((Table2[[#This Row],[fGCM_Conc]]*10000),0)</f>
        <v>5262</v>
      </c>
      <c r="J26" s="3" t="str">
        <f>VLOOKUP(G26,'[1]Attributes(OUTDATED)'!$A$2:$C$19,2,FALSE)</f>
        <v>F</v>
      </c>
      <c r="K26" s="3" t="str">
        <f>VLOOKUP(G26,'[1]Attributes(OUTDATED)'!$A$2:$C$19,3,FALSE)</f>
        <v>A</v>
      </c>
      <c r="L26" s="3">
        <f>VLOOKUP(G26,'[1]Attributes(OUTDATED)'!$A$2:$H$19,8,FALSE)</f>
        <v>963</v>
      </c>
      <c r="M26" s="3" t="str">
        <f>K26&amp;J26</f>
        <v>AF</v>
      </c>
      <c r="N26" s="3" t="e">
        <f>VLOOKUP(G26,#REF!,2,FALSE)</f>
        <v>#REF!</v>
      </c>
      <c r="O26" s="11">
        <v>44981</v>
      </c>
      <c r="P26" s="13">
        <v>36.1</v>
      </c>
      <c r="Q26" s="13">
        <v>23.9</v>
      </c>
      <c r="R26" s="13">
        <v>13.3</v>
      </c>
      <c r="S26" s="13">
        <f>Table2[[#This Row],[2_Temp_H]]-Table2[[#This Row],[2_Temp_L]]</f>
        <v>22.8</v>
      </c>
      <c r="T26" s="13">
        <v>32</v>
      </c>
      <c r="U26" s="13">
        <v>6</v>
      </c>
      <c r="V26" s="13">
        <v>1009.82</v>
      </c>
      <c r="W26" s="13">
        <v>1005.08</v>
      </c>
      <c r="X26" s="13">
        <v>0</v>
      </c>
      <c r="Y26" s="13" t="s">
        <v>147</v>
      </c>
      <c r="Z26" s="16" t="s">
        <v>171</v>
      </c>
      <c r="AA26" s="13" t="s">
        <v>137</v>
      </c>
      <c r="AB26" s="13" t="s">
        <v>142</v>
      </c>
      <c r="AC26" s="13" t="s">
        <v>145</v>
      </c>
      <c r="AD26" s="13" t="s">
        <v>137</v>
      </c>
      <c r="AE26" s="13">
        <f>VLOOKUP(Table2[[#This Row],[3_Elephant_ID]],'[1]Attributes(OUTDATED)'!$A$2:$N$19,12,FALSE)</f>
        <v>289</v>
      </c>
      <c r="AF26" s="13">
        <f>VLOOKUP(Table2[[#This Row],[3_Elephant_ID]],'[1]Attributes(OUTDATED)'!$A$2:$N$19,13,FALSE)</f>
        <v>0.32400000000000001</v>
      </c>
      <c r="AG26" s="13">
        <f>VLOOKUP(Table2[[#This Row],[3_Elephant_ID]],'[1]Attributes(OUTDATED)'!$A$2:$N$19,14,FALSE)</f>
        <v>0.32380809109629533</v>
      </c>
      <c r="AH26" s="13">
        <v>1</v>
      </c>
      <c r="AI26" s="13">
        <v>0</v>
      </c>
      <c r="AJ26" s="13">
        <v>0</v>
      </c>
      <c r="AK26" s="13">
        <v>0</v>
      </c>
      <c r="AL26" s="13">
        <f>VLOOKUP(Table2[[#This Row],[3_Elephant_ID]],'[1]Attributes(OUTDATED)'!$A$2:$P$19,16,FALSE)</f>
        <v>2</v>
      </c>
      <c r="AM26" s="13">
        <f>VLOOKUP(Table2[[#This Row],[3_Elephant_ID]],'[1]Attributes(OUTDATED)'!$A$2:$S$19,17,FALSE)</f>
        <v>9</v>
      </c>
      <c r="AN26" s="13">
        <f>VLOOKUP(Table2[[#This Row],[3_Elephant_ID]],'[1]Attributes(OUTDATED)'!$A$2:$S$19,18,FALSE)</f>
        <v>9</v>
      </c>
    </row>
    <row r="27" spans="1:40" ht="28" x14ac:dyDescent="0.15">
      <c r="A27" s="3">
        <v>54</v>
      </c>
      <c r="B27" s="6">
        <v>2602230956</v>
      </c>
      <c r="C27" s="7">
        <v>26</v>
      </c>
      <c r="D27" s="7">
        <v>2</v>
      </c>
      <c r="E27" s="7">
        <v>2023</v>
      </c>
      <c r="F27" s="5">
        <v>44983</v>
      </c>
      <c r="G27" s="6" t="s">
        <v>9</v>
      </c>
      <c r="H27" s="17">
        <v>0.38208092485549139</v>
      </c>
      <c r="I27" s="20">
        <f>ROUNDUP((Table2[[#This Row],[fGCM_Conc]]*10000),0)</f>
        <v>3821</v>
      </c>
      <c r="J27" s="3" t="str">
        <f>VLOOKUP(G27,'[1]Attributes(OUTDATED)'!$A$2:$C$19,2,FALSE)</f>
        <v>F</v>
      </c>
      <c r="K27" s="3" t="str">
        <f>VLOOKUP(G27,'[1]Attributes(OUTDATED)'!$A$2:$C$19,3,FALSE)</f>
        <v>J</v>
      </c>
      <c r="L27" s="3">
        <f>VLOOKUP(G27,'[1]Attributes(OUTDATED)'!$A$2:$H$19,8,FALSE)</f>
        <v>820</v>
      </c>
      <c r="M27" s="3" t="str">
        <f>K27&amp;J27</f>
        <v>JF</v>
      </c>
      <c r="N27" s="3" t="e">
        <f>VLOOKUP(G27,#REF!,2,FALSE)</f>
        <v>#REF!</v>
      </c>
      <c r="O27" s="11">
        <v>44981</v>
      </c>
      <c r="P27" s="13">
        <v>36.1</v>
      </c>
      <c r="Q27" s="13">
        <v>23.9</v>
      </c>
      <c r="R27" s="13">
        <v>13.3</v>
      </c>
      <c r="S27" s="13">
        <f>Table2[[#This Row],[2_Temp_H]]-Table2[[#This Row],[2_Temp_L]]</f>
        <v>22.8</v>
      </c>
      <c r="T27" s="13">
        <v>32</v>
      </c>
      <c r="U27" s="13">
        <v>6</v>
      </c>
      <c r="V27" s="13">
        <v>1009.82</v>
      </c>
      <c r="W27" s="13">
        <v>1005.08</v>
      </c>
      <c r="X27" s="13">
        <v>0</v>
      </c>
      <c r="Y27" s="13" t="s">
        <v>147</v>
      </c>
      <c r="Z27" s="16" t="s">
        <v>171</v>
      </c>
      <c r="AA27" s="13" t="s">
        <v>137</v>
      </c>
      <c r="AB27" s="13" t="s">
        <v>142</v>
      </c>
      <c r="AC27" s="13" t="s">
        <v>145</v>
      </c>
      <c r="AD27" s="13" t="s">
        <v>137</v>
      </c>
      <c r="AE27" s="13">
        <f>VLOOKUP(Table2[[#This Row],[3_Elephant_ID]],'[1]Attributes(OUTDATED)'!$A$2:$N$19,12,FALSE)</f>
        <v>305</v>
      </c>
      <c r="AF27" s="13">
        <f>VLOOKUP(Table2[[#This Row],[3_Elephant_ID]],'[1]Attributes(OUTDATED)'!$A$2:$N$19,13,FALSE)</f>
        <v>0.17499999999999999</v>
      </c>
      <c r="AG27" s="13">
        <f>VLOOKUP(Table2[[#This Row],[3_Elephant_ID]],'[1]Attributes(OUTDATED)'!$A$2:$N$19,14,FALSE)</f>
        <v>0.17467336145108631</v>
      </c>
      <c r="AH27" s="13">
        <v>1</v>
      </c>
      <c r="AI27" s="13">
        <v>0</v>
      </c>
      <c r="AJ27" s="13">
        <v>0</v>
      </c>
      <c r="AK27" s="13">
        <v>0</v>
      </c>
      <c r="AL27" s="13">
        <f>VLOOKUP(Table2[[#This Row],[3_Elephant_ID]],'[1]Attributes(OUTDATED)'!$A$2:$P$19,16,FALSE)</f>
        <v>2</v>
      </c>
      <c r="AM27" s="13">
        <f>VLOOKUP(Table2[[#This Row],[3_Elephant_ID]],'[1]Attributes(OUTDATED)'!$A$2:$S$19,17,FALSE)</f>
        <v>0</v>
      </c>
      <c r="AN27" s="13">
        <f>VLOOKUP(Table2[[#This Row],[3_Elephant_ID]],'[1]Attributes(OUTDATED)'!$A$2:$S$19,18,FALSE)</f>
        <v>4</v>
      </c>
    </row>
    <row r="28" spans="1:40" ht="28" x14ac:dyDescent="0.15">
      <c r="A28" s="3">
        <v>52</v>
      </c>
      <c r="B28" s="6">
        <v>2702231313</v>
      </c>
      <c r="C28" s="7">
        <v>27</v>
      </c>
      <c r="D28" s="7">
        <v>2</v>
      </c>
      <c r="E28" s="7">
        <v>2023</v>
      </c>
      <c r="F28" s="5">
        <v>44984</v>
      </c>
      <c r="G28" s="6" t="s">
        <v>16</v>
      </c>
      <c r="H28" s="17">
        <v>0.340996015936255</v>
      </c>
      <c r="I28" s="20">
        <f>ROUNDUP((Table2[[#This Row],[fGCM_Conc]]*10000),0)</f>
        <v>3410</v>
      </c>
      <c r="J28" s="3" t="str">
        <f>VLOOKUP(G28,'[1]Attributes(OUTDATED)'!$A$2:$C$19,2,FALSE)</f>
        <v>F</v>
      </c>
      <c r="K28" s="3" t="str">
        <f>VLOOKUP(G28,'[1]Attributes(OUTDATED)'!$A$2:$C$19,3,FALSE)</f>
        <v>A</v>
      </c>
      <c r="L28" s="3">
        <f>VLOOKUP(G28,'[1]Attributes(OUTDATED)'!$A$2:$H$19,8,FALSE)</f>
        <v>1346</v>
      </c>
      <c r="M28" s="3" t="str">
        <f>K28&amp;J28</f>
        <v>AF</v>
      </c>
      <c r="N28" s="3" t="e">
        <f>VLOOKUP(G28,#REF!,2,FALSE)</f>
        <v>#REF!</v>
      </c>
      <c r="O28" s="11">
        <v>44982</v>
      </c>
      <c r="P28" s="13">
        <v>24.5</v>
      </c>
      <c r="Q28" s="13">
        <v>17.100000000000001</v>
      </c>
      <c r="R28" s="13">
        <v>11.3</v>
      </c>
      <c r="S28" s="13">
        <f>Table2[[#This Row],[2_Temp_H]]-Table2[[#This Row],[2_Temp_L]]</f>
        <v>13.2</v>
      </c>
      <c r="T28" s="13">
        <v>16.100000000000001</v>
      </c>
      <c r="U28" s="13">
        <v>4</v>
      </c>
      <c r="V28" s="13">
        <v>1012.87</v>
      </c>
      <c r="W28" s="13">
        <v>1008.81</v>
      </c>
      <c r="X28" s="13">
        <v>0.25</v>
      </c>
      <c r="Y28" s="13" t="s">
        <v>147</v>
      </c>
      <c r="Z28" s="16" t="s">
        <v>171</v>
      </c>
      <c r="AA28" s="13" t="s">
        <v>137</v>
      </c>
      <c r="AB28" s="13" t="s">
        <v>142</v>
      </c>
      <c r="AC28" s="13" t="s">
        <v>145</v>
      </c>
      <c r="AD28" s="13" t="s">
        <v>137</v>
      </c>
      <c r="AE28" s="13">
        <f>VLOOKUP(Table2[[#This Row],[3_Elephant_ID]],'[1]Attributes(OUTDATED)'!$A$2:$N$19,12,FALSE)</f>
        <v>474</v>
      </c>
      <c r="AF28" s="13">
        <f>VLOOKUP(Table2[[#This Row],[3_Elephant_ID]],'[1]Attributes(OUTDATED)'!$A$2:$N$19,13,FALSE)</f>
        <v>0.121</v>
      </c>
      <c r="AG28" s="13">
        <f>VLOOKUP(Table2[[#This Row],[3_Elephant_ID]],'[1]Attributes(OUTDATED)'!$A$2:$N$19,14,FALSE)</f>
        <v>0.1206993463154281</v>
      </c>
      <c r="AH28" s="13">
        <v>3</v>
      </c>
      <c r="AI28" s="13">
        <v>0</v>
      </c>
      <c r="AJ28" s="13">
        <v>0</v>
      </c>
      <c r="AK28" s="13">
        <v>0</v>
      </c>
      <c r="AL28" s="13">
        <f>VLOOKUP(Table2[[#This Row],[3_Elephant_ID]],'[1]Attributes(OUTDATED)'!$A$2:$P$19,16,FALSE)</f>
        <v>1</v>
      </c>
      <c r="AM28" s="13">
        <f>VLOOKUP(Table2[[#This Row],[3_Elephant_ID]],'[1]Attributes(OUTDATED)'!$A$2:$S$19,17,FALSE)</f>
        <v>16</v>
      </c>
      <c r="AN28" s="13">
        <f>VLOOKUP(Table2[[#This Row],[3_Elephant_ID]],'[1]Attributes(OUTDATED)'!$A$2:$S$19,18,FALSE)</f>
        <v>1</v>
      </c>
    </row>
    <row r="29" spans="1:40" ht="28" x14ac:dyDescent="0.15">
      <c r="A29" s="3">
        <v>51</v>
      </c>
      <c r="B29" s="6">
        <v>2702231314</v>
      </c>
      <c r="C29" s="7">
        <v>27</v>
      </c>
      <c r="D29" s="7">
        <v>2</v>
      </c>
      <c r="E29" s="7">
        <v>2023</v>
      </c>
      <c r="F29" s="5">
        <v>44984</v>
      </c>
      <c r="G29" s="6" t="s">
        <v>8</v>
      </c>
      <c r="H29" s="17">
        <v>0.31161849710982659</v>
      </c>
      <c r="I29" s="20">
        <f>ROUNDUP((Table2[[#This Row],[fGCM_Conc]]*10000),0)</f>
        <v>3117</v>
      </c>
      <c r="J29" s="3" t="str">
        <f>VLOOKUP(G29,'[1]Attributes(OUTDATED)'!$A$2:$C$19,2,FALSE)</f>
        <v>F</v>
      </c>
      <c r="K29" s="3" t="str">
        <f>VLOOKUP(G29,'[1]Attributes(OUTDATED)'!$A$2:$C$19,3,FALSE)</f>
        <v>A</v>
      </c>
      <c r="L29" s="3">
        <f>VLOOKUP(G29,'[1]Attributes(OUTDATED)'!$A$2:$H$19,8,FALSE)</f>
        <v>1096</v>
      </c>
      <c r="M29" s="3" t="str">
        <f>K29&amp;J29</f>
        <v>AF</v>
      </c>
      <c r="N29" s="3" t="e">
        <f>VLOOKUP(G29,#REF!,2,FALSE)</f>
        <v>#REF!</v>
      </c>
      <c r="O29" s="11">
        <v>44982</v>
      </c>
      <c r="P29" s="13">
        <v>24.5</v>
      </c>
      <c r="Q29" s="13">
        <v>17.100000000000001</v>
      </c>
      <c r="R29" s="13">
        <v>11.3</v>
      </c>
      <c r="S29" s="13">
        <f>Table2[[#This Row],[2_Temp_H]]-Table2[[#This Row],[2_Temp_L]]</f>
        <v>13.2</v>
      </c>
      <c r="T29" s="13">
        <v>16.100000000000001</v>
      </c>
      <c r="U29" s="13">
        <v>4</v>
      </c>
      <c r="V29" s="13">
        <v>1012.87</v>
      </c>
      <c r="W29" s="13">
        <v>1008.81</v>
      </c>
      <c r="X29" s="13">
        <v>0.25</v>
      </c>
      <c r="Y29" s="13" t="s">
        <v>147</v>
      </c>
      <c r="Z29" s="16" t="s">
        <v>171</v>
      </c>
      <c r="AA29" s="13" t="s">
        <v>137</v>
      </c>
      <c r="AB29" s="13" t="s">
        <v>142</v>
      </c>
      <c r="AC29" s="13" t="s">
        <v>145</v>
      </c>
      <c r="AD29" s="13" t="s">
        <v>137</v>
      </c>
      <c r="AE29" s="13">
        <f>VLOOKUP(Table2[[#This Row],[3_Elephant_ID]],'[1]Attributes(OUTDATED)'!$A$2:$N$19,12,FALSE)</f>
        <v>346</v>
      </c>
      <c r="AF29" s="13">
        <f>VLOOKUP(Table2[[#This Row],[3_Elephant_ID]],'[1]Attributes(OUTDATED)'!$A$2:$N$19,13,FALSE)</f>
        <v>0.28999999999999998</v>
      </c>
      <c r="AG29" s="13">
        <f>VLOOKUP(Table2[[#This Row],[3_Elephant_ID]],'[1]Attributes(OUTDATED)'!$A$2:$N$19,14,FALSE)</f>
        <v>0.28929989906834258</v>
      </c>
      <c r="AH29" s="13">
        <v>3</v>
      </c>
      <c r="AI29" s="13">
        <v>0</v>
      </c>
      <c r="AJ29" s="13">
        <v>1</v>
      </c>
      <c r="AK29" s="13">
        <v>1</v>
      </c>
      <c r="AL29" s="13">
        <f>VLOOKUP(Table2[[#This Row],[3_Elephant_ID]],'[1]Attributes(OUTDATED)'!$A$2:$P$19,16,FALSE)</f>
        <v>1</v>
      </c>
      <c r="AM29" s="13">
        <f>VLOOKUP(Table2[[#This Row],[3_Elephant_ID]],'[1]Attributes(OUTDATED)'!$A$2:$S$19,17,FALSE)</f>
        <v>11</v>
      </c>
      <c r="AN29" s="13">
        <f>VLOOKUP(Table2[[#This Row],[3_Elephant_ID]],'[1]Attributes(OUTDATED)'!$A$2:$S$19,18,FALSE)</f>
        <v>7</v>
      </c>
    </row>
    <row r="30" spans="1:40" ht="28" x14ac:dyDescent="0.15">
      <c r="A30" s="3">
        <v>50</v>
      </c>
      <c r="B30" s="6" t="s">
        <v>19</v>
      </c>
      <c r="C30" s="7">
        <v>2</v>
      </c>
      <c r="D30" s="7">
        <v>3</v>
      </c>
      <c r="E30" s="7">
        <v>2023</v>
      </c>
      <c r="F30" s="5">
        <v>44987</v>
      </c>
      <c r="G30" s="6" t="s">
        <v>17</v>
      </c>
      <c r="H30" s="17">
        <v>0.21968688845401174</v>
      </c>
      <c r="I30" s="20">
        <f>ROUNDUP((Table2[[#This Row],[fGCM_Conc]]*10000),0)</f>
        <v>2197</v>
      </c>
      <c r="J30" s="3" t="str">
        <f>VLOOKUP(G30,'[1]Attributes(OUTDATED)'!$A$2:$C$19,2,FALSE)</f>
        <v>M</v>
      </c>
      <c r="K30" s="3" t="str">
        <f>VLOOKUP(G30,'[1]Attributes(OUTDATED)'!$A$2:$C$19,3,FALSE)</f>
        <v>J</v>
      </c>
      <c r="L30" s="3">
        <f>VLOOKUP(G30,'[1]Attributes(OUTDATED)'!$A$2:$H$19,8,FALSE)</f>
        <v>699</v>
      </c>
      <c r="M30" s="3" t="str">
        <f>K30&amp;J30</f>
        <v>JM</v>
      </c>
      <c r="N30" s="3" t="e">
        <f>VLOOKUP(G30,#REF!,2,FALSE)</f>
        <v>#REF!</v>
      </c>
      <c r="O30" s="11">
        <v>44985</v>
      </c>
      <c r="P30" s="13">
        <v>31</v>
      </c>
      <c r="Q30" s="13">
        <v>20.5</v>
      </c>
      <c r="R30" s="13">
        <v>10.4</v>
      </c>
      <c r="S30" s="13">
        <f>Table2[[#This Row],[2_Temp_H]]-Table2[[#This Row],[2_Temp_L]]</f>
        <v>20.6</v>
      </c>
      <c r="T30" s="13">
        <v>21.1</v>
      </c>
      <c r="U30" s="13">
        <v>4.0999999999999996</v>
      </c>
      <c r="V30" s="13">
        <v>1012.87</v>
      </c>
      <c r="W30" s="13">
        <v>1007.79</v>
      </c>
      <c r="X30" s="13">
        <v>0</v>
      </c>
      <c r="Y30" s="13" t="s">
        <v>147</v>
      </c>
      <c r="Z30" s="16" t="s">
        <v>171</v>
      </c>
      <c r="AA30" s="13" t="s">
        <v>137</v>
      </c>
      <c r="AB30" s="13" t="s">
        <v>142</v>
      </c>
      <c r="AC30" s="13" t="s">
        <v>145</v>
      </c>
      <c r="AD30" s="13" t="s">
        <v>137</v>
      </c>
      <c r="AE30" s="13">
        <f>VLOOKUP(Table2[[#This Row],[3_Elephant_ID]],'[1]Attributes(OUTDATED)'!$A$2:$N$19,12,FALSE)</f>
        <v>343</v>
      </c>
      <c r="AF30" s="13">
        <f>VLOOKUP(Table2[[#This Row],[3_Elephant_ID]],'[1]Attributes(OUTDATED)'!$A$2:$N$19,13,FALSE)</f>
        <v>0.81</v>
      </c>
      <c r="AG30" s="13">
        <f>VLOOKUP(Table2[[#This Row],[3_Elephant_ID]],'[1]Attributes(OUTDATED)'!$A$2:$N$19,14,FALSE)</f>
        <v>0.80966774571167055</v>
      </c>
      <c r="AH30" s="13">
        <v>0</v>
      </c>
      <c r="AI30" s="13">
        <v>0</v>
      </c>
      <c r="AJ30" s="13">
        <v>0</v>
      </c>
      <c r="AK30" s="13">
        <v>0</v>
      </c>
      <c r="AL30" s="13">
        <f>VLOOKUP(Table2[[#This Row],[3_Elephant_ID]],'[1]Attributes(OUTDATED)'!$A$2:$P$19,16,FALSE)</f>
        <v>1</v>
      </c>
      <c r="AM30" s="13">
        <f>VLOOKUP(Table2[[#This Row],[3_Elephant_ID]],'[1]Attributes(OUTDATED)'!$A$2:$S$19,17,FALSE)</f>
        <v>0</v>
      </c>
      <c r="AN30" s="13">
        <f>VLOOKUP(Table2[[#This Row],[3_Elephant_ID]],'[1]Attributes(OUTDATED)'!$A$2:$S$19,18,FALSE)</f>
        <v>8</v>
      </c>
    </row>
    <row r="31" spans="1:40" ht="28" x14ac:dyDescent="0.15">
      <c r="A31" s="3">
        <v>47</v>
      </c>
      <c r="B31" s="6">
        <v>1003231204</v>
      </c>
      <c r="C31" s="7">
        <v>10</v>
      </c>
      <c r="D31" s="7">
        <v>3</v>
      </c>
      <c r="E31" s="7">
        <v>2023</v>
      </c>
      <c r="F31" s="5">
        <v>44995</v>
      </c>
      <c r="G31" s="6" t="s">
        <v>8</v>
      </c>
      <c r="H31" s="17">
        <v>0.35592452830188681</v>
      </c>
      <c r="I31" s="20">
        <f>ROUNDUP((Table2[[#This Row],[fGCM_Conc]]*10000),0)</f>
        <v>3560</v>
      </c>
      <c r="J31" s="3" t="str">
        <f>VLOOKUP(G31,'[1]Attributes(OUTDATED)'!$A$2:$C$19,2,FALSE)</f>
        <v>F</v>
      </c>
      <c r="K31" s="3" t="str">
        <f>VLOOKUP(G31,'[1]Attributes(OUTDATED)'!$A$2:$C$19,3,FALSE)</f>
        <v>A</v>
      </c>
      <c r="L31" s="3">
        <f>VLOOKUP(G31,'[1]Attributes(OUTDATED)'!$A$2:$H$19,8,FALSE)</f>
        <v>1096</v>
      </c>
      <c r="M31" s="3" t="str">
        <f>K31&amp;J31</f>
        <v>AF</v>
      </c>
      <c r="N31" s="3" t="e">
        <f>VLOOKUP(G31,#REF!,2,FALSE)</f>
        <v>#REF!</v>
      </c>
      <c r="O31" s="11">
        <v>44993</v>
      </c>
      <c r="P31" s="13">
        <v>30.3</v>
      </c>
      <c r="Q31" s="13">
        <v>20.5</v>
      </c>
      <c r="R31" s="13">
        <v>14.3</v>
      </c>
      <c r="S31" s="13">
        <f>Table2[[#This Row],[2_Temp_H]]-Table2[[#This Row],[2_Temp_L]]</f>
        <v>16</v>
      </c>
      <c r="T31" s="13">
        <v>28.5</v>
      </c>
      <c r="U31" s="13">
        <v>5.9</v>
      </c>
      <c r="V31" s="13">
        <v>1013.75</v>
      </c>
      <c r="W31" s="13">
        <v>1008.88</v>
      </c>
      <c r="X31" s="13">
        <v>0</v>
      </c>
      <c r="Y31" s="13" t="s">
        <v>147</v>
      </c>
      <c r="Z31" s="16" t="s">
        <v>171</v>
      </c>
      <c r="AA31" s="13" t="s">
        <v>137</v>
      </c>
      <c r="AB31" s="13" t="s">
        <v>142</v>
      </c>
      <c r="AC31" s="13" t="s">
        <v>145</v>
      </c>
      <c r="AD31" s="13" t="s">
        <v>137</v>
      </c>
      <c r="AE31" s="13">
        <f>VLOOKUP(Table2[[#This Row],[3_Elephant_ID]],'[1]Attributes(OUTDATED)'!$A$2:$N$19,12,FALSE)</f>
        <v>346</v>
      </c>
      <c r="AF31" s="13">
        <f>VLOOKUP(Table2[[#This Row],[3_Elephant_ID]],'[1]Attributes(OUTDATED)'!$A$2:$N$19,13,FALSE)</f>
        <v>0.28999999999999998</v>
      </c>
      <c r="AG31" s="13">
        <f>VLOOKUP(Table2[[#This Row],[3_Elephant_ID]],'[1]Attributes(OUTDATED)'!$A$2:$N$19,14,FALSE)</f>
        <v>0.28929989906834258</v>
      </c>
      <c r="AH31" s="13">
        <v>0</v>
      </c>
      <c r="AI31" s="13">
        <v>0</v>
      </c>
      <c r="AJ31" s="13">
        <v>0</v>
      </c>
      <c r="AK31" s="13">
        <v>0</v>
      </c>
      <c r="AL31" s="13">
        <f>VLOOKUP(Table2[[#This Row],[3_Elephant_ID]],'[1]Attributes(OUTDATED)'!$A$2:$P$19,16,FALSE)</f>
        <v>1</v>
      </c>
      <c r="AM31" s="13">
        <f>VLOOKUP(Table2[[#This Row],[3_Elephant_ID]],'[1]Attributes(OUTDATED)'!$A$2:$S$19,17,FALSE)</f>
        <v>11</v>
      </c>
      <c r="AN31" s="13">
        <f>VLOOKUP(Table2[[#This Row],[3_Elephant_ID]],'[1]Attributes(OUTDATED)'!$A$2:$S$19,18,FALSE)</f>
        <v>7</v>
      </c>
    </row>
    <row r="32" spans="1:40" ht="28" x14ac:dyDescent="0.15">
      <c r="A32" s="3">
        <v>48</v>
      </c>
      <c r="B32" s="6">
        <v>1003231148</v>
      </c>
      <c r="C32" s="7">
        <v>10</v>
      </c>
      <c r="D32" s="7">
        <v>3</v>
      </c>
      <c r="E32" s="7">
        <v>2023</v>
      </c>
      <c r="F32" s="5">
        <v>44995</v>
      </c>
      <c r="G32" s="6" t="s">
        <v>9</v>
      </c>
      <c r="H32" s="17">
        <v>0.33080152671755714</v>
      </c>
      <c r="I32" s="20">
        <f>ROUNDUP((Table2[[#This Row],[fGCM_Conc]]*10000),0)</f>
        <v>3309</v>
      </c>
      <c r="J32" s="3" t="str">
        <f>VLOOKUP(G32,'[1]Attributes(OUTDATED)'!$A$2:$C$19,2,FALSE)</f>
        <v>F</v>
      </c>
      <c r="K32" s="3" t="str">
        <f>VLOOKUP(G32,'[1]Attributes(OUTDATED)'!$A$2:$C$19,3,FALSE)</f>
        <v>J</v>
      </c>
      <c r="L32" s="3">
        <f>VLOOKUP(G32,'[1]Attributes(OUTDATED)'!$A$2:$H$19,8,FALSE)</f>
        <v>820</v>
      </c>
      <c r="M32" s="3" t="str">
        <f>K32&amp;J32</f>
        <v>JF</v>
      </c>
      <c r="N32" s="3" t="e">
        <f>VLOOKUP(G32,#REF!,2,FALSE)</f>
        <v>#REF!</v>
      </c>
      <c r="O32" s="11">
        <v>44993</v>
      </c>
      <c r="P32" s="13">
        <v>30.3</v>
      </c>
      <c r="Q32" s="13">
        <v>20.5</v>
      </c>
      <c r="R32" s="13">
        <v>14.3</v>
      </c>
      <c r="S32" s="13">
        <f>Table2[[#This Row],[2_Temp_H]]-Table2[[#This Row],[2_Temp_L]]</f>
        <v>16</v>
      </c>
      <c r="T32" s="13">
        <v>28.5</v>
      </c>
      <c r="U32" s="13">
        <v>5.9</v>
      </c>
      <c r="V32" s="13">
        <v>1013.75</v>
      </c>
      <c r="W32" s="13">
        <v>1008.88</v>
      </c>
      <c r="X32" s="13">
        <v>0</v>
      </c>
      <c r="Y32" s="13" t="s">
        <v>147</v>
      </c>
      <c r="Z32" s="16" t="s">
        <v>171</v>
      </c>
      <c r="AA32" s="13" t="s">
        <v>137</v>
      </c>
      <c r="AB32" s="13" t="s">
        <v>142</v>
      </c>
      <c r="AC32" s="13" t="s">
        <v>145</v>
      </c>
      <c r="AD32" s="13" t="s">
        <v>137</v>
      </c>
      <c r="AE32" s="13">
        <f>VLOOKUP(Table2[[#This Row],[3_Elephant_ID]],'[1]Attributes(OUTDATED)'!$A$2:$N$19,12,FALSE)</f>
        <v>305</v>
      </c>
      <c r="AF32" s="13">
        <f>VLOOKUP(Table2[[#This Row],[3_Elephant_ID]],'[1]Attributes(OUTDATED)'!$A$2:$N$19,13,FALSE)</f>
        <v>0.17499999999999999</v>
      </c>
      <c r="AG32" s="13">
        <f>VLOOKUP(Table2[[#This Row],[3_Elephant_ID]],'[1]Attributes(OUTDATED)'!$A$2:$N$19,14,FALSE)</f>
        <v>0.17467336145108631</v>
      </c>
      <c r="AH32" s="13">
        <v>0</v>
      </c>
      <c r="AI32" s="13">
        <v>0</v>
      </c>
      <c r="AJ32" s="13">
        <v>0</v>
      </c>
      <c r="AK32" s="13">
        <v>0</v>
      </c>
      <c r="AL32" s="13">
        <f>VLOOKUP(Table2[[#This Row],[3_Elephant_ID]],'[1]Attributes(OUTDATED)'!$A$2:$P$19,16,FALSE)</f>
        <v>2</v>
      </c>
      <c r="AM32" s="13">
        <f>VLOOKUP(Table2[[#This Row],[3_Elephant_ID]],'[1]Attributes(OUTDATED)'!$A$2:$S$19,17,FALSE)</f>
        <v>0</v>
      </c>
      <c r="AN32" s="13">
        <f>VLOOKUP(Table2[[#This Row],[3_Elephant_ID]],'[1]Attributes(OUTDATED)'!$A$2:$S$19,18,FALSE)</f>
        <v>4</v>
      </c>
    </row>
    <row r="33" spans="1:40" ht="28" x14ac:dyDescent="0.15">
      <c r="A33" s="3">
        <v>49</v>
      </c>
      <c r="B33" s="6">
        <v>1003231140</v>
      </c>
      <c r="C33" s="7">
        <v>10</v>
      </c>
      <c r="D33" s="7">
        <v>3</v>
      </c>
      <c r="E33" s="7">
        <v>2023</v>
      </c>
      <c r="F33" s="5">
        <v>44995</v>
      </c>
      <c r="G33" s="6" t="s">
        <v>15</v>
      </c>
      <c r="H33" s="17">
        <v>0.30034220532319389</v>
      </c>
      <c r="I33" s="20">
        <f>ROUNDUP((Table2[[#This Row],[fGCM_Conc]]*10000),0)</f>
        <v>3004</v>
      </c>
      <c r="J33" s="3" t="str">
        <f>VLOOKUP(G33,'[1]Attributes(OUTDATED)'!$A$2:$C$19,2,FALSE)</f>
        <v>M</v>
      </c>
      <c r="K33" s="3" t="str">
        <f>VLOOKUP(G33,'[1]Attributes(OUTDATED)'!$A$2:$C$19,3,FALSE)</f>
        <v>J</v>
      </c>
      <c r="L33" s="3">
        <f>VLOOKUP(G33,'[1]Attributes(OUTDATED)'!$A$2:$H$19,8,FALSE)</f>
        <v>828</v>
      </c>
      <c r="M33" s="3" t="str">
        <f>K33&amp;J33</f>
        <v>JM</v>
      </c>
      <c r="N33" s="3" t="e">
        <f>VLOOKUP(G33,#REF!,2,FALSE)</f>
        <v>#REF!</v>
      </c>
      <c r="O33" s="11">
        <v>44993</v>
      </c>
      <c r="P33" s="13">
        <v>30.3</v>
      </c>
      <c r="Q33" s="13">
        <v>20.5</v>
      </c>
      <c r="R33" s="13">
        <v>14.3</v>
      </c>
      <c r="S33" s="13">
        <f>Table2[[#This Row],[2_Temp_H]]-Table2[[#This Row],[2_Temp_L]]</f>
        <v>16</v>
      </c>
      <c r="T33" s="13">
        <v>28.5</v>
      </c>
      <c r="U33" s="13">
        <v>5.9</v>
      </c>
      <c r="V33" s="13">
        <v>1013.75</v>
      </c>
      <c r="W33" s="13">
        <v>1008.88</v>
      </c>
      <c r="X33" s="13">
        <v>0</v>
      </c>
      <c r="Y33" s="13" t="s">
        <v>147</v>
      </c>
      <c r="Z33" s="16" t="s">
        <v>171</v>
      </c>
      <c r="AA33" s="13" t="s">
        <v>137</v>
      </c>
      <c r="AB33" s="13" t="s">
        <v>142</v>
      </c>
      <c r="AC33" s="13" t="s">
        <v>145</v>
      </c>
      <c r="AD33" s="13" t="s">
        <v>137</v>
      </c>
      <c r="AE33" s="13">
        <f>VLOOKUP(Table2[[#This Row],[3_Elephant_ID]],'[1]Attributes(OUTDATED)'!$A$2:$N$19,12,FALSE)</f>
        <v>219</v>
      </c>
      <c r="AF33" s="13">
        <f>VLOOKUP(Table2[[#This Row],[3_Elephant_ID]],'[1]Attributes(OUTDATED)'!$A$2:$N$19,13,FALSE)</f>
        <v>0.32300000000000001</v>
      </c>
      <c r="AG33" s="13">
        <f>VLOOKUP(Table2[[#This Row],[3_Elephant_ID]],'[1]Attributes(OUTDATED)'!$A$2:$N$19,14,FALSE)</f>
        <v>0.32257531484312868</v>
      </c>
      <c r="AH33" s="13">
        <v>0</v>
      </c>
      <c r="AI33" s="13">
        <v>0</v>
      </c>
      <c r="AJ33" s="13">
        <v>0</v>
      </c>
      <c r="AK33" s="13">
        <v>0</v>
      </c>
      <c r="AL33" s="13">
        <f>VLOOKUP(Table2[[#This Row],[3_Elephant_ID]],'[1]Attributes(OUTDATED)'!$A$2:$P$19,16,FALSE)</f>
        <v>2</v>
      </c>
      <c r="AM33" s="13">
        <f>VLOOKUP(Table2[[#This Row],[3_Elephant_ID]],'[1]Attributes(OUTDATED)'!$A$2:$S$19,17,FALSE)</f>
        <v>1</v>
      </c>
      <c r="AN33" s="13">
        <f>VLOOKUP(Table2[[#This Row],[3_Elephant_ID]],'[1]Attributes(OUTDATED)'!$A$2:$S$19,18,FALSE)</f>
        <v>6</v>
      </c>
    </row>
    <row r="34" spans="1:40" ht="28" x14ac:dyDescent="0.15">
      <c r="A34" s="3">
        <v>45</v>
      </c>
      <c r="B34" s="6">
        <v>1003231155</v>
      </c>
      <c r="C34" s="7">
        <v>10</v>
      </c>
      <c r="D34" s="7">
        <v>3</v>
      </c>
      <c r="E34" s="7">
        <v>2023</v>
      </c>
      <c r="F34" s="5">
        <v>44995</v>
      </c>
      <c r="G34" s="6" t="s">
        <v>5</v>
      </c>
      <c r="H34" s="17">
        <v>0.29360000000000003</v>
      </c>
      <c r="I34" s="20">
        <f>ROUNDUP((Table2[[#This Row],[fGCM_Conc]]*10000),0)</f>
        <v>2936</v>
      </c>
      <c r="J34" s="3" t="str">
        <f>VLOOKUP(G34,'[1]Attributes(OUTDATED)'!$A$2:$C$19,2,FALSE)</f>
        <v>M</v>
      </c>
      <c r="K34" s="3" t="str">
        <f>VLOOKUP(G34,'[1]Attributes(OUTDATED)'!$A$2:$C$19,3,FALSE)</f>
        <v>J</v>
      </c>
      <c r="L34" s="3">
        <f>VLOOKUP(G34,'[1]Attributes(OUTDATED)'!$A$2:$H$19,8,FALSE)</f>
        <v>940</v>
      </c>
      <c r="M34" s="3" t="str">
        <f>K34&amp;J34</f>
        <v>JM</v>
      </c>
      <c r="N34" s="3" t="e">
        <f>VLOOKUP(G34,#REF!,2,FALSE)</f>
        <v>#REF!</v>
      </c>
      <c r="O34" s="11">
        <v>44993</v>
      </c>
      <c r="P34" s="13">
        <v>30.3</v>
      </c>
      <c r="Q34" s="13">
        <v>20.5</v>
      </c>
      <c r="R34" s="13">
        <v>14.3</v>
      </c>
      <c r="S34" s="13">
        <f>Table2[[#This Row],[2_Temp_H]]-Table2[[#This Row],[2_Temp_L]]</f>
        <v>16</v>
      </c>
      <c r="T34" s="13">
        <v>28.5</v>
      </c>
      <c r="U34" s="13">
        <v>5.9</v>
      </c>
      <c r="V34" s="13">
        <v>1013.75</v>
      </c>
      <c r="W34" s="13">
        <v>1008.88</v>
      </c>
      <c r="X34" s="13">
        <v>0</v>
      </c>
      <c r="Y34" s="13" t="s">
        <v>147</v>
      </c>
      <c r="Z34" s="16" t="s">
        <v>171</v>
      </c>
      <c r="AA34" s="13" t="s">
        <v>137</v>
      </c>
      <c r="AB34" s="13" t="s">
        <v>142</v>
      </c>
      <c r="AC34" s="13" t="s">
        <v>145</v>
      </c>
      <c r="AD34" s="13" t="s">
        <v>137</v>
      </c>
      <c r="AE34" s="13">
        <f>VLOOKUP(Table2[[#This Row],[3_Elephant_ID]],'[1]Attributes(OUTDATED)'!$A$2:$N$19,12,FALSE)</f>
        <v>361</v>
      </c>
      <c r="AF34" s="13">
        <f>VLOOKUP(Table2[[#This Row],[3_Elephant_ID]],'[1]Attributes(OUTDATED)'!$A$2:$N$19,13,FALSE)</f>
        <v>0.40600000000000003</v>
      </c>
      <c r="AG34" s="13">
        <f>VLOOKUP(Table2[[#This Row],[3_Elephant_ID]],'[1]Attributes(OUTDATED)'!$A$2:$N$19,14,FALSE)</f>
        <v>0.40590323220736402</v>
      </c>
      <c r="AH34" s="13">
        <v>0</v>
      </c>
      <c r="AI34" s="13">
        <v>0</v>
      </c>
      <c r="AJ34" s="13">
        <v>0</v>
      </c>
      <c r="AK34" s="13">
        <v>0</v>
      </c>
      <c r="AL34" s="13">
        <f>VLOOKUP(Table2[[#This Row],[3_Elephant_ID]],'[1]Attributes(OUTDATED)'!$A$2:$P$19,16,FALSE)</f>
        <v>1</v>
      </c>
      <c r="AM34" s="13">
        <f>VLOOKUP(Table2[[#This Row],[3_Elephant_ID]],'[1]Attributes(OUTDATED)'!$A$2:$S$19,17,FALSE)</f>
        <v>2</v>
      </c>
      <c r="AN34" s="13">
        <f>VLOOKUP(Table2[[#This Row],[3_Elephant_ID]],'[1]Attributes(OUTDATED)'!$A$2:$S$19,18,FALSE)</f>
        <v>7</v>
      </c>
    </row>
    <row r="35" spans="1:40" ht="28" x14ac:dyDescent="0.15">
      <c r="A35" s="3">
        <v>46</v>
      </c>
      <c r="B35" s="6">
        <v>1003231201</v>
      </c>
      <c r="C35" s="7">
        <v>10</v>
      </c>
      <c r="D35" s="7">
        <v>3</v>
      </c>
      <c r="E35" s="7">
        <v>2023</v>
      </c>
      <c r="F35" s="5">
        <v>44995</v>
      </c>
      <c r="G35" s="6" t="s">
        <v>3</v>
      </c>
      <c r="H35" s="17">
        <v>0.20650095602294455</v>
      </c>
      <c r="I35" s="20">
        <f>ROUNDUP((Table2[[#This Row],[fGCM_Conc]]*10000),0)</f>
        <v>2066</v>
      </c>
      <c r="J35" s="3" t="str">
        <f>VLOOKUP(G35,'[1]Attributes(OUTDATED)'!$A$2:$C$19,2,FALSE)</f>
        <v>M</v>
      </c>
      <c r="K35" s="3" t="str">
        <f>VLOOKUP(G35,'[1]Attributes(OUTDATED)'!$A$2:$C$19,3,FALSE)</f>
        <v>J</v>
      </c>
      <c r="L35" s="3">
        <f>VLOOKUP(G35,'[1]Attributes(OUTDATED)'!$A$2:$H$19,8,FALSE)</f>
        <v>1031</v>
      </c>
      <c r="M35" s="3" t="str">
        <f>K35&amp;J35</f>
        <v>JM</v>
      </c>
      <c r="N35" s="3" t="e">
        <f>VLOOKUP(G35,#REF!,2,FALSE)</f>
        <v>#REF!</v>
      </c>
      <c r="O35" s="11">
        <v>44993</v>
      </c>
      <c r="P35" s="13">
        <v>30.3</v>
      </c>
      <c r="Q35" s="13">
        <v>20.5</v>
      </c>
      <c r="R35" s="13">
        <v>14.3</v>
      </c>
      <c r="S35" s="13">
        <f>Table2[[#This Row],[2_Temp_H]]-Table2[[#This Row],[2_Temp_L]]</f>
        <v>16</v>
      </c>
      <c r="T35" s="13">
        <v>28.5</v>
      </c>
      <c r="U35" s="13">
        <v>5.9</v>
      </c>
      <c r="V35" s="13">
        <v>1013.75</v>
      </c>
      <c r="W35" s="13">
        <v>1008.88</v>
      </c>
      <c r="X35" s="13">
        <v>0</v>
      </c>
      <c r="Y35" s="13" t="s">
        <v>147</v>
      </c>
      <c r="Z35" s="16" t="s">
        <v>171</v>
      </c>
      <c r="AA35" s="13" t="s">
        <v>137</v>
      </c>
      <c r="AB35" s="13" t="s">
        <v>142</v>
      </c>
      <c r="AC35" s="13" t="s">
        <v>145</v>
      </c>
      <c r="AD35" s="13" t="s">
        <v>137</v>
      </c>
      <c r="AE35" s="13">
        <f>VLOOKUP(Table2[[#This Row],[3_Elephant_ID]],'[1]Attributes(OUTDATED)'!$A$2:$N$19,12,FALSE)</f>
        <v>234</v>
      </c>
      <c r="AF35" s="13">
        <f>VLOOKUP(Table2[[#This Row],[3_Elephant_ID]],'[1]Attributes(OUTDATED)'!$A$2:$N$19,13,FALSE)</f>
        <v>0.16500000000000001</v>
      </c>
      <c r="AG35" s="13">
        <f>VLOOKUP(Table2[[#This Row],[3_Elephant_ID]],'[1]Attributes(OUTDATED)'!$A$2:$N$19,14,FALSE)</f>
        <v>0.16420161303383449</v>
      </c>
      <c r="AH35" s="13">
        <v>0</v>
      </c>
      <c r="AI35" s="13">
        <v>0</v>
      </c>
      <c r="AJ35" s="13">
        <v>0</v>
      </c>
      <c r="AK35" s="13">
        <v>0</v>
      </c>
      <c r="AL35" s="13">
        <f>VLOOKUP(Table2[[#This Row],[3_Elephant_ID]],'[1]Attributes(OUTDATED)'!$A$2:$P$19,16,FALSE)</f>
        <v>1</v>
      </c>
      <c r="AM35" s="13">
        <f>VLOOKUP(Table2[[#This Row],[3_Elephant_ID]],'[1]Attributes(OUTDATED)'!$A$2:$S$19,17,FALSE)</f>
        <v>9</v>
      </c>
      <c r="AN35" s="13">
        <f>VLOOKUP(Table2[[#This Row],[3_Elephant_ID]],'[1]Attributes(OUTDATED)'!$A$2:$S$19,18,FALSE)</f>
        <v>9</v>
      </c>
    </row>
    <row r="36" spans="1:40" ht="28" x14ac:dyDescent="0.15">
      <c r="A36" s="3">
        <v>41</v>
      </c>
      <c r="B36" s="6">
        <v>1203231459</v>
      </c>
      <c r="C36" s="7">
        <v>12</v>
      </c>
      <c r="D36" s="7">
        <v>3</v>
      </c>
      <c r="E36" s="7">
        <v>2023</v>
      </c>
      <c r="F36" s="5">
        <v>44997</v>
      </c>
      <c r="G36" s="6" t="s">
        <v>16</v>
      </c>
      <c r="H36" s="17">
        <v>0.46671586715867164</v>
      </c>
      <c r="I36" s="20">
        <f>ROUNDUP((Table2[[#This Row],[fGCM_Conc]]*10000),0)</f>
        <v>4668</v>
      </c>
      <c r="J36" s="3" t="str">
        <f>VLOOKUP(G36,'[1]Attributes(OUTDATED)'!$A$2:$C$19,2,FALSE)</f>
        <v>F</v>
      </c>
      <c r="K36" s="3" t="str">
        <f>VLOOKUP(G36,'[1]Attributes(OUTDATED)'!$A$2:$C$19,3,FALSE)</f>
        <v>A</v>
      </c>
      <c r="L36" s="3">
        <f>VLOOKUP(G36,'[1]Attributes(OUTDATED)'!$A$2:$H$19,8,FALSE)</f>
        <v>1346</v>
      </c>
      <c r="M36" s="3" t="str">
        <f>K36&amp;J36</f>
        <v>AF</v>
      </c>
      <c r="N36" s="3" t="e">
        <f>VLOOKUP(G36,#REF!,2,FALSE)</f>
        <v>#REF!</v>
      </c>
      <c r="O36" s="11">
        <v>44995</v>
      </c>
      <c r="P36" s="13">
        <v>33.299999999999997</v>
      </c>
      <c r="Q36" s="13">
        <v>26.7</v>
      </c>
      <c r="R36" s="13">
        <v>9.1999999999999993</v>
      </c>
      <c r="S36" s="13">
        <f>Table2[[#This Row],[2_Temp_H]]-Table2[[#This Row],[2_Temp_L]]</f>
        <v>24.099999999999998</v>
      </c>
      <c r="T36" s="13">
        <v>28.3</v>
      </c>
      <c r="U36" s="13">
        <v>6.5</v>
      </c>
      <c r="V36" s="13">
        <v>1008.81</v>
      </c>
      <c r="W36" s="13">
        <v>1004.06</v>
      </c>
      <c r="X36" s="13">
        <v>0</v>
      </c>
      <c r="Y36" s="13" t="s">
        <v>147</v>
      </c>
      <c r="Z36" s="16" t="s">
        <v>171</v>
      </c>
      <c r="AA36" s="13" t="s">
        <v>137</v>
      </c>
      <c r="AB36" s="13" t="s">
        <v>142</v>
      </c>
      <c r="AC36" s="13" t="s">
        <v>145</v>
      </c>
      <c r="AD36" s="13" t="s">
        <v>137</v>
      </c>
      <c r="AE36" s="13">
        <f>VLOOKUP(Table2[[#This Row],[3_Elephant_ID]],'[1]Attributes(OUTDATED)'!$A$2:$N$19,12,FALSE)</f>
        <v>474</v>
      </c>
      <c r="AF36" s="13">
        <f>VLOOKUP(Table2[[#This Row],[3_Elephant_ID]],'[1]Attributes(OUTDATED)'!$A$2:$N$19,13,FALSE)</f>
        <v>0.121</v>
      </c>
      <c r="AG36" s="13">
        <f>VLOOKUP(Table2[[#This Row],[3_Elephant_ID]],'[1]Attributes(OUTDATED)'!$A$2:$N$19,14,FALSE)</f>
        <v>0.1206993463154281</v>
      </c>
      <c r="AH36" s="13">
        <v>0</v>
      </c>
      <c r="AI36" s="13">
        <v>0</v>
      </c>
      <c r="AJ36" s="13">
        <v>0</v>
      </c>
      <c r="AK36" s="13">
        <v>0</v>
      </c>
      <c r="AL36" s="13">
        <f>VLOOKUP(Table2[[#This Row],[3_Elephant_ID]],'[1]Attributes(OUTDATED)'!$A$2:$P$19,16,FALSE)</f>
        <v>1</v>
      </c>
      <c r="AM36" s="13">
        <f>VLOOKUP(Table2[[#This Row],[3_Elephant_ID]],'[1]Attributes(OUTDATED)'!$A$2:$S$19,17,FALSE)</f>
        <v>16</v>
      </c>
      <c r="AN36" s="13">
        <f>VLOOKUP(Table2[[#This Row],[3_Elephant_ID]],'[1]Attributes(OUTDATED)'!$A$2:$S$19,18,FALSE)</f>
        <v>1</v>
      </c>
    </row>
    <row r="37" spans="1:40" ht="28" x14ac:dyDescent="0.15">
      <c r="A37" s="3">
        <v>40</v>
      </c>
      <c r="B37" s="6">
        <v>1203231546</v>
      </c>
      <c r="C37" s="7">
        <v>12</v>
      </c>
      <c r="D37" s="7">
        <v>3</v>
      </c>
      <c r="E37" s="7">
        <v>2023</v>
      </c>
      <c r="F37" s="5">
        <v>44997</v>
      </c>
      <c r="G37" s="6" t="s">
        <v>15</v>
      </c>
      <c r="H37" s="17">
        <v>0.35037105751391462</v>
      </c>
      <c r="I37" s="20">
        <f>ROUNDUP((Table2[[#This Row],[fGCM_Conc]]*10000),0)</f>
        <v>3504</v>
      </c>
      <c r="J37" s="3" t="str">
        <f>VLOOKUP(G37,'[1]Attributes(OUTDATED)'!$A$2:$C$19,2,FALSE)</f>
        <v>M</v>
      </c>
      <c r="K37" s="3" t="str">
        <f>VLOOKUP(G37,'[1]Attributes(OUTDATED)'!$A$2:$C$19,3,FALSE)</f>
        <v>J</v>
      </c>
      <c r="L37" s="3">
        <f>VLOOKUP(G37,'[1]Attributes(OUTDATED)'!$A$2:$H$19,8,FALSE)</f>
        <v>828</v>
      </c>
      <c r="M37" s="3" t="str">
        <f>K37&amp;J37</f>
        <v>JM</v>
      </c>
      <c r="N37" s="3" t="e">
        <f>VLOOKUP(G37,#REF!,2,FALSE)</f>
        <v>#REF!</v>
      </c>
      <c r="O37" s="11">
        <v>44995</v>
      </c>
      <c r="P37" s="13">
        <v>33.299999999999997</v>
      </c>
      <c r="Q37" s="13">
        <v>26.7</v>
      </c>
      <c r="R37" s="13">
        <v>9.1999999999999993</v>
      </c>
      <c r="S37" s="13">
        <f>Table2[[#This Row],[2_Temp_H]]-Table2[[#This Row],[2_Temp_L]]</f>
        <v>24.099999999999998</v>
      </c>
      <c r="T37" s="13">
        <v>28.3</v>
      </c>
      <c r="U37" s="13">
        <v>6.5</v>
      </c>
      <c r="V37" s="13">
        <v>1008.81</v>
      </c>
      <c r="W37" s="13">
        <v>1004.06</v>
      </c>
      <c r="X37" s="13">
        <v>0</v>
      </c>
      <c r="Y37" s="13" t="s">
        <v>147</v>
      </c>
      <c r="Z37" s="16" t="s">
        <v>171</v>
      </c>
      <c r="AA37" s="13" t="s">
        <v>137</v>
      </c>
      <c r="AB37" s="13" t="s">
        <v>142</v>
      </c>
      <c r="AC37" s="13" t="s">
        <v>145</v>
      </c>
      <c r="AD37" s="13" t="s">
        <v>137</v>
      </c>
      <c r="AE37" s="13">
        <f>VLOOKUP(Table2[[#This Row],[3_Elephant_ID]],'[1]Attributes(OUTDATED)'!$A$2:$N$19,12,FALSE)</f>
        <v>219</v>
      </c>
      <c r="AF37" s="13">
        <f>VLOOKUP(Table2[[#This Row],[3_Elephant_ID]],'[1]Attributes(OUTDATED)'!$A$2:$N$19,13,FALSE)</f>
        <v>0.32300000000000001</v>
      </c>
      <c r="AG37" s="13">
        <f>VLOOKUP(Table2[[#This Row],[3_Elephant_ID]],'[1]Attributes(OUTDATED)'!$A$2:$N$19,14,FALSE)</f>
        <v>0.32257531484312868</v>
      </c>
      <c r="AH37" s="13">
        <v>0</v>
      </c>
      <c r="AI37" s="13">
        <v>0</v>
      </c>
      <c r="AJ37" s="13">
        <v>0</v>
      </c>
      <c r="AK37" s="13">
        <v>0</v>
      </c>
      <c r="AL37" s="13">
        <f>VLOOKUP(Table2[[#This Row],[3_Elephant_ID]],'[1]Attributes(OUTDATED)'!$A$2:$P$19,16,FALSE)</f>
        <v>2</v>
      </c>
      <c r="AM37" s="13">
        <f>VLOOKUP(Table2[[#This Row],[3_Elephant_ID]],'[1]Attributes(OUTDATED)'!$A$2:$S$19,17,FALSE)</f>
        <v>1</v>
      </c>
      <c r="AN37" s="13">
        <f>VLOOKUP(Table2[[#This Row],[3_Elephant_ID]],'[1]Attributes(OUTDATED)'!$A$2:$S$19,18,FALSE)</f>
        <v>6</v>
      </c>
    </row>
    <row r="38" spans="1:40" ht="28" x14ac:dyDescent="0.15">
      <c r="A38" s="3">
        <v>37</v>
      </c>
      <c r="B38" s="6">
        <v>1203231614</v>
      </c>
      <c r="C38" s="7">
        <v>12</v>
      </c>
      <c r="D38" s="7">
        <v>3</v>
      </c>
      <c r="E38" s="7">
        <v>2023</v>
      </c>
      <c r="F38" s="5">
        <v>44997</v>
      </c>
      <c r="G38" s="6" t="s">
        <v>13</v>
      </c>
      <c r="H38" s="17">
        <v>0.28303846153846146</v>
      </c>
      <c r="I38" s="20">
        <f>ROUNDUP((Table2[[#This Row],[fGCM_Conc]]*10000),0)</f>
        <v>2831</v>
      </c>
      <c r="J38" s="3" t="str">
        <f>VLOOKUP(G38,'[1]Attributes(OUTDATED)'!$A$2:$C$19,2,FALSE)</f>
        <v>F</v>
      </c>
      <c r="K38" s="3" t="str">
        <f>VLOOKUP(G38,'[1]Attributes(OUTDATED)'!$A$2:$C$19,3,FALSE)</f>
        <v>A</v>
      </c>
      <c r="L38" s="3">
        <f>VLOOKUP(G38,'[1]Attributes(OUTDATED)'!$A$2:$H$19,8,FALSE)</f>
        <v>963</v>
      </c>
      <c r="M38" s="3" t="str">
        <f>K38&amp;J38</f>
        <v>AF</v>
      </c>
      <c r="N38" s="3" t="e">
        <f>VLOOKUP(G38,#REF!,2,FALSE)</f>
        <v>#REF!</v>
      </c>
      <c r="O38" s="11">
        <v>44995</v>
      </c>
      <c r="P38" s="13">
        <v>33.299999999999997</v>
      </c>
      <c r="Q38" s="13">
        <v>26.7</v>
      </c>
      <c r="R38" s="13">
        <v>9.1999999999999993</v>
      </c>
      <c r="S38" s="13">
        <f>Table2[[#This Row],[2_Temp_H]]-Table2[[#This Row],[2_Temp_L]]</f>
        <v>24.099999999999998</v>
      </c>
      <c r="T38" s="13">
        <v>28.3</v>
      </c>
      <c r="U38" s="13">
        <v>6.5</v>
      </c>
      <c r="V38" s="13">
        <v>1008.81</v>
      </c>
      <c r="W38" s="13">
        <v>1004.06</v>
      </c>
      <c r="X38" s="13">
        <v>0</v>
      </c>
      <c r="Y38" s="13" t="s">
        <v>147</v>
      </c>
      <c r="Z38" s="16" t="s">
        <v>171</v>
      </c>
      <c r="AA38" s="13" t="s">
        <v>137</v>
      </c>
      <c r="AB38" s="13" t="s">
        <v>142</v>
      </c>
      <c r="AC38" s="13" t="s">
        <v>145</v>
      </c>
      <c r="AD38" s="13" t="s">
        <v>137</v>
      </c>
      <c r="AE38" s="13">
        <f>VLOOKUP(Table2[[#This Row],[3_Elephant_ID]],'[1]Attributes(OUTDATED)'!$A$2:$N$19,12,FALSE)</f>
        <v>289</v>
      </c>
      <c r="AF38" s="13">
        <f>VLOOKUP(Table2[[#This Row],[3_Elephant_ID]],'[1]Attributes(OUTDATED)'!$A$2:$N$19,13,FALSE)</f>
        <v>0.32400000000000001</v>
      </c>
      <c r="AG38" s="13">
        <f>VLOOKUP(Table2[[#This Row],[3_Elephant_ID]],'[1]Attributes(OUTDATED)'!$A$2:$N$19,14,FALSE)</f>
        <v>0.32380809109629533</v>
      </c>
      <c r="AH38" s="13">
        <v>0</v>
      </c>
      <c r="AI38" s="13">
        <v>0</v>
      </c>
      <c r="AJ38" s="13">
        <v>0</v>
      </c>
      <c r="AK38" s="13">
        <v>0</v>
      </c>
      <c r="AL38" s="13">
        <f>VLOOKUP(Table2[[#This Row],[3_Elephant_ID]],'[1]Attributes(OUTDATED)'!$A$2:$P$19,16,FALSE)</f>
        <v>2</v>
      </c>
      <c r="AM38" s="13">
        <f>VLOOKUP(Table2[[#This Row],[3_Elephant_ID]],'[1]Attributes(OUTDATED)'!$A$2:$S$19,17,FALSE)</f>
        <v>9</v>
      </c>
      <c r="AN38" s="13">
        <f>VLOOKUP(Table2[[#This Row],[3_Elephant_ID]],'[1]Attributes(OUTDATED)'!$A$2:$S$19,18,FALSE)</f>
        <v>9</v>
      </c>
    </row>
    <row r="39" spans="1:40" ht="28" x14ac:dyDescent="0.15">
      <c r="A39" s="3">
        <v>43</v>
      </c>
      <c r="B39" s="6">
        <v>1203231117</v>
      </c>
      <c r="C39" s="7">
        <v>12</v>
      </c>
      <c r="D39" s="7">
        <v>3</v>
      </c>
      <c r="E39" s="7">
        <v>2023</v>
      </c>
      <c r="F39" s="5">
        <v>44997</v>
      </c>
      <c r="G39" s="6" t="s">
        <v>9</v>
      </c>
      <c r="H39" s="17">
        <v>0.25571428571428573</v>
      </c>
      <c r="I39" s="20">
        <f>ROUNDUP((Table2[[#This Row],[fGCM_Conc]]*10000),0)</f>
        <v>2558</v>
      </c>
      <c r="J39" s="3" t="str">
        <f>VLOOKUP(G39,'[1]Attributes(OUTDATED)'!$A$2:$C$19,2,FALSE)</f>
        <v>F</v>
      </c>
      <c r="K39" s="3" t="str">
        <f>VLOOKUP(G39,'[1]Attributes(OUTDATED)'!$A$2:$C$19,3,FALSE)</f>
        <v>J</v>
      </c>
      <c r="L39" s="3">
        <f>VLOOKUP(G39,'[1]Attributes(OUTDATED)'!$A$2:$H$19,8,FALSE)</f>
        <v>820</v>
      </c>
      <c r="M39" s="3" t="str">
        <f>K39&amp;J39</f>
        <v>JF</v>
      </c>
      <c r="N39" s="3" t="e">
        <f>VLOOKUP(G39,#REF!,2,FALSE)</f>
        <v>#REF!</v>
      </c>
      <c r="O39" s="11">
        <v>44995</v>
      </c>
      <c r="P39" s="13">
        <v>33.299999999999997</v>
      </c>
      <c r="Q39" s="13">
        <v>26.7</v>
      </c>
      <c r="R39" s="13">
        <v>9.1999999999999993</v>
      </c>
      <c r="S39" s="13">
        <f>Table2[[#This Row],[2_Temp_H]]-Table2[[#This Row],[2_Temp_L]]</f>
        <v>24.099999999999998</v>
      </c>
      <c r="T39" s="13">
        <v>28.3</v>
      </c>
      <c r="U39" s="13">
        <v>6.5</v>
      </c>
      <c r="V39" s="13">
        <v>1008.81</v>
      </c>
      <c r="W39" s="13">
        <v>1004.06</v>
      </c>
      <c r="X39" s="13">
        <v>0</v>
      </c>
      <c r="Y39" s="13" t="s">
        <v>147</v>
      </c>
      <c r="Z39" s="16" t="s">
        <v>171</v>
      </c>
      <c r="AA39" s="13" t="s">
        <v>137</v>
      </c>
      <c r="AB39" s="13" t="s">
        <v>142</v>
      </c>
      <c r="AC39" s="13" t="s">
        <v>145</v>
      </c>
      <c r="AD39" s="13" t="s">
        <v>137</v>
      </c>
      <c r="AE39" s="13">
        <f>VLOOKUP(Table2[[#This Row],[3_Elephant_ID]],'[1]Attributes(OUTDATED)'!$A$2:$N$19,12,FALSE)</f>
        <v>305</v>
      </c>
      <c r="AF39" s="13">
        <f>VLOOKUP(Table2[[#This Row],[3_Elephant_ID]],'[1]Attributes(OUTDATED)'!$A$2:$N$19,13,FALSE)</f>
        <v>0.17499999999999999</v>
      </c>
      <c r="AG39" s="13">
        <f>VLOOKUP(Table2[[#This Row],[3_Elephant_ID]],'[1]Attributes(OUTDATED)'!$A$2:$N$19,14,FALSE)</f>
        <v>0.17467336145108631</v>
      </c>
      <c r="AH39" s="13">
        <v>0</v>
      </c>
      <c r="AI39" s="13">
        <v>0</v>
      </c>
      <c r="AJ39" s="13">
        <v>0</v>
      </c>
      <c r="AK39" s="13">
        <v>0</v>
      </c>
      <c r="AL39" s="13">
        <f>VLOOKUP(Table2[[#This Row],[3_Elephant_ID]],'[1]Attributes(OUTDATED)'!$A$2:$P$19,16,FALSE)</f>
        <v>2</v>
      </c>
      <c r="AM39" s="13">
        <f>VLOOKUP(Table2[[#This Row],[3_Elephant_ID]],'[1]Attributes(OUTDATED)'!$A$2:$S$19,17,FALSE)</f>
        <v>0</v>
      </c>
      <c r="AN39" s="13">
        <f>VLOOKUP(Table2[[#This Row],[3_Elephant_ID]],'[1]Attributes(OUTDATED)'!$A$2:$S$19,18,FALSE)</f>
        <v>4</v>
      </c>
    </row>
    <row r="40" spans="1:40" ht="28" x14ac:dyDescent="0.15">
      <c r="A40" s="3">
        <v>44</v>
      </c>
      <c r="B40" s="6">
        <v>1203230949</v>
      </c>
      <c r="C40" s="7">
        <v>12</v>
      </c>
      <c r="D40" s="7">
        <v>3</v>
      </c>
      <c r="E40" s="7">
        <v>2023</v>
      </c>
      <c r="F40" s="5">
        <v>44997</v>
      </c>
      <c r="G40" s="6" t="s">
        <v>2</v>
      </c>
      <c r="H40" s="17">
        <v>0.24981412639405204</v>
      </c>
      <c r="I40" s="20">
        <f>ROUNDUP((Table2[[#This Row],[fGCM_Conc]]*10000),0)</f>
        <v>2499</v>
      </c>
      <c r="J40" s="3" t="str">
        <f>VLOOKUP(G40,'[1]Attributes(OUTDATED)'!$A$2:$C$19,2,FALSE)</f>
        <v>F</v>
      </c>
      <c r="K40" s="3" t="str">
        <f>VLOOKUP(G40,'[1]Attributes(OUTDATED)'!$A$2:$C$19,3,FALSE)</f>
        <v>A</v>
      </c>
      <c r="L40" s="3">
        <f>VLOOKUP(G40,'[1]Attributes(OUTDATED)'!$A$2:$H$19,8,FALSE)</f>
        <v>892</v>
      </c>
      <c r="M40" s="3" t="str">
        <f>K40&amp;J40</f>
        <v>AF</v>
      </c>
      <c r="N40" s="3" t="e">
        <f>VLOOKUP(G40,#REF!,2,FALSE)</f>
        <v>#REF!</v>
      </c>
      <c r="O40" s="11">
        <v>44995</v>
      </c>
      <c r="P40" s="13">
        <v>33.299999999999997</v>
      </c>
      <c r="Q40" s="13">
        <v>26.7</v>
      </c>
      <c r="R40" s="13">
        <v>9.1999999999999993</v>
      </c>
      <c r="S40" s="13">
        <f>Table2[[#This Row],[2_Temp_H]]-Table2[[#This Row],[2_Temp_L]]</f>
        <v>24.099999999999998</v>
      </c>
      <c r="T40" s="13">
        <v>28.3</v>
      </c>
      <c r="U40" s="13">
        <v>6.5</v>
      </c>
      <c r="V40" s="13">
        <v>1008.81</v>
      </c>
      <c r="W40" s="13">
        <v>1004.06</v>
      </c>
      <c r="X40" s="13">
        <v>0</v>
      </c>
      <c r="Y40" s="13" t="s">
        <v>147</v>
      </c>
      <c r="Z40" s="16" t="s">
        <v>171</v>
      </c>
      <c r="AA40" s="13" t="s">
        <v>137</v>
      </c>
      <c r="AB40" s="13" t="s">
        <v>142</v>
      </c>
      <c r="AC40" s="13" t="s">
        <v>145</v>
      </c>
      <c r="AD40" s="13" t="s">
        <v>137</v>
      </c>
      <c r="AE40" s="13">
        <f>VLOOKUP(Table2[[#This Row],[3_Elephant_ID]],'[1]Attributes(OUTDATED)'!$A$2:$N$19,12,FALSE)</f>
        <v>378</v>
      </c>
      <c r="AF40" s="13">
        <f>VLOOKUP(Table2[[#This Row],[3_Elephant_ID]],'[1]Attributes(OUTDATED)'!$A$2:$N$19,13,FALSE)</f>
        <v>8.6999999999999994E-2</v>
      </c>
      <c r="AG40" s="13">
        <f>VLOOKUP(Table2[[#This Row],[3_Elephant_ID]],'[1]Attributes(OUTDATED)'!$A$2:$N$19,14,FALSE)</f>
        <v>8.6599138783086713E-2</v>
      </c>
      <c r="AH40" s="13">
        <v>0</v>
      </c>
      <c r="AI40" s="13">
        <v>0</v>
      </c>
      <c r="AJ40" s="13">
        <v>0</v>
      </c>
      <c r="AK40" s="13">
        <v>0</v>
      </c>
      <c r="AL40" s="13">
        <f>VLOOKUP(Table2[[#This Row],[3_Elephant_ID]],'[1]Attributes(OUTDATED)'!$A$2:$P$19,16,FALSE)</f>
        <v>1</v>
      </c>
      <c r="AM40" s="13">
        <f>VLOOKUP(Table2[[#This Row],[3_Elephant_ID]],'[1]Attributes(OUTDATED)'!$A$2:$S$19,17,FALSE)</f>
        <v>4</v>
      </c>
      <c r="AN40" s="13">
        <f>VLOOKUP(Table2[[#This Row],[3_Elephant_ID]],'[1]Attributes(OUTDATED)'!$A$2:$S$19,18,FALSE)</f>
        <v>20</v>
      </c>
    </row>
    <row r="41" spans="1:40" ht="28" x14ac:dyDescent="0.15">
      <c r="A41" s="3">
        <v>42</v>
      </c>
      <c r="B41" s="6">
        <v>1203231226</v>
      </c>
      <c r="C41" s="7">
        <v>12</v>
      </c>
      <c r="D41" s="7">
        <v>3</v>
      </c>
      <c r="E41" s="7">
        <v>2023</v>
      </c>
      <c r="F41" s="5">
        <v>44997</v>
      </c>
      <c r="G41" s="6" t="s">
        <v>17</v>
      </c>
      <c r="H41" s="17">
        <v>0.23329608938547497</v>
      </c>
      <c r="I41" s="20">
        <f>ROUNDUP((Table2[[#This Row],[fGCM_Conc]]*10000),0)</f>
        <v>2333</v>
      </c>
      <c r="J41" s="3" t="str">
        <f>VLOOKUP(G41,'[1]Attributes(OUTDATED)'!$A$2:$C$19,2,FALSE)</f>
        <v>M</v>
      </c>
      <c r="K41" s="3" t="str">
        <f>VLOOKUP(G41,'[1]Attributes(OUTDATED)'!$A$2:$C$19,3,FALSE)</f>
        <v>J</v>
      </c>
      <c r="L41" s="3">
        <f>VLOOKUP(G41,'[1]Attributes(OUTDATED)'!$A$2:$H$19,8,FALSE)</f>
        <v>699</v>
      </c>
      <c r="M41" s="3" t="str">
        <f>K41&amp;J41</f>
        <v>JM</v>
      </c>
      <c r="N41" s="3" t="e">
        <f>VLOOKUP(G41,#REF!,2,FALSE)</f>
        <v>#REF!</v>
      </c>
      <c r="O41" s="11">
        <v>44995</v>
      </c>
      <c r="P41" s="13">
        <v>33.299999999999997</v>
      </c>
      <c r="Q41" s="13">
        <v>26.7</v>
      </c>
      <c r="R41" s="13">
        <v>9.1999999999999993</v>
      </c>
      <c r="S41" s="13">
        <f>Table2[[#This Row],[2_Temp_H]]-Table2[[#This Row],[2_Temp_L]]</f>
        <v>24.099999999999998</v>
      </c>
      <c r="T41" s="13">
        <v>28.3</v>
      </c>
      <c r="U41" s="13">
        <v>6.5</v>
      </c>
      <c r="V41" s="13">
        <v>1008.81</v>
      </c>
      <c r="W41" s="13">
        <v>1004.06</v>
      </c>
      <c r="X41" s="13">
        <v>0</v>
      </c>
      <c r="Y41" s="13" t="s">
        <v>147</v>
      </c>
      <c r="Z41" s="16" t="s">
        <v>171</v>
      </c>
      <c r="AA41" s="13" t="s">
        <v>137</v>
      </c>
      <c r="AB41" s="13" t="s">
        <v>142</v>
      </c>
      <c r="AC41" s="13" t="s">
        <v>145</v>
      </c>
      <c r="AD41" s="13" t="s">
        <v>137</v>
      </c>
      <c r="AE41" s="13">
        <f>VLOOKUP(Table2[[#This Row],[3_Elephant_ID]],'[1]Attributes(OUTDATED)'!$A$2:$N$19,12,FALSE)</f>
        <v>343</v>
      </c>
      <c r="AF41" s="13">
        <f>VLOOKUP(Table2[[#This Row],[3_Elephant_ID]],'[1]Attributes(OUTDATED)'!$A$2:$N$19,13,FALSE)</f>
        <v>0.81</v>
      </c>
      <c r="AG41" s="13">
        <f>VLOOKUP(Table2[[#This Row],[3_Elephant_ID]],'[1]Attributes(OUTDATED)'!$A$2:$N$19,14,FALSE)</f>
        <v>0.80966774571167055</v>
      </c>
      <c r="AH41" s="13">
        <v>0</v>
      </c>
      <c r="AI41" s="13">
        <v>0</v>
      </c>
      <c r="AJ41" s="13">
        <v>0</v>
      </c>
      <c r="AK41" s="13">
        <v>0</v>
      </c>
      <c r="AL41" s="13">
        <f>VLOOKUP(Table2[[#This Row],[3_Elephant_ID]],'[1]Attributes(OUTDATED)'!$A$2:$P$19,16,FALSE)</f>
        <v>1</v>
      </c>
      <c r="AM41" s="13">
        <f>VLOOKUP(Table2[[#This Row],[3_Elephant_ID]],'[1]Attributes(OUTDATED)'!$A$2:$S$19,17,FALSE)</f>
        <v>0</v>
      </c>
      <c r="AN41" s="13">
        <f>VLOOKUP(Table2[[#This Row],[3_Elephant_ID]],'[1]Attributes(OUTDATED)'!$A$2:$S$19,18,FALSE)</f>
        <v>8</v>
      </c>
    </row>
    <row r="42" spans="1:40" ht="28" x14ac:dyDescent="0.15">
      <c r="A42" s="3">
        <v>39</v>
      </c>
      <c r="B42" s="6">
        <v>1203231543</v>
      </c>
      <c r="C42" s="7">
        <v>12</v>
      </c>
      <c r="D42" s="7">
        <v>3</v>
      </c>
      <c r="E42" s="7">
        <v>2023</v>
      </c>
      <c r="F42" s="5">
        <v>44997</v>
      </c>
      <c r="G42" s="6" t="s">
        <v>5</v>
      </c>
      <c r="H42" s="17">
        <v>0.22095940959409596</v>
      </c>
      <c r="I42" s="20">
        <f>ROUNDUP((Table2[[#This Row],[fGCM_Conc]]*10000),0)</f>
        <v>2210</v>
      </c>
      <c r="J42" s="3" t="str">
        <f>VLOOKUP(G42,'[1]Attributes(OUTDATED)'!$A$2:$C$19,2,FALSE)</f>
        <v>M</v>
      </c>
      <c r="K42" s="3" t="str">
        <f>VLOOKUP(G42,'[1]Attributes(OUTDATED)'!$A$2:$C$19,3,FALSE)</f>
        <v>J</v>
      </c>
      <c r="L42" s="3">
        <f>VLOOKUP(G42,'[1]Attributes(OUTDATED)'!$A$2:$H$19,8,FALSE)</f>
        <v>940</v>
      </c>
      <c r="M42" s="3" t="str">
        <f>K42&amp;J42</f>
        <v>JM</v>
      </c>
      <c r="N42" s="3" t="e">
        <f>VLOOKUP(G42,#REF!,2,FALSE)</f>
        <v>#REF!</v>
      </c>
      <c r="O42" s="11">
        <v>44995</v>
      </c>
      <c r="P42" s="13">
        <v>33.299999999999997</v>
      </c>
      <c r="Q42" s="13">
        <v>26.7</v>
      </c>
      <c r="R42" s="13">
        <v>9.1999999999999993</v>
      </c>
      <c r="S42" s="13">
        <f>Table2[[#This Row],[2_Temp_H]]-Table2[[#This Row],[2_Temp_L]]</f>
        <v>24.099999999999998</v>
      </c>
      <c r="T42" s="13">
        <v>28.3</v>
      </c>
      <c r="U42" s="13">
        <v>6.5</v>
      </c>
      <c r="V42" s="13">
        <v>1008.81</v>
      </c>
      <c r="W42" s="13">
        <v>1004.06</v>
      </c>
      <c r="X42" s="13">
        <v>0</v>
      </c>
      <c r="Y42" s="13" t="s">
        <v>147</v>
      </c>
      <c r="Z42" s="16" t="s">
        <v>171</v>
      </c>
      <c r="AA42" s="13" t="s">
        <v>137</v>
      </c>
      <c r="AB42" s="13" t="s">
        <v>142</v>
      </c>
      <c r="AC42" s="13" t="s">
        <v>145</v>
      </c>
      <c r="AD42" s="13" t="s">
        <v>137</v>
      </c>
      <c r="AE42" s="13">
        <f>VLOOKUP(Table2[[#This Row],[3_Elephant_ID]],'[1]Attributes(OUTDATED)'!$A$2:$N$19,12,FALSE)</f>
        <v>361</v>
      </c>
      <c r="AF42" s="13">
        <f>VLOOKUP(Table2[[#This Row],[3_Elephant_ID]],'[1]Attributes(OUTDATED)'!$A$2:$N$19,13,FALSE)</f>
        <v>0.40600000000000003</v>
      </c>
      <c r="AG42" s="13">
        <f>VLOOKUP(Table2[[#This Row],[3_Elephant_ID]],'[1]Attributes(OUTDATED)'!$A$2:$N$19,14,FALSE)</f>
        <v>0.40590323220736402</v>
      </c>
      <c r="AH42" s="13">
        <v>0</v>
      </c>
      <c r="AI42" s="13">
        <v>0</v>
      </c>
      <c r="AJ42" s="13">
        <v>0</v>
      </c>
      <c r="AK42" s="13">
        <v>0</v>
      </c>
      <c r="AL42" s="13">
        <f>VLOOKUP(Table2[[#This Row],[3_Elephant_ID]],'[1]Attributes(OUTDATED)'!$A$2:$P$19,16,FALSE)</f>
        <v>1</v>
      </c>
      <c r="AM42" s="13">
        <f>VLOOKUP(Table2[[#This Row],[3_Elephant_ID]],'[1]Attributes(OUTDATED)'!$A$2:$S$19,17,FALSE)</f>
        <v>2</v>
      </c>
      <c r="AN42" s="13">
        <f>VLOOKUP(Table2[[#This Row],[3_Elephant_ID]],'[1]Attributes(OUTDATED)'!$A$2:$S$19,18,FALSE)</f>
        <v>7</v>
      </c>
    </row>
    <row r="43" spans="1:40" ht="28" x14ac:dyDescent="0.15">
      <c r="A43" s="3">
        <v>38</v>
      </c>
      <c r="B43" s="6">
        <v>1203231354</v>
      </c>
      <c r="C43" s="7">
        <v>12</v>
      </c>
      <c r="D43" s="7">
        <v>3</v>
      </c>
      <c r="E43" s="7">
        <v>2023</v>
      </c>
      <c r="F43" s="5">
        <v>44997</v>
      </c>
      <c r="G43" s="6" t="s">
        <v>11</v>
      </c>
      <c r="H43" s="17">
        <v>0.18222634508348792</v>
      </c>
      <c r="I43" s="20">
        <f>ROUNDUP((Table2[[#This Row],[fGCM_Conc]]*10000),0)</f>
        <v>1823</v>
      </c>
      <c r="J43" s="3" t="str">
        <f>VLOOKUP(G43,'[1]Attributes(OUTDATED)'!$A$2:$C$19,2,FALSE)</f>
        <v>M</v>
      </c>
      <c r="K43" s="3" t="str">
        <f>VLOOKUP(G43,'[1]Attributes(OUTDATED)'!$A$2:$C$19,3,FALSE)</f>
        <v>A</v>
      </c>
      <c r="L43" s="3">
        <f>VLOOKUP(G43,'[1]Attributes(OUTDATED)'!$A$2:$H$19,8,FALSE)</f>
        <v>1223</v>
      </c>
      <c r="M43" s="3" t="str">
        <f>K43&amp;J43</f>
        <v>AM</v>
      </c>
      <c r="N43" s="3" t="e">
        <f>VLOOKUP(G43,#REF!,2,FALSE)</f>
        <v>#REF!</v>
      </c>
      <c r="O43" s="11">
        <v>44995</v>
      </c>
      <c r="P43" s="13">
        <v>33.299999999999997</v>
      </c>
      <c r="Q43" s="13">
        <v>26.7</v>
      </c>
      <c r="R43" s="13">
        <v>9.1999999999999993</v>
      </c>
      <c r="S43" s="13">
        <f>Table2[[#This Row],[2_Temp_H]]-Table2[[#This Row],[2_Temp_L]]</f>
        <v>24.099999999999998</v>
      </c>
      <c r="T43" s="13">
        <v>28.3</v>
      </c>
      <c r="U43" s="13">
        <v>6.5</v>
      </c>
      <c r="V43" s="13">
        <v>1008.81</v>
      </c>
      <c r="W43" s="13">
        <v>1004.06</v>
      </c>
      <c r="X43" s="13">
        <v>0</v>
      </c>
      <c r="Y43" s="13" t="s">
        <v>147</v>
      </c>
      <c r="Z43" s="16" t="s">
        <v>171</v>
      </c>
      <c r="AA43" s="13" t="s">
        <v>137</v>
      </c>
      <c r="AB43" s="13" t="s">
        <v>142</v>
      </c>
      <c r="AC43" s="13" t="s">
        <v>145</v>
      </c>
      <c r="AD43" s="13" t="s">
        <v>137</v>
      </c>
      <c r="AE43" s="13">
        <f>VLOOKUP(Table2[[#This Row],[3_Elephant_ID]],'[1]Attributes(OUTDATED)'!$A$2:$N$19,12,FALSE)</f>
        <v>404</v>
      </c>
      <c r="AF43" s="13">
        <f>VLOOKUP(Table2[[#This Row],[3_Elephant_ID]],'[1]Attributes(OUTDATED)'!$A$2:$N$19,13,FALSE)</f>
        <v>0.91700000000000004</v>
      </c>
      <c r="AG43" s="13">
        <f>VLOOKUP(Table2[[#This Row],[3_Elephant_ID]],'[1]Attributes(OUTDATED)'!$A$2:$N$19,14,FALSE)</f>
        <v>0.91664628583929353</v>
      </c>
      <c r="AH43" s="13">
        <v>0</v>
      </c>
      <c r="AI43" s="13">
        <v>0</v>
      </c>
      <c r="AJ43" s="13">
        <v>0</v>
      </c>
      <c r="AK43" s="13">
        <v>0</v>
      </c>
      <c r="AL43" s="13">
        <f>VLOOKUP(Table2[[#This Row],[3_Elephant_ID]],'[1]Attributes(OUTDATED)'!$A$2:$P$19,16,FALSE)</f>
        <v>1</v>
      </c>
      <c r="AM43" s="13">
        <f>VLOOKUP(Table2[[#This Row],[3_Elephant_ID]],'[1]Attributes(OUTDATED)'!$A$2:$S$19,17,FALSE)</f>
        <v>14</v>
      </c>
      <c r="AN43" s="13">
        <f>VLOOKUP(Table2[[#This Row],[3_Elephant_ID]],'[1]Attributes(OUTDATED)'!$A$2:$S$19,18,FALSE)</f>
        <v>17</v>
      </c>
    </row>
    <row r="44" spans="1:40" ht="28" x14ac:dyDescent="0.15">
      <c r="A44" s="3">
        <v>34</v>
      </c>
      <c r="B44" s="6">
        <v>1303231035</v>
      </c>
      <c r="C44" s="7">
        <v>13</v>
      </c>
      <c r="D44" s="7">
        <v>3</v>
      </c>
      <c r="E44" s="7">
        <v>2023</v>
      </c>
      <c r="F44" s="5">
        <v>44998</v>
      </c>
      <c r="G44" s="6" t="s">
        <v>6</v>
      </c>
      <c r="H44" s="17">
        <v>0.37458100558659224</v>
      </c>
      <c r="I44" s="20">
        <f>ROUNDUP((Table2[[#This Row],[fGCM_Conc]]*10000),0)</f>
        <v>3746</v>
      </c>
      <c r="J44" s="3" t="str">
        <f>VLOOKUP(G44,'[1]Attributes(OUTDATED)'!$A$2:$C$19,2,FALSE)</f>
        <v>F</v>
      </c>
      <c r="K44" s="3" t="str">
        <f>VLOOKUP(G44,'[1]Attributes(OUTDATED)'!$A$2:$C$19,3,FALSE)</f>
        <v>A</v>
      </c>
      <c r="L44" s="3">
        <f>VLOOKUP(G44,'[1]Attributes(OUTDATED)'!$A$2:$H$19,8,FALSE)</f>
        <v>1168</v>
      </c>
      <c r="M44" s="3" t="str">
        <f>K44&amp;J44</f>
        <v>AF</v>
      </c>
      <c r="N44" s="3" t="e">
        <f>VLOOKUP(G44,#REF!,2,FALSE)</f>
        <v>#REF!</v>
      </c>
      <c r="O44" s="11">
        <v>44996</v>
      </c>
      <c r="P44" s="13">
        <v>27.6</v>
      </c>
      <c r="Q44" s="13">
        <v>22.3</v>
      </c>
      <c r="R44" s="13">
        <v>13.4</v>
      </c>
      <c r="S44" s="13">
        <f>Table2[[#This Row],[2_Temp_H]]-Table2[[#This Row],[2_Temp_L]]</f>
        <v>14.200000000000001</v>
      </c>
      <c r="T44" s="13">
        <v>26.9</v>
      </c>
      <c r="U44" s="13">
        <v>7.4</v>
      </c>
      <c r="V44" s="13">
        <v>1013.88</v>
      </c>
      <c r="W44" s="13">
        <v>1004.06</v>
      </c>
      <c r="X44" s="13">
        <v>0</v>
      </c>
      <c r="Y44" s="13" t="s">
        <v>147</v>
      </c>
      <c r="Z44" s="16" t="s">
        <v>171</v>
      </c>
      <c r="AA44" s="13" t="s">
        <v>137</v>
      </c>
      <c r="AB44" s="13" t="s">
        <v>142</v>
      </c>
      <c r="AC44" s="13" t="s">
        <v>145</v>
      </c>
      <c r="AD44" s="13" t="s">
        <v>137</v>
      </c>
      <c r="AE44" s="13">
        <f>VLOOKUP(Table2[[#This Row],[3_Elephant_ID]],'[1]Attributes(OUTDATED)'!$A$2:$N$19,12,FALSE)</f>
        <v>286</v>
      </c>
      <c r="AF44" s="13">
        <f>VLOOKUP(Table2[[#This Row],[3_Elephant_ID]],'[1]Attributes(OUTDATED)'!$A$2:$N$19,13,FALSE)</f>
        <v>0.26800000000000002</v>
      </c>
      <c r="AG44" s="13">
        <f>VLOOKUP(Table2[[#This Row],[3_Elephant_ID]],'[1]Attributes(OUTDATED)'!$A$2:$N$19,14,FALSE)</f>
        <v>0.26721028245328138</v>
      </c>
      <c r="AH44" s="13">
        <v>0</v>
      </c>
      <c r="AI44" s="13">
        <v>0</v>
      </c>
      <c r="AJ44" s="13">
        <v>0</v>
      </c>
      <c r="AK44" s="13">
        <v>0</v>
      </c>
      <c r="AL44" s="13">
        <f>VLOOKUP(Table2[[#This Row],[3_Elephant_ID]],'[1]Attributes(OUTDATED)'!$A$2:$P$19,16,FALSE)</f>
        <v>2</v>
      </c>
      <c r="AM44" s="13">
        <f>VLOOKUP(Table2[[#This Row],[3_Elephant_ID]],'[1]Attributes(OUTDATED)'!$A$2:$S$19,17,FALSE)</f>
        <v>12</v>
      </c>
      <c r="AN44" s="13">
        <f>VLOOKUP(Table2[[#This Row],[3_Elephant_ID]],'[1]Attributes(OUTDATED)'!$A$2:$S$19,18,FALSE)</f>
        <v>5</v>
      </c>
    </row>
    <row r="45" spans="1:40" ht="28" x14ac:dyDescent="0.15">
      <c r="A45" s="3">
        <v>32</v>
      </c>
      <c r="B45" s="6">
        <v>1303231138</v>
      </c>
      <c r="C45" s="7">
        <v>13</v>
      </c>
      <c r="D45" s="7">
        <v>3</v>
      </c>
      <c r="E45" s="7">
        <v>2023</v>
      </c>
      <c r="F45" s="5">
        <v>44998</v>
      </c>
      <c r="G45" s="6" t="s">
        <v>14</v>
      </c>
      <c r="H45" s="17">
        <v>0.35825242718446604</v>
      </c>
      <c r="I45" s="20">
        <f>ROUNDUP((Table2[[#This Row],[fGCM_Conc]]*10000),0)</f>
        <v>3583</v>
      </c>
      <c r="J45" s="3" t="str">
        <f>VLOOKUP(G45,'[1]Attributes(OUTDATED)'!$A$2:$C$19,2,FALSE)</f>
        <v>F</v>
      </c>
      <c r="K45" s="3" t="str">
        <f>VLOOKUP(G45,'[1]Attributes(OUTDATED)'!$A$2:$C$19,3,FALSE)</f>
        <v>J</v>
      </c>
      <c r="L45" s="3">
        <f>VLOOKUP(G45,'[1]Attributes(OUTDATED)'!$A$2:$H$19,8,FALSE)</f>
        <v>879</v>
      </c>
      <c r="M45" s="3" t="str">
        <f>K45&amp;J45</f>
        <v>JF</v>
      </c>
      <c r="N45" s="3" t="e">
        <f>VLOOKUP(G45,#REF!,2,FALSE)</f>
        <v>#REF!</v>
      </c>
      <c r="O45" s="11">
        <v>44996</v>
      </c>
      <c r="P45" s="13">
        <v>27.6</v>
      </c>
      <c r="Q45" s="13">
        <v>22.3</v>
      </c>
      <c r="R45" s="13">
        <v>13.4</v>
      </c>
      <c r="S45" s="13">
        <f>Table2[[#This Row],[2_Temp_H]]-Table2[[#This Row],[2_Temp_L]]</f>
        <v>14.200000000000001</v>
      </c>
      <c r="T45" s="13">
        <v>26.9</v>
      </c>
      <c r="U45" s="13">
        <v>7.4</v>
      </c>
      <c r="V45" s="13">
        <v>1013.88</v>
      </c>
      <c r="W45" s="13">
        <v>1004.06</v>
      </c>
      <c r="X45" s="13">
        <v>0</v>
      </c>
      <c r="Y45" s="13" t="s">
        <v>147</v>
      </c>
      <c r="Z45" s="16" t="s">
        <v>171</v>
      </c>
      <c r="AA45" s="13" t="s">
        <v>137</v>
      </c>
      <c r="AB45" s="13" t="s">
        <v>142</v>
      </c>
      <c r="AC45" s="13" t="s">
        <v>145</v>
      </c>
      <c r="AD45" s="13" t="s">
        <v>137</v>
      </c>
      <c r="AE45" s="13">
        <f>VLOOKUP(Table2[[#This Row],[3_Elephant_ID]],'[1]Attributes(OUTDATED)'!$A$2:$N$19,12,FALSE)</f>
        <v>269</v>
      </c>
      <c r="AF45" s="13">
        <f>VLOOKUP(Table2[[#This Row],[3_Elephant_ID]],'[1]Attributes(OUTDATED)'!$A$2:$N$19,13,FALSE)</f>
        <v>0.65800000000000003</v>
      </c>
      <c r="AG45" s="13">
        <f>VLOOKUP(Table2[[#This Row],[3_Elephant_ID]],'[1]Attributes(OUTDATED)'!$A$2:$N$19,14,FALSE)</f>
        <v>0.65767064449315993</v>
      </c>
      <c r="AH45" s="13">
        <v>0</v>
      </c>
      <c r="AI45" s="13">
        <v>0</v>
      </c>
      <c r="AJ45" s="13">
        <v>0</v>
      </c>
      <c r="AK45" s="13">
        <v>0</v>
      </c>
      <c r="AL45" s="13">
        <f>VLOOKUP(Table2[[#This Row],[3_Elephant_ID]],'[1]Attributes(OUTDATED)'!$A$2:$P$19,16,FALSE)</f>
        <v>1</v>
      </c>
      <c r="AM45" s="13">
        <f>VLOOKUP(Table2[[#This Row],[3_Elephant_ID]],'[1]Attributes(OUTDATED)'!$A$2:$S$19,17,FALSE)</f>
        <v>3</v>
      </c>
      <c r="AN45" s="13">
        <f>VLOOKUP(Table2[[#This Row],[3_Elephant_ID]],'[1]Attributes(OUTDATED)'!$A$2:$S$19,18,FALSE)</f>
        <v>9</v>
      </c>
    </row>
    <row r="46" spans="1:40" ht="28" x14ac:dyDescent="0.15">
      <c r="A46" s="3">
        <v>36</v>
      </c>
      <c r="B46" s="6">
        <v>1303231112</v>
      </c>
      <c r="C46" s="7">
        <v>13</v>
      </c>
      <c r="D46" s="7">
        <v>3</v>
      </c>
      <c r="E46" s="7">
        <v>2023</v>
      </c>
      <c r="F46" s="5">
        <v>44998</v>
      </c>
      <c r="G46" s="6" t="s">
        <v>11</v>
      </c>
      <c r="H46" s="17">
        <v>0.29005714285714285</v>
      </c>
      <c r="I46" s="20">
        <f>ROUNDUP((Table2[[#This Row],[fGCM_Conc]]*10000),0)</f>
        <v>2901</v>
      </c>
      <c r="J46" s="3" t="str">
        <f>VLOOKUP(G46,'[1]Attributes(OUTDATED)'!$A$2:$C$19,2,FALSE)</f>
        <v>M</v>
      </c>
      <c r="K46" s="3" t="str">
        <f>VLOOKUP(G46,'[1]Attributes(OUTDATED)'!$A$2:$C$19,3,FALSE)</f>
        <v>A</v>
      </c>
      <c r="L46" s="3">
        <f>VLOOKUP(G46,'[1]Attributes(OUTDATED)'!$A$2:$H$19,8,FALSE)</f>
        <v>1223</v>
      </c>
      <c r="M46" s="3" t="str">
        <f>K46&amp;J46</f>
        <v>AM</v>
      </c>
      <c r="N46" s="3" t="e">
        <f>VLOOKUP(G46,#REF!,2,FALSE)</f>
        <v>#REF!</v>
      </c>
      <c r="O46" s="11">
        <v>44996</v>
      </c>
      <c r="P46" s="13">
        <v>27.6</v>
      </c>
      <c r="Q46" s="13">
        <v>22.3</v>
      </c>
      <c r="R46" s="13">
        <v>13.4</v>
      </c>
      <c r="S46" s="13">
        <f>Table2[[#This Row],[2_Temp_H]]-Table2[[#This Row],[2_Temp_L]]</f>
        <v>14.200000000000001</v>
      </c>
      <c r="T46" s="13">
        <v>26.9</v>
      </c>
      <c r="U46" s="13">
        <v>7.4</v>
      </c>
      <c r="V46" s="13">
        <v>1013.88</v>
      </c>
      <c r="W46" s="13">
        <v>1004.06</v>
      </c>
      <c r="X46" s="13">
        <v>0</v>
      </c>
      <c r="Y46" s="13" t="s">
        <v>147</v>
      </c>
      <c r="Z46" s="16" t="s">
        <v>171</v>
      </c>
      <c r="AA46" s="13" t="s">
        <v>137</v>
      </c>
      <c r="AB46" s="13" t="s">
        <v>142</v>
      </c>
      <c r="AC46" s="13" t="s">
        <v>145</v>
      </c>
      <c r="AD46" s="13" t="s">
        <v>137</v>
      </c>
      <c r="AE46" s="13">
        <f>VLOOKUP(Table2[[#This Row],[3_Elephant_ID]],'[1]Attributes(OUTDATED)'!$A$2:$N$19,12,FALSE)</f>
        <v>404</v>
      </c>
      <c r="AF46" s="13">
        <f>VLOOKUP(Table2[[#This Row],[3_Elephant_ID]],'[1]Attributes(OUTDATED)'!$A$2:$N$19,13,FALSE)</f>
        <v>0.91700000000000004</v>
      </c>
      <c r="AG46" s="13">
        <f>VLOOKUP(Table2[[#This Row],[3_Elephant_ID]],'[1]Attributes(OUTDATED)'!$A$2:$N$19,14,FALSE)</f>
        <v>0.91664628583929353</v>
      </c>
      <c r="AH46" s="13">
        <v>0</v>
      </c>
      <c r="AI46" s="13">
        <v>0</v>
      </c>
      <c r="AJ46" s="13">
        <v>0</v>
      </c>
      <c r="AK46" s="13">
        <v>0</v>
      </c>
      <c r="AL46" s="13">
        <f>VLOOKUP(Table2[[#This Row],[3_Elephant_ID]],'[1]Attributes(OUTDATED)'!$A$2:$P$19,16,FALSE)</f>
        <v>1</v>
      </c>
      <c r="AM46" s="13">
        <f>VLOOKUP(Table2[[#This Row],[3_Elephant_ID]],'[1]Attributes(OUTDATED)'!$A$2:$S$19,17,FALSE)</f>
        <v>14</v>
      </c>
      <c r="AN46" s="13">
        <f>VLOOKUP(Table2[[#This Row],[3_Elephant_ID]],'[1]Attributes(OUTDATED)'!$A$2:$S$19,18,FALSE)</f>
        <v>17</v>
      </c>
    </row>
    <row r="47" spans="1:40" ht="28" x14ac:dyDescent="0.15">
      <c r="A47" s="3">
        <v>33</v>
      </c>
      <c r="B47" s="6">
        <v>1303231136</v>
      </c>
      <c r="C47" s="7">
        <v>13</v>
      </c>
      <c r="D47" s="7">
        <v>3</v>
      </c>
      <c r="E47" s="7">
        <v>2023</v>
      </c>
      <c r="F47" s="5">
        <v>44998</v>
      </c>
      <c r="G47" s="6" t="s">
        <v>7</v>
      </c>
      <c r="H47" s="17">
        <v>0.18304428044280446</v>
      </c>
      <c r="I47" s="20">
        <f>ROUNDUP((Table2[[#This Row],[fGCM_Conc]]*10000),0)</f>
        <v>1831</v>
      </c>
      <c r="J47" s="3" t="str">
        <f>VLOOKUP(G47,'[1]Attributes(OUTDATED)'!$A$2:$C$19,2,FALSE)</f>
        <v>F</v>
      </c>
      <c r="K47" s="3" t="str">
        <f>VLOOKUP(G47,'[1]Attributes(OUTDATED)'!$A$2:$C$19,3,FALSE)</f>
        <v>J</v>
      </c>
      <c r="L47" s="3">
        <f>VLOOKUP(G47,'[1]Attributes(OUTDATED)'!$A$2:$H$19,8,FALSE)</f>
        <v>711</v>
      </c>
      <c r="M47" s="3" t="str">
        <f>K47&amp;J47</f>
        <v>JF</v>
      </c>
      <c r="N47" s="3" t="e">
        <f>VLOOKUP(G47,#REF!,2,FALSE)</f>
        <v>#REF!</v>
      </c>
      <c r="O47" s="11">
        <v>44996</v>
      </c>
      <c r="P47" s="13">
        <v>27.6</v>
      </c>
      <c r="Q47" s="13">
        <v>22.3</v>
      </c>
      <c r="R47" s="13">
        <v>13.4</v>
      </c>
      <c r="S47" s="13">
        <f>Table2[[#This Row],[2_Temp_H]]-Table2[[#This Row],[2_Temp_L]]</f>
        <v>14.200000000000001</v>
      </c>
      <c r="T47" s="13">
        <v>26.9</v>
      </c>
      <c r="U47" s="13">
        <v>7.4</v>
      </c>
      <c r="V47" s="13">
        <v>1013.88</v>
      </c>
      <c r="W47" s="13">
        <v>1004.06</v>
      </c>
      <c r="X47" s="13">
        <v>0</v>
      </c>
      <c r="Y47" s="13" t="s">
        <v>147</v>
      </c>
      <c r="Z47" s="16" t="s">
        <v>171</v>
      </c>
      <c r="AA47" s="13" t="s">
        <v>137</v>
      </c>
      <c r="AB47" s="13" t="s">
        <v>142</v>
      </c>
      <c r="AC47" s="13" t="s">
        <v>145</v>
      </c>
      <c r="AD47" s="13" t="s">
        <v>137</v>
      </c>
      <c r="AE47" s="13">
        <f>VLOOKUP(Table2[[#This Row],[3_Elephant_ID]],'[1]Attributes(OUTDATED)'!$A$2:$N$19,12,FALSE)</f>
        <v>398</v>
      </c>
      <c r="AF47" s="13">
        <f>VLOOKUP(Table2[[#This Row],[3_Elephant_ID]],'[1]Attributes(OUTDATED)'!$A$2:$N$19,13,FALSE)</f>
        <v>0.47899999999999998</v>
      </c>
      <c r="AG47" s="13">
        <f>VLOOKUP(Table2[[#This Row],[3_Elephant_ID]],'[1]Attributes(OUTDATED)'!$A$2:$N$19,14,FALSE)</f>
        <v>0.47820662037086947</v>
      </c>
      <c r="AH47" s="13">
        <v>0</v>
      </c>
      <c r="AI47" s="13">
        <v>0</v>
      </c>
      <c r="AJ47" s="13">
        <v>0</v>
      </c>
      <c r="AK47" s="13">
        <v>0</v>
      </c>
      <c r="AL47" s="13">
        <f>VLOOKUP(Table2[[#This Row],[3_Elephant_ID]],'[1]Attributes(OUTDATED)'!$A$2:$P$19,16,FALSE)</f>
        <v>1</v>
      </c>
      <c r="AM47" s="13">
        <f>VLOOKUP(Table2[[#This Row],[3_Elephant_ID]],'[1]Attributes(OUTDATED)'!$A$2:$S$19,17,FALSE)</f>
        <v>0</v>
      </c>
      <c r="AN47" s="13">
        <f>VLOOKUP(Table2[[#This Row],[3_Elephant_ID]],'[1]Attributes(OUTDATED)'!$A$2:$S$19,18,FALSE)</f>
        <v>12</v>
      </c>
    </row>
    <row r="48" spans="1:40" ht="28" x14ac:dyDescent="0.15">
      <c r="A48" s="3">
        <v>35</v>
      </c>
      <c r="B48" s="6">
        <v>1303231049</v>
      </c>
      <c r="C48" s="7">
        <v>13</v>
      </c>
      <c r="D48" s="7">
        <v>3</v>
      </c>
      <c r="E48" s="7">
        <v>2023</v>
      </c>
      <c r="F48" s="5">
        <v>44998</v>
      </c>
      <c r="G48" s="6" t="s">
        <v>7</v>
      </c>
      <c r="H48" s="17">
        <v>0.18181640625000001</v>
      </c>
      <c r="I48" s="20">
        <f>ROUNDUP((Table2[[#This Row],[fGCM_Conc]]*10000),0)</f>
        <v>1819</v>
      </c>
      <c r="J48" s="3" t="str">
        <f>VLOOKUP(G48,'[1]Attributes(OUTDATED)'!$A$2:$C$19,2,FALSE)</f>
        <v>F</v>
      </c>
      <c r="K48" s="3" t="str">
        <f>VLOOKUP(G48,'[1]Attributes(OUTDATED)'!$A$2:$C$19,3,FALSE)</f>
        <v>J</v>
      </c>
      <c r="L48" s="3">
        <f>VLOOKUP(G48,'[1]Attributes(OUTDATED)'!$A$2:$H$19,8,FALSE)</f>
        <v>711</v>
      </c>
      <c r="M48" s="3" t="str">
        <f>K48&amp;J48</f>
        <v>JF</v>
      </c>
      <c r="N48" s="3" t="e">
        <f>VLOOKUP(G48,#REF!,2,FALSE)</f>
        <v>#REF!</v>
      </c>
      <c r="O48" s="11">
        <v>44996</v>
      </c>
      <c r="P48" s="13">
        <v>27.6</v>
      </c>
      <c r="Q48" s="13">
        <v>22.3</v>
      </c>
      <c r="R48" s="13">
        <v>13.4</v>
      </c>
      <c r="S48" s="13">
        <f>Table2[[#This Row],[2_Temp_H]]-Table2[[#This Row],[2_Temp_L]]</f>
        <v>14.200000000000001</v>
      </c>
      <c r="T48" s="13">
        <v>26.9</v>
      </c>
      <c r="U48" s="13">
        <v>7.4</v>
      </c>
      <c r="V48" s="13">
        <v>1013.88</v>
      </c>
      <c r="W48" s="13">
        <v>1004.06</v>
      </c>
      <c r="X48" s="13">
        <v>0</v>
      </c>
      <c r="Y48" s="13" t="s">
        <v>147</v>
      </c>
      <c r="Z48" s="16" t="s">
        <v>171</v>
      </c>
      <c r="AA48" s="13" t="s">
        <v>137</v>
      </c>
      <c r="AB48" s="13" t="s">
        <v>142</v>
      </c>
      <c r="AC48" s="13" t="s">
        <v>145</v>
      </c>
      <c r="AD48" s="13" t="s">
        <v>137</v>
      </c>
      <c r="AE48" s="13">
        <f>VLOOKUP(Table2[[#This Row],[3_Elephant_ID]],'[1]Attributes(OUTDATED)'!$A$2:$N$19,12,FALSE)</f>
        <v>398</v>
      </c>
      <c r="AF48" s="13">
        <f>VLOOKUP(Table2[[#This Row],[3_Elephant_ID]],'[1]Attributes(OUTDATED)'!$A$2:$N$19,13,FALSE)</f>
        <v>0.47899999999999998</v>
      </c>
      <c r="AG48" s="13">
        <f>VLOOKUP(Table2[[#This Row],[3_Elephant_ID]],'[1]Attributes(OUTDATED)'!$A$2:$N$19,14,FALSE)</f>
        <v>0.47820662037086947</v>
      </c>
      <c r="AH48" s="13">
        <v>0</v>
      </c>
      <c r="AI48" s="13">
        <v>0</v>
      </c>
      <c r="AJ48" s="13">
        <v>0</v>
      </c>
      <c r="AK48" s="13">
        <v>0</v>
      </c>
      <c r="AL48" s="13">
        <f>VLOOKUP(Table2[[#This Row],[3_Elephant_ID]],'[1]Attributes(OUTDATED)'!$A$2:$P$19,16,FALSE)</f>
        <v>1</v>
      </c>
      <c r="AM48" s="13">
        <f>VLOOKUP(Table2[[#This Row],[3_Elephant_ID]],'[1]Attributes(OUTDATED)'!$A$2:$S$19,17,FALSE)</f>
        <v>0</v>
      </c>
      <c r="AN48" s="13">
        <f>VLOOKUP(Table2[[#This Row],[3_Elephant_ID]],'[1]Attributes(OUTDATED)'!$A$2:$S$19,18,FALSE)</f>
        <v>12</v>
      </c>
    </row>
    <row r="49" spans="1:40" ht="28" x14ac:dyDescent="0.15">
      <c r="A49" s="3">
        <v>31</v>
      </c>
      <c r="B49" s="6">
        <v>1403231035</v>
      </c>
      <c r="C49" s="7">
        <v>14</v>
      </c>
      <c r="D49" s="7">
        <v>3</v>
      </c>
      <c r="E49" s="7">
        <v>2023</v>
      </c>
      <c r="F49" s="5">
        <v>44999</v>
      </c>
      <c r="G49" s="6" t="s">
        <v>10</v>
      </c>
      <c r="H49" s="17">
        <v>0.35994515539305305</v>
      </c>
      <c r="I49" s="20">
        <f>ROUNDUP((Table2[[#This Row],[fGCM_Conc]]*10000),0)</f>
        <v>3600</v>
      </c>
      <c r="J49" s="3" t="str">
        <f>VLOOKUP(G49,'[1]Attributes(OUTDATED)'!$A$2:$C$19,2,FALSE)</f>
        <v>F</v>
      </c>
      <c r="K49" s="3" t="str">
        <f>VLOOKUP(G49,'[1]Attributes(OUTDATED)'!$A$2:$C$19,3,FALSE)</f>
        <v>A</v>
      </c>
      <c r="L49" s="3">
        <f>VLOOKUP(G49,'[1]Attributes(OUTDATED)'!$A$2:$H$19,8,FALSE)</f>
        <v>1146</v>
      </c>
      <c r="M49" s="3" t="str">
        <f>K49&amp;J49</f>
        <v>AF</v>
      </c>
      <c r="N49" s="3" t="e">
        <f>VLOOKUP(G49,#REF!,2,FALSE)</f>
        <v>#REF!</v>
      </c>
      <c r="O49" s="11">
        <v>44997</v>
      </c>
      <c r="P49" s="13">
        <v>27.7</v>
      </c>
      <c r="Q49" s="13">
        <v>19.600000000000001</v>
      </c>
      <c r="R49" s="13">
        <v>11.6</v>
      </c>
      <c r="S49" s="13">
        <f>Table2[[#This Row],[2_Temp_H]]-Table2[[#This Row],[2_Temp_L]]</f>
        <v>16.100000000000001</v>
      </c>
      <c r="T49" s="13">
        <v>21.1</v>
      </c>
      <c r="U49" s="13">
        <v>4.5</v>
      </c>
      <c r="V49" s="13">
        <v>1014.9</v>
      </c>
      <c r="W49" s="13">
        <v>1010.84</v>
      </c>
      <c r="X49" s="13">
        <v>0</v>
      </c>
      <c r="Y49" s="13" t="s">
        <v>147</v>
      </c>
      <c r="Z49" s="13" t="s">
        <v>141</v>
      </c>
      <c r="AA49" s="13" t="s">
        <v>26</v>
      </c>
      <c r="AB49" s="13" t="s">
        <v>142</v>
      </c>
      <c r="AC49" s="13" t="s">
        <v>145</v>
      </c>
      <c r="AD49" s="13" t="s">
        <v>137</v>
      </c>
      <c r="AE49" s="13">
        <f>VLOOKUP(Table2[[#This Row],[3_Elephant_ID]],'[1]Attributes(OUTDATED)'!$A$2:$N$19,12,FALSE)</f>
        <v>424</v>
      </c>
      <c r="AF49" s="13">
        <f>VLOOKUP(Table2[[#This Row],[3_Elephant_ID]],'[1]Attributes(OUTDATED)'!$A$2:$N$19,13,FALSE)</f>
        <v>0.10299999999999999</v>
      </c>
      <c r="AG49" s="13">
        <f>VLOOKUP(Table2[[#This Row],[3_Elephant_ID]],'[1]Attributes(OUTDATED)'!$A$2:$N$19,14,FALSE)</f>
        <v>0.10282190709599449</v>
      </c>
      <c r="AH49" s="13">
        <v>7</v>
      </c>
      <c r="AI49" s="13">
        <v>0</v>
      </c>
      <c r="AJ49" s="13">
        <v>0</v>
      </c>
      <c r="AK49" s="13">
        <v>0</v>
      </c>
      <c r="AL49" s="13">
        <f>VLOOKUP(Table2[[#This Row],[3_Elephant_ID]],'[1]Attributes(OUTDATED)'!$A$2:$P$19,16,FALSE)</f>
        <v>1</v>
      </c>
      <c r="AM49" s="13">
        <f>VLOOKUP(Table2[[#This Row],[3_Elephant_ID]],'[1]Attributes(OUTDATED)'!$A$2:$S$19,17,FALSE)</f>
        <v>9</v>
      </c>
      <c r="AN49" s="13">
        <f>VLOOKUP(Table2[[#This Row],[3_Elephant_ID]],'[1]Attributes(OUTDATED)'!$A$2:$S$19,18,FALSE)</f>
        <v>8</v>
      </c>
    </row>
    <row r="50" spans="1:40" ht="28" x14ac:dyDescent="0.15">
      <c r="A50" s="3">
        <v>30</v>
      </c>
      <c r="B50" s="6">
        <v>1403230935</v>
      </c>
      <c r="C50" s="7">
        <v>14</v>
      </c>
      <c r="D50" s="7">
        <v>3</v>
      </c>
      <c r="E50" s="7">
        <v>2023</v>
      </c>
      <c r="F50" s="5">
        <v>44999</v>
      </c>
      <c r="G50" s="6" t="s">
        <v>6</v>
      </c>
      <c r="H50" s="17">
        <v>0.30311688311688301</v>
      </c>
      <c r="I50" s="20">
        <f>ROUNDUP((Table2[[#This Row],[fGCM_Conc]]*10000),0)</f>
        <v>3032</v>
      </c>
      <c r="J50" s="3" t="str">
        <f>VLOOKUP(G50,'[1]Attributes(OUTDATED)'!$A$2:$C$19,2,FALSE)</f>
        <v>F</v>
      </c>
      <c r="K50" s="3" t="str">
        <f>VLOOKUP(G50,'[1]Attributes(OUTDATED)'!$A$2:$C$19,3,FALSE)</f>
        <v>A</v>
      </c>
      <c r="L50" s="3">
        <f>VLOOKUP(G50,'[1]Attributes(OUTDATED)'!$A$2:$H$19,8,FALSE)</f>
        <v>1168</v>
      </c>
      <c r="M50" s="3" t="str">
        <f>K50&amp;J50</f>
        <v>AF</v>
      </c>
      <c r="N50" s="3" t="e">
        <f>VLOOKUP(G50,#REF!,2,FALSE)</f>
        <v>#REF!</v>
      </c>
      <c r="O50" s="11">
        <v>44997</v>
      </c>
      <c r="P50" s="13">
        <v>27.7</v>
      </c>
      <c r="Q50" s="13">
        <v>19.600000000000001</v>
      </c>
      <c r="R50" s="13">
        <v>11.6</v>
      </c>
      <c r="S50" s="13">
        <f>Table2[[#This Row],[2_Temp_H]]-Table2[[#This Row],[2_Temp_L]]</f>
        <v>16.100000000000001</v>
      </c>
      <c r="T50" s="13">
        <v>21.1</v>
      </c>
      <c r="U50" s="13">
        <v>4.5</v>
      </c>
      <c r="V50" s="13">
        <v>1014.9</v>
      </c>
      <c r="W50" s="13">
        <v>1010.84</v>
      </c>
      <c r="X50" s="13">
        <v>0</v>
      </c>
      <c r="Y50" s="13" t="s">
        <v>147</v>
      </c>
      <c r="Z50" s="13" t="s">
        <v>141</v>
      </c>
      <c r="AA50" s="13" t="s">
        <v>26</v>
      </c>
      <c r="AB50" s="13" t="s">
        <v>142</v>
      </c>
      <c r="AC50" s="13" t="s">
        <v>145</v>
      </c>
      <c r="AD50" s="13" t="s">
        <v>137</v>
      </c>
      <c r="AE50" s="13">
        <f>VLOOKUP(Table2[[#This Row],[3_Elephant_ID]],'[1]Attributes(OUTDATED)'!$A$2:$N$19,12,FALSE)</f>
        <v>286</v>
      </c>
      <c r="AF50" s="13">
        <f>VLOOKUP(Table2[[#This Row],[3_Elephant_ID]],'[1]Attributes(OUTDATED)'!$A$2:$N$19,13,FALSE)</f>
        <v>0.26800000000000002</v>
      </c>
      <c r="AG50" s="13">
        <f>VLOOKUP(Table2[[#This Row],[3_Elephant_ID]],'[1]Attributes(OUTDATED)'!$A$2:$N$19,14,FALSE)</f>
        <v>0.26721028245328138</v>
      </c>
      <c r="AH50" s="13">
        <v>7</v>
      </c>
      <c r="AI50" s="13">
        <v>0</v>
      </c>
      <c r="AJ50" s="13">
        <v>0</v>
      </c>
      <c r="AK50" s="13">
        <v>0</v>
      </c>
      <c r="AL50" s="13">
        <f>VLOOKUP(Table2[[#This Row],[3_Elephant_ID]],'[1]Attributes(OUTDATED)'!$A$2:$P$19,16,FALSE)</f>
        <v>2</v>
      </c>
      <c r="AM50" s="13">
        <f>VLOOKUP(Table2[[#This Row],[3_Elephant_ID]],'[1]Attributes(OUTDATED)'!$A$2:$S$19,17,FALSE)</f>
        <v>12</v>
      </c>
      <c r="AN50" s="13">
        <f>VLOOKUP(Table2[[#This Row],[3_Elephant_ID]],'[1]Attributes(OUTDATED)'!$A$2:$S$19,18,FALSE)</f>
        <v>5</v>
      </c>
    </row>
    <row r="51" spans="1:40" ht="28" x14ac:dyDescent="0.15">
      <c r="A51" s="3">
        <v>27</v>
      </c>
      <c r="B51" s="6">
        <v>1403231024</v>
      </c>
      <c r="C51" s="7">
        <v>14</v>
      </c>
      <c r="D51" s="7">
        <v>3</v>
      </c>
      <c r="E51" s="7">
        <v>2023</v>
      </c>
      <c r="F51" s="5">
        <v>44999</v>
      </c>
      <c r="G51" s="6" t="s">
        <v>13</v>
      </c>
      <c r="H51" s="17">
        <v>0.28330188679245283</v>
      </c>
      <c r="I51" s="20">
        <f>ROUNDUP((Table2[[#This Row],[fGCM_Conc]]*10000),0)</f>
        <v>2834</v>
      </c>
      <c r="J51" s="3" t="str">
        <f>VLOOKUP(G51,'[1]Attributes(OUTDATED)'!$A$2:$C$19,2,FALSE)</f>
        <v>F</v>
      </c>
      <c r="K51" s="3" t="str">
        <f>VLOOKUP(G51,'[1]Attributes(OUTDATED)'!$A$2:$C$19,3,FALSE)</f>
        <v>A</v>
      </c>
      <c r="L51" s="3">
        <f>VLOOKUP(G51,'[1]Attributes(OUTDATED)'!$A$2:$H$19,8,FALSE)</f>
        <v>963</v>
      </c>
      <c r="M51" s="3" t="str">
        <f>K51&amp;J51</f>
        <v>AF</v>
      </c>
      <c r="N51" s="3" t="e">
        <f>VLOOKUP(G51,#REF!,2,FALSE)</f>
        <v>#REF!</v>
      </c>
      <c r="O51" s="11">
        <v>44997</v>
      </c>
      <c r="P51" s="13">
        <v>27.7</v>
      </c>
      <c r="Q51" s="13">
        <v>19.600000000000001</v>
      </c>
      <c r="R51" s="13">
        <v>11.6</v>
      </c>
      <c r="S51" s="13">
        <f>Table2[[#This Row],[2_Temp_H]]-Table2[[#This Row],[2_Temp_L]]</f>
        <v>16.100000000000001</v>
      </c>
      <c r="T51" s="13">
        <v>21.1</v>
      </c>
      <c r="U51" s="13">
        <v>4.5</v>
      </c>
      <c r="V51" s="13">
        <v>1014.9</v>
      </c>
      <c r="W51" s="13">
        <v>1010.84</v>
      </c>
      <c r="X51" s="13">
        <v>0</v>
      </c>
      <c r="Y51" s="13" t="s">
        <v>147</v>
      </c>
      <c r="Z51" s="13" t="s">
        <v>141</v>
      </c>
      <c r="AA51" s="13" t="s">
        <v>26</v>
      </c>
      <c r="AB51" s="13" t="s">
        <v>142</v>
      </c>
      <c r="AC51" s="13" t="s">
        <v>145</v>
      </c>
      <c r="AD51" s="13" t="s">
        <v>137</v>
      </c>
      <c r="AE51" s="13">
        <f>VLOOKUP(Table2[[#This Row],[3_Elephant_ID]],'[1]Attributes(OUTDATED)'!$A$2:$N$19,12,FALSE)</f>
        <v>289</v>
      </c>
      <c r="AF51" s="13">
        <f>VLOOKUP(Table2[[#This Row],[3_Elephant_ID]],'[1]Attributes(OUTDATED)'!$A$2:$N$19,13,FALSE)</f>
        <v>0.32400000000000001</v>
      </c>
      <c r="AG51" s="13">
        <f>VLOOKUP(Table2[[#This Row],[3_Elephant_ID]],'[1]Attributes(OUTDATED)'!$A$2:$N$19,14,FALSE)</f>
        <v>0.32380809109629533</v>
      </c>
      <c r="AH51" s="13">
        <v>7</v>
      </c>
      <c r="AI51" s="13">
        <v>0</v>
      </c>
      <c r="AJ51" s="13">
        <v>0</v>
      </c>
      <c r="AK51" s="13">
        <v>0</v>
      </c>
      <c r="AL51" s="13">
        <f>VLOOKUP(Table2[[#This Row],[3_Elephant_ID]],'[1]Attributes(OUTDATED)'!$A$2:$P$19,16,FALSE)</f>
        <v>2</v>
      </c>
      <c r="AM51" s="13">
        <f>VLOOKUP(Table2[[#This Row],[3_Elephant_ID]],'[1]Attributes(OUTDATED)'!$A$2:$S$19,17,FALSE)</f>
        <v>9</v>
      </c>
      <c r="AN51" s="13">
        <f>VLOOKUP(Table2[[#This Row],[3_Elephant_ID]],'[1]Attributes(OUTDATED)'!$A$2:$S$19,18,FALSE)</f>
        <v>9</v>
      </c>
    </row>
    <row r="52" spans="1:40" ht="28" x14ac:dyDescent="0.15">
      <c r="A52" s="3">
        <v>26</v>
      </c>
      <c r="B52" s="6">
        <v>1403231211</v>
      </c>
      <c r="C52" s="7">
        <v>14</v>
      </c>
      <c r="D52" s="7">
        <v>3</v>
      </c>
      <c r="E52" s="7">
        <v>2023</v>
      </c>
      <c r="F52" s="5">
        <v>44999</v>
      </c>
      <c r="G52" s="6" t="s">
        <v>11</v>
      </c>
      <c r="H52" s="17">
        <v>0.2503544776119403</v>
      </c>
      <c r="I52" s="20">
        <f>ROUNDUP((Table2[[#This Row],[fGCM_Conc]]*10000),0)</f>
        <v>2504</v>
      </c>
      <c r="J52" s="3" t="str">
        <f>VLOOKUP(G52,'[1]Attributes(OUTDATED)'!$A$2:$C$19,2,FALSE)</f>
        <v>M</v>
      </c>
      <c r="K52" s="3" t="str">
        <f>VLOOKUP(G52,'[1]Attributes(OUTDATED)'!$A$2:$C$19,3,FALSE)</f>
        <v>A</v>
      </c>
      <c r="L52" s="3">
        <f>VLOOKUP(G52,'[1]Attributes(OUTDATED)'!$A$2:$H$19,8,FALSE)</f>
        <v>1223</v>
      </c>
      <c r="M52" s="3" t="str">
        <f>K52&amp;J52</f>
        <v>AM</v>
      </c>
      <c r="N52" s="3" t="e">
        <f>VLOOKUP(G52,#REF!,2,FALSE)</f>
        <v>#REF!</v>
      </c>
      <c r="O52" s="11">
        <v>44997</v>
      </c>
      <c r="P52" s="13">
        <v>27.7</v>
      </c>
      <c r="Q52" s="13">
        <v>19.600000000000001</v>
      </c>
      <c r="R52" s="13">
        <v>11.6</v>
      </c>
      <c r="S52" s="13">
        <f>Table2[[#This Row],[2_Temp_H]]-Table2[[#This Row],[2_Temp_L]]</f>
        <v>16.100000000000001</v>
      </c>
      <c r="T52" s="13">
        <v>21.1</v>
      </c>
      <c r="U52" s="13">
        <v>4.5</v>
      </c>
      <c r="V52" s="13">
        <v>1014.9</v>
      </c>
      <c r="W52" s="13">
        <v>1010.84</v>
      </c>
      <c r="X52" s="13">
        <v>0</v>
      </c>
      <c r="Y52" s="13" t="s">
        <v>147</v>
      </c>
      <c r="Z52" s="13" t="s">
        <v>141</v>
      </c>
      <c r="AA52" s="13" t="s">
        <v>26</v>
      </c>
      <c r="AB52" s="13" t="s">
        <v>142</v>
      </c>
      <c r="AC52" s="13" t="s">
        <v>145</v>
      </c>
      <c r="AD52" s="13" t="s">
        <v>137</v>
      </c>
      <c r="AE52" s="13">
        <f>VLOOKUP(Table2[[#This Row],[3_Elephant_ID]],'[1]Attributes(OUTDATED)'!$A$2:$N$19,12,FALSE)</f>
        <v>404</v>
      </c>
      <c r="AF52" s="13">
        <f>VLOOKUP(Table2[[#This Row],[3_Elephant_ID]],'[1]Attributes(OUTDATED)'!$A$2:$N$19,13,FALSE)</f>
        <v>0.91700000000000004</v>
      </c>
      <c r="AG52" s="13">
        <f>VLOOKUP(Table2[[#This Row],[3_Elephant_ID]],'[1]Attributes(OUTDATED)'!$A$2:$N$19,14,FALSE)</f>
        <v>0.91664628583929353</v>
      </c>
      <c r="AH52" s="13">
        <v>7</v>
      </c>
      <c r="AI52" s="13">
        <v>1</v>
      </c>
      <c r="AJ52" s="13">
        <v>1</v>
      </c>
      <c r="AK52" s="13">
        <v>2</v>
      </c>
      <c r="AL52" s="13">
        <f>VLOOKUP(Table2[[#This Row],[3_Elephant_ID]],'[1]Attributes(OUTDATED)'!$A$2:$P$19,16,FALSE)</f>
        <v>1</v>
      </c>
      <c r="AM52" s="13">
        <f>VLOOKUP(Table2[[#This Row],[3_Elephant_ID]],'[1]Attributes(OUTDATED)'!$A$2:$S$19,17,FALSE)</f>
        <v>14</v>
      </c>
      <c r="AN52" s="13">
        <f>VLOOKUP(Table2[[#This Row],[3_Elephant_ID]],'[1]Attributes(OUTDATED)'!$A$2:$S$19,18,FALSE)</f>
        <v>17</v>
      </c>
    </row>
    <row r="53" spans="1:40" ht="28" x14ac:dyDescent="0.15">
      <c r="A53" s="3">
        <v>29</v>
      </c>
      <c r="B53" s="6">
        <v>1403231004</v>
      </c>
      <c r="C53" s="7">
        <v>14</v>
      </c>
      <c r="D53" s="7">
        <v>3</v>
      </c>
      <c r="E53" s="7">
        <v>2023</v>
      </c>
      <c r="F53" s="5">
        <v>44999</v>
      </c>
      <c r="G53" s="6" t="s">
        <v>11</v>
      </c>
      <c r="H53" s="17">
        <v>0.20528650646950089</v>
      </c>
      <c r="I53" s="20">
        <f>ROUNDUP((Table2[[#This Row],[fGCM_Conc]]*10000),0)</f>
        <v>2053</v>
      </c>
      <c r="J53" s="3" t="str">
        <f>VLOOKUP(G53,'[1]Attributes(OUTDATED)'!$A$2:$C$19,2,FALSE)</f>
        <v>M</v>
      </c>
      <c r="K53" s="3" t="str">
        <f>VLOOKUP(G53,'[1]Attributes(OUTDATED)'!$A$2:$C$19,3,FALSE)</f>
        <v>A</v>
      </c>
      <c r="L53" s="3">
        <f>VLOOKUP(G53,'[1]Attributes(OUTDATED)'!$A$2:$H$19,8,FALSE)</f>
        <v>1223</v>
      </c>
      <c r="M53" s="3" t="str">
        <f>K53&amp;J53</f>
        <v>AM</v>
      </c>
      <c r="N53" s="3" t="e">
        <f>VLOOKUP(G53,#REF!,2,FALSE)</f>
        <v>#REF!</v>
      </c>
      <c r="O53" s="11">
        <v>44997</v>
      </c>
      <c r="P53" s="13">
        <v>27.7</v>
      </c>
      <c r="Q53" s="13">
        <v>19.600000000000001</v>
      </c>
      <c r="R53" s="13">
        <v>11.6</v>
      </c>
      <c r="S53" s="13">
        <f>Table2[[#This Row],[2_Temp_H]]-Table2[[#This Row],[2_Temp_L]]</f>
        <v>16.100000000000001</v>
      </c>
      <c r="T53" s="13">
        <v>21.1</v>
      </c>
      <c r="U53" s="13">
        <v>4.5</v>
      </c>
      <c r="V53" s="13">
        <v>1014.9</v>
      </c>
      <c r="W53" s="13">
        <v>1010.84</v>
      </c>
      <c r="X53" s="13">
        <v>0</v>
      </c>
      <c r="Y53" s="13" t="s">
        <v>147</v>
      </c>
      <c r="Z53" s="13" t="s">
        <v>141</v>
      </c>
      <c r="AA53" s="13" t="s">
        <v>26</v>
      </c>
      <c r="AB53" s="13" t="s">
        <v>142</v>
      </c>
      <c r="AC53" s="13" t="s">
        <v>145</v>
      </c>
      <c r="AD53" s="13" t="s">
        <v>137</v>
      </c>
      <c r="AE53" s="13">
        <f>VLOOKUP(Table2[[#This Row],[3_Elephant_ID]],'[1]Attributes(OUTDATED)'!$A$2:$N$19,12,FALSE)</f>
        <v>404</v>
      </c>
      <c r="AF53" s="13">
        <f>VLOOKUP(Table2[[#This Row],[3_Elephant_ID]],'[1]Attributes(OUTDATED)'!$A$2:$N$19,13,FALSE)</f>
        <v>0.91700000000000004</v>
      </c>
      <c r="AG53" s="13">
        <f>VLOOKUP(Table2[[#This Row],[3_Elephant_ID]],'[1]Attributes(OUTDATED)'!$A$2:$N$19,14,FALSE)</f>
        <v>0.91664628583929353</v>
      </c>
      <c r="AH53" s="13">
        <v>7</v>
      </c>
      <c r="AI53" s="13">
        <v>1</v>
      </c>
      <c r="AJ53" s="13">
        <v>1</v>
      </c>
      <c r="AK53" s="13">
        <v>2</v>
      </c>
      <c r="AL53" s="13">
        <f>VLOOKUP(Table2[[#This Row],[3_Elephant_ID]],'[1]Attributes(OUTDATED)'!$A$2:$P$19,16,FALSE)</f>
        <v>1</v>
      </c>
      <c r="AM53" s="13">
        <f>VLOOKUP(Table2[[#This Row],[3_Elephant_ID]],'[1]Attributes(OUTDATED)'!$A$2:$S$19,17,FALSE)</f>
        <v>14</v>
      </c>
      <c r="AN53" s="13">
        <f>VLOOKUP(Table2[[#This Row],[3_Elephant_ID]],'[1]Attributes(OUTDATED)'!$A$2:$S$19,18,FALSE)</f>
        <v>17</v>
      </c>
    </row>
    <row r="54" spans="1:40" ht="28" x14ac:dyDescent="0.15">
      <c r="A54" s="3">
        <v>28</v>
      </c>
      <c r="B54" s="6">
        <v>1403231006</v>
      </c>
      <c r="C54" s="7">
        <v>14</v>
      </c>
      <c r="D54" s="7">
        <v>3</v>
      </c>
      <c r="E54" s="7">
        <v>2023</v>
      </c>
      <c r="F54" s="5">
        <v>44999</v>
      </c>
      <c r="G54" s="6" t="s">
        <v>5</v>
      </c>
      <c r="H54" s="17">
        <v>0.17907335907335908</v>
      </c>
      <c r="I54" s="20">
        <f>ROUNDUP((Table2[[#This Row],[fGCM_Conc]]*10000),0)</f>
        <v>1791</v>
      </c>
      <c r="J54" s="3" t="str">
        <f>VLOOKUP(G54,'[1]Attributes(OUTDATED)'!$A$2:$C$19,2,FALSE)</f>
        <v>M</v>
      </c>
      <c r="K54" s="3" t="str">
        <f>VLOOKUP(G54,'[1]Attributes(OUTDATED)'!$A$2:$C$19,3,FALSE)</f>
        <v>J</v>
      </c>
      <c r="L54" s="3">
        <f>VLOOKUP(G54,'[1]Attributes(OUTDATED)'!$A$2:$H$19,8,FALSE)</f>
        <v>940</v>
      </c>
      <c r="M54" s="3" t="str">
        <f>K54&amp;J54</f>
        <v>JM</v>
      </c>
      <c r="N54" s="3" t="e">
        <f>VLOOKUP(G54,#REF!,2,FALSE)</f>
        <v>#REF!</v>
      </c>
      <c r="O54" s="11">
        <v>44997</v>
      </c>
      <c r="P54" s="13">
        <v>27.7</v>
      </c>
      <c r="Q54" s="13">
        <v>19.600000000000001</v>
      </c>
      <c r="R54" s="13">
        <v>11.6</v>
      </c>
      <c r="S54" s="13">
        <f>Table2[[#This Row],[2_Temp_H]]-Table2[[#This Row],[2_Temp_L]]</f>
        <v>16.100000000000001</v>
      </c>
      <c r="T54" s="13">
        <v>21.1</v>
      </c>
      <c r="U54" s="13">
        <v>4.5</v>
      </c>
      <c r="V54" s="13">
        <v>1014.9</v>
      </c>
      <c r="W54" s="13">
        <v>1010.84</v>
      </c>
      <c r="X54" s="13">
        <v>0</v>
      </c>
      <c r="Y54" s="13" t="s">
        <v>147</v>
      </c>
      <c r="Z54" s="13" t="s">
        <v>141</v>
      </c>
      <c r="AA54" s="13" t="s">
        <v>26</v>
      </c>
      <c r="AB54" s="13" t="s">
        <v>142</v>
      </c>
      <c r="AC54" s="13" t="s">
        <v>145</v>
      </c>
      <c r="AD54" s="13" t="s">
        <v>137</v>
      </c>
      <c r="AE54" s="13">
        <f>VLOOKUP(Table2[[#This Row],[3_Elephant_ID]],'[1]Attributes(OUTDATED)'!$A$2:$N$19,12,FALSE)</f>
        <v>361</v>
      </c>
      <c r="AF54" s="13">
        <f>VLOOKUP(Table2[[#This Row],[3_Elephant_ID]],'[1]Attributes(OUTDATED)'!$A$2:$N$19,13,FALSE)</f>
        <v>0.40600000000000003</v>
      </c>
      <c r="AG54" s="13">
        <f>VLOOKUP(Table2[[#This Row],[3_Elephant_ID]],'[1]Attributes(OUTDATED)'!$A$2:$N$19,14,FALSE)</f>
        <v>0.40590323220736402</v>
      </c>
      <c r="AH54" s="13">
        <v>7</v>
      </c>
      <c r="AI54" s="13">
        <v>0</v>
      </c>
      <c r="AJ54" s="13">
        <v>0</v>
      </c>
      <c r="AK54" s="13">
        <v>0</v>
      </c>
      <c r="AL54" s="13">
        <f>VLOOKUP(Table2[[#This Row],[3_Elephant_ID]],'[1]Attributes(OUTDATED)'!$A$2:$P$19,16,FALSE)</f>
        <v>1</v>
      </c>
      <c r="AM54" s="13">
        <f>VLOOKUP(Table2[[#This Row],[3_Elephant_ID]],'[1]Attributes(OUTDATED)'!$A$2:$S$19,17,FALSE)</f>
        <v>2</v>
      </c>
      <c r="AN54" s="13">
        <f>VLOOKUP(Table2[[#This Row],[3_Elephant_ID]],'[1]Attributes(OUTDATED)'!$A$2:$S$19,18,FALSE)</f>
        <v>7</v>
      </c>
    </row>
    <row r="55" spans="1:40" ht="28" x14ac:dyDescent="0.15">
      <c r="A55" s="3">
        <v>24</v>
      </c>
      <c r="B55" s="6">
        <v>1503231302</v>
      </c>
      <c r="C55" s="7">
        <v>15</v>
      </c>
      <c r="D55" s="7">
        <v>3</v>
      </c>
      <c r="E55" s="7">
        <v>2023</v>
      </c>
      <c r="F55" s="5">
        <v>45000</v>
      </c>
      <c r="G55" s="6" t="s">
        <v>10</v>
      </c>
      <c r="H55" s="17">
        <v>0.37370786516853927</v>
      </c>
      <c r="I55" s="20">
        <f>ROUNDUP((Table2[[#This Row],[fGCM_Conc]]*10000),0)</f>
        <v>3738</v>
      </c>
      <c r="J55" s="3" t="str">
        <f>VLOOKUP(G55,'[1]Attributes(OUTDATED)'!$A$2:$C$19,2,FALSE)</f>
        <v>F</v>
      </c>
      <c r="K55" s="3" t="str">
        <f>VLOOKUP(G55,'[1]Attributes(OUTDATED)'!$A$2:$C$19,3,FALSE)</f>
        <v>A</v>
      </c>
      <c r="L55" s="3">
        <f>VLOOKUP(G55,'[1]Attributes(OUTDATED)'!$A$2:$H$19,8,FALSE)</f>
        <v>1146</v>
      </c>
      <c r="M55" s="3" t="str">
        <f>K55&amp;J55</f>
        <v>AF</v>
      </c>
      <c r="N55" s="3" t="e">
        <f>VLOOKUP(G55,#REF!,2,FALSE)</f>
        <v>#REF!</v>
      </c>
      <c r="O55" s="11">
        <v>44998</v>
      </c>
      <c r="P55" s="13">
        <v>34.700000000000003</v>
      </c>
      <c r="Q55" s="13">
        <v>24.7</v>
      </c>
      <c r="R55" s="13">
        <v>12.8</v>
      </c>
      <c r="S55" s="13">
        <f>Table2[[#This Row],[2_Temp_H]]-Table2[[#This Row],[2_Temp_L]]</f>
        <v>21.900000000000002</v>
      </c>
      <c r="T55" s="13">
        <v>28.6</v>
      </c>
      <c r="U55" s="13">
        <v>6.3</v>
      </c>
      <c r="V55" s="13">
        <v>1011.85</v>
      </c>
      <c r="W55" s="13">
        <v>1007.79</v>
      </c>
      <c r="X55" s="13">
        <v>0</v>
      </c>
      <c r="Y55" s="13" t="s">
        <v>147</v>
      </c>
      <c r="Z55" s="16" t="s">
        <v>171</v>
      </c>
      <c r="AA55" s="13" t="s">
        <v>137</v>
      </c>
      <c r="AB55" s="13" t="s">
        <v>142</v>
      </c>
      <c r="AC55" s="13" t="s">
        <v>145</v>
      </c>
      <c r="AD55" s="13" t="s">
        <v>137</v>
      </c>
      <c r="AE55" s="13">
        <f>VLOOKUP(Table2[[#This Row],[3_Elephant_ID]],'[1]Attributes(OUTDATED)'!$A$2:$N$19,12,FALSE)</f>
        <v>424</v>
      </c>
      <c r="AF55" s="13">
        <f>VLOOKUP(Table2[[#This Row],[3_Elephant_ID]],'[1]Attributes(OUTDATED)'!$A$2:$N$19,13,FALSE)</f>
        <v>0.10299999999999999</v>
      </c>
      <c r="AG55" s="13">
        <f>VLOOKUP(Table2[[#This Row],[3_Elephant_ID]],'[1]Attributes(OUTDATED)'!$A$2:$N$19,14,FALSE)</f>
        <v>0.10282190709599449</v>
      </c>
      <c r="AH55" s="13">
        <v>1</v>
      </c>
      <c r="AI55" s="13">
        <v>0</v>
      </c>
      <c r="AJ55" s="13">
        <v>0</v>
      </c>
      <c r="AK55" s="13">
        <v>0</v>
      </c>
      <c r="AL55" s="13">
        <f>VLOOKUP(Table2[[#This Row],[3_Elephant_ID]],'[1]Attributes(OUTDATED)'!$A$2:$P$19,16,FALSE)</f>
        <v>1</v>
      </c>
      <c r="AM55" s="13">
        <f>VLOOKUP(Table2[[#This Row],[3_Elephant_ID]],'[1]Attributes(OUTDATED)'!$A$2:$S$19,17,FALSE)</f>
        <v>9</v>
      </c>
      <c r="AN55" s="13">
        <f>VLOOKUP(Table2[[#This Row],[3_Elephant_ID]],'[1]Attributes(OUTDATED)'!$A$2:$S$19,18,FALSE)</f>
        <v>8</v>
      </c>
    </row>
    <row r="56" spans="1:40" ht="28" x14ac:dyDescent="0.15">
      <c r="A56" s="3">
        <v>25</v>
      </c>
      <c r="B56" s="6">
        <v>1503231041</v>
      </c>
      <c r="C56" s="7">
        <v>15</v>
      </c>
      <c r="D56" s="7">
        <v>3</v>
      </c>
      <c r="E56" s="7">
        <v>2023</v>
      </c>
      <c r="F56" s="5">
        <v>45000</v>
      </c>
      <c r="G56" s="6" t="s">
        <v>2</v>
      </c>
      <c r="H56" s="17">
        <v>0.19284926470588235</v>
      </c>
      <c r="I56" s="20">
        <f>ROUNDUP((Table2[[#This Row],[fGCM_Conc]]*10000),0)</f>
        <v>1929</v>
      </c>
      <c r="J56" s="3" t="str">
        <f>VLOOKUP(G56,'[1]Attributes(OUTDATED)'!$A$2:$C$19,2,FALSE)</f>
        <v>F</v>
      </c>
      <c r="K56" s="3" t="str">
        <f>VLOOKUP(G56,'[1]Attributes(OUTDATED)'!$A$2:$C$19,3,FALSE)</f>
        <v>A</v>
      </c>
      <c r="L56" s="3">
        <f>VLOOKUP(G56,'[1]Attributes(OUTDATED)'!$A$2:$H$19,8,FALSE)</f>
        <v>892</v>
      </c>
      <c r="M56" s="3" t="str">
        <f>K56&amp;J56</f>
        <v>AF</v>
      </c>
      <c r="N56" s="3" t="e">
        <f>VLOOKUP(G56,#REF!,2,FALSE)</f>
        <v>#REF!</v>
      </c>
      <c r="O56" s="11">
        <v>44998</v>
      </c>
      <c r="P56" s="13">
        <v>34.700000000000003</v>
      </c>
      <c r="Q56" s="13">
        <v>24.7</v>
      </c>
      <c r="R56" s="13">
        <v>12.8</v>
      </c>
      <c r="S56" s="13">
        <f>Table2[[#This Row],[2_Temp_H]]-Table2[[#This Row],[2_Temp_L]]</f>
        <v>21.900000000000002</v>
      </c>
      <c r="T56" s="13">
        <v>28.6</v>
      </c>
      <c r="U56" s="13">
        <v>6.3</v>
      </c>
      <c r="V56" s="13">
        <v>1011.85</v>
      </c>
      <c r="W56" s="13">
        <v>1007.79</v>
      </c>
      <c r="X56" s="13">
        <v>0</v>
      </c>
      <c r="Y56" s="13" t="s">
        <v>147</v>
      </c>
      <c r="Z56" s="16" t="s">
        <v>171</v>
      </c>
      <c r="AA56" s="13" t="s">
        <v>137</v>
      </c>
      <c r="AB56" s="13" t="s">
        <v>142</v>
      </c>
      <c r="AC56" s="13" t="s">
        <v>145</v>
      </c>
      <c r="AD56" s="13" t="s">
        <v>137</v>
      </c>
      <c r="AE56" s="13">
        <f>VLOOKUP(Table2[[#This Row],[3_Elephant_ID]],'[1]Attributes(OUTDATED)'!$A$2:$N$19,12,FALSE)</f>
        <v>378</v>
      </c>
      <c r="AF56" s="13">
        <f>VLOOKUP(Table2[[#This Row],[3_Elephant_ID]],'[1]Attributes(OUTDATED)'!$A$2:$N$19,13,FALSE)</f>
        <v>8.6999999999999994E-2</v>
      </c>
      <c r="AG56" s="13">
        <f>VLOOKUP(Table2[[#This Row],[3_Elephant_ID]],'[1]Attributes(OUTDATED)'!$A$2:$N$19,14,FALSE)</f>
        <v>8.6599138783086713E-2</v>
      </c>
      <c r="AH56" s="13">
        <v>1</v>
      </c>
      <c r="AI56" s="13">
        <v>0</v>
      </c>
      <c r="AJ56" s="13">
        <v>0</v>
      </c>
      <c r="AK56" s="13">
        <v>0</v>
      </c>
      <c r="AL56" s="13">
        <f>VLOOKUP(Table2[[#This Row],[3_Elephant_ID]],'[1]Attributes(OUTDATED)'!$A$2:$P$19,16,FALSE)</f>
        <v>1</v>
      </c>
      <c r="AM56" s="13">
        <f>VLOOKUP(Table2[[#This Row],[3_Elephant_ID]],'[1]Attributes(OUTDATED)'!$A$2:$S$19,17,FALSE)</f>
        <v>4</v>
      </c>
      <c r="AN56" s="13">
        <f>VLOOKUP(Table2[[#This Row],[3_Elephant_ID]],'[1]Attributes(OUTDATED)'!$A$2:$S$19,18,FALSE)</f>
        <v>20</v>
      </c>
    </row>
    <row r="57" spans="1:40" ht="28" x14ac:dyDescent="0.15">
      <c r="A57" s="3">
        <v>22</v>
      </c>
      <c r="B57" s="6">
        <v>1603231617</v>
      </c>
      <c r="C57" s="7">
        <v>16</v>
      </c>
      <c r="D57" s="7">
        <v>3</v>
      </c>
      <c r="E57" s="7">
        <v>2023</v>
      </c>
      <c r="F57" s="5">
        <v>45001</v>
      </c>
      <c r="G57" s="6" t="s">
        <v>10</v>
      </c>
      <c r="H57" s="17">
        <v>0.29168260038240917</v>
      </c>
      <c r="I57" s="20">
        <f>ROUNDUP((Table2[[#This Row],[fGCM_Conc]]*10000),0)</f>
        <v>2917</v>
      </c>
      <c r="J57" s="3" t="str">
        <f>VLOOKUP(G57,'[1]Attributes(OUTDATED)'!$A$2:$C$19,2,FALSE)</f>
        <v>F</v>
      </c>
      <c r="K57" s="3" t="str">
        <f>VLOOKUP(G57,'[1]Attributes(OUTDATED)'!$A$2:$C$19,3,FALSE)</f>
        <v>A</v>
      </c>
      <c r="L57" s="3">
        <f>VLOOKUP(G57,'[1]Attributes(OUTDATED)'!$A$2:$H$19,8,FALSE)</f>
        <v>1146</v>
      </c>
      <c r="M57" s="3" t="str">
        <f>K57&amp;J57</f>
        <v>AF</v>
      </c>
      <c r="N57" s="3" t="e">
        <f>VLOOKUP(G57,#REF!,2,FALSE)</f>
        <v>#REF!</v>
      </c>
      <c r="O57" s="11">
        <v>44999</v>
      </c>
      <c r="P57" s="13">
        <v>34.200000000000003</v>
      </c>
      <c r="Q57" s="13">
        <v>23.8</v>
      </c>
      <c r="R57" s="13">
        <v>13.9</v>
      </c>
      <c r="S57" s="13">
        <f>Table2[[#This Row],[2_Temp_H]]-Table2[[#This Row],[2_Temp_L]]</f>
        <v>20.300000000000004</v>
      </c>
      <c r="T57" s="13">
        <v>18.7</v>
      </c>
      <c r="U57" s="13">
        <v>4.2</v>
      </c>
      <c r="V57" s="13">
        <v>1009.82</v>
      </c>
      <c r="W57" s="13">
        <v>1007.79</v>
      </c>
      <c r="X57" s="13">
        <v>0</v>
      </c>
      <c r="Y57" s="13" t="s">
        <v>147</v>
      </c>
      <c r="Z57" s="16" t="s">
        <v>171</v>
      </c>
      <c r="AA57" s="13" t="s">
        <v>137</v>
      </c>
      <c r="AB57" s="13" t="s">
        <v>142</v>
      </c>
      <c r="AC57" s="13" t="s">
        <v>145</v>
      </c>
      <c r="AD57" s="13" t="s">
        <v>137</v>
      </c>
      <c r="AE57" s="13">
        <f>VLOOKUP(Table2[[#This Row],[3_Elephant_ID]],'[1]Attributes(OUTDATED)'!$A$2:$N$19,12,FALSE)</f>
        <v>424</v>
      </c>
      <c r="AF57" s="13">
        <f>VLOOKUP(Table2[[#This Row],[3_Elephant_ID]],'[1]Attributes(OUTDATED)'!$A$2:$N$19,13,FALSE)</f>
        <v>0.10299999999999999</v>
      </c>
      <c r="AG57" s="13">
        <f>VLOOKUP(Table2[[#This Row],[3_Elephant_ID]],'[1]Attributes(OUTDATED)'!$A$2:$N$19,14,FALSE)</f>
        <v>0.10282190709599449</v>
      </c>
      <c r="AH57" s="13">
        <v>0</v>
      </c>
      <c r="AI57" s="13">
        <v>0</v>
      </c>
      <c r="AJ57" s="13">
        <v>0</v>
      </c>
      <c r="AK57" s="13">
        <v>0</v>
      </c>
      <c r="AL57" s="13">
        <f>VLOOKUP(Table2[[#This Row],[3_Elephant_ID]],'[1]Attributes(OUTDATED)'!$A$2:$P$19,16,FALSE)</f>
        <v>1</v>
      </c>
      <c r="AM57" s="13">
        <f>VLOOKUP(Table2[[#This Row],[3_Elephant_ID]],'[1]Attributes(OUTDATED)'!$A$2:$S$19,17,FALSE)</f>
        <v>9</v>
      </c>
      <c r="AN57" s="13">
        <f>VLOOKUP(Table2[[#This Row],[3_Elephant_ID]],'[1]Attributes(OUTDATED)'!$A$2:$S$19,18,FALSE)</f>
        <v>8</v>
      </c>
    </row>
    <row r="58" spans="1:40" ht="28" x14ac:dyDescent="0.15">
      <c r="A58" s="3">
        <v>23</v>
      </c>
      <c r="B58" s="6">
        <v>1603231405</v>
      </c>
      <c r="C58" s="7">
        <v>16</v>
      </c>
      <c r="D58" s="7">
        <v>3</v>
      </c>
      <c r="E58" s="7">
        <v>2023</v>
      </c>
      <c r="F58" s="5">
        <v>45001</v>
      </c>
      <c r="G58" s="6" t="s">
        <v>12</v>
      </c>
      <c r="H58" s="17">
        <v>0.27106941838649157</v>
      </c>
      <c r="I58" s="20">
        <f>ROUNDUP((Table2[[#This Row],[fGCM_Conc]]*10000),0)</f>
        <v>2711</v>
      </c>
      <c r="J58" s="3" t="str">
        <f>VLOOKUP(G58,'[1]Attributes(OUTDATED)'!$A$2:$C$19,2,FALSE)</f>
        <v>M</v>
      </c>
      <c r="K58" s="3" t="str">
        <f>VLOOKUP(G58,'[1]Attributes(OUTDATED)'!$A$2:$C$19,3,FALSE)</f>
        <v>A</v>
      </c>
      <c r="L58" s="3">
        <f>VLOOKUP(G58,'[1]Attributes(OUTDATED)'!$A$2:$H$19,8,FALSE)</f>
        <v>1509</v>
      </c>
      <c r="M58" s="3" t="str">
        <f>K58&amp;J58</f>
        <v>AM</v>
      </c>
      <c r="N58" s="3" t="e">
        <f>VLOOKUP(G58,#REF!,2,FALSE)</f>
        <v>#REF!</v>
      </c>
      <c r="O58" s="11">
        <v>44999</v>
      </c>
      <c r="P58" s="13">
        <v>34.200000000000003</v>
      </c>
      <c r="Q58" s="13">
        <v>23.8</v>
      </c>
      <c r="R58" s="13">
        <v>13.9</v>
      </c>
      <c r="S58" s="13">
        <f>Table2[[#This Row],[2_Temp_H]]-Table2[[#This Row],[2_Temp_L]]</f>
        <v>20.300000000000004</v>
      </c>
      <c r="T58" s="13">
        <v>18.7</v>
      </c>
      <c r="U58" s="13">
        <v>4.2</v>
      </c>
      <c r="V58" s="13">
        <v>1009.82</v>
      </c>
      <c r="W58" s="13">
        <v>1007.79</v>
      </c>
      <c r="X58" s="13">
        <v>0</v>
      </c>
      <c r="Y58" s="13" t="s">
        <v>147</v>
      </c>
      <c r="Z58" s="16" t="s">
        <v>171</v>
      </c>
      <c r="AA58" s="13" t="s">
        <v>137</v>
      </c>
      <c r="AB58" s="13" t="s">
        <v>142</v>
      </c>
      <c r="AC58" s="13" t="s">
        <v>145</v>
      </c>
      <c r="AD58" s="13" t="s">
        <v>137</v>
      </c>
      <c r="AE58" s="13">
        <f>VLOOKUP(Table2[[#This Row],[3_Elephant_ID]],'[1]Attributes(OUTDATED)'!$A$2:$N$19,12,FALSE)</f>
        <v>450</v>
      </c>
      <c r="AF58" s="13">
        <f>VLOOKUP(Table2[[#This Row],[3_Elephant_ID]],'[1]Attributes(OUTDATED)'!$A$2:$N$19,13,FALSE)</f>
        <v>0.375</v>
      </c>
      <c r="AG58" s="13">
        <f>VLOOKUP(Table2[[#This Row],[3_Elephant_ID]],'[1]Attributes(OUTDATED)'!$A$2:$N$19,14,FALSE)</f>
        <v>0.37414375430996583</v>
      </c>
      <c r="AH58" s="13">
        <v>0</v>
      </c>
      <c r="AI58" s="13">
        <v>0</v>
      </c>
      <c r="AJ58" s="13">
        <v>0</v>
      </c>
      <c r="AK58" s="13">
        <v>0</v>
      </c>
      <c r="AL58" s="13">
        <f>VLOOKUP(Table2[[#This Row],[3_Elephant_ID]],'[1]Attributes(OUTDATED)'!$A$2:$P$19,16,FALSE)</f>
        <v>1</v>
      </c>
      <c r="AM58" s="13">
        <f>VLOOKUP(Table2[[#This Row],[3_Elephant_ID]],'[1]Attributes(OUTDATED)'!$A$2:$S$19,17,FALSE)</f>
        <v>48</v>
      </c>
      <c r="AN58" s="13">
        <f>VLOOKUP(Table2[[#This Row],[3_Elephant_ID]],'[1]Attributes(OUTDATED)'!$A$2:$S$19,18,FALSE)</f>
        <v>3</v>
      </c>
    </row>
    <row r="59" spans="1:40" ht="28" x14ac:dyDescent="0.15">
      <c r="A59" s="3">
        <v>21</v>
      </c>
      <c r="B59" s="6">
        <v>1603231537</v>
      </c>
      <c r="C59" s="7">
        <v>16</v>
      </c>
      <c r="D59" s="7">
        <v>3</v>
      </c>
      <c r="E59" s="7">
        <v>2023</v>
      </c>
      <c r="F59" s="5">
        <v>45001</v>
      </c>
      <c r="G59" s="6" t="s">
        <v>8</v>
      </c>
      <c r="H59" s="17">
        <v>0.17626459143968873</v>
      </c>
      <c r="I59" s="20">
        <f>ROUNDUP((Table2[[#This Row],[fGCM_Conc]]*10000),0)</f>
        <v>1763</v>
      </c>
      <c r="J59" s="3" t="str">
        <f>VLOOKUP(G59,'[1]Attributes(OUTDATED)'!$A$2:$C$19,2,FALSE)</f>
        <v>F</v>
      </c>
      <c r="K59" s="3" t="str">
        <f>VLOOKUP(G59,'[1]Attributes(OUTDATED)'!$A$2:$C$19,3,FALSE)</f>
        <v>A</v>
      </c>
      <c r="L59" s="3">
        <f>VLOOKUP(G59,'[1]Attributes(OUTDATED)'!$A$2:$H$19,8,FALSE)</f>
        <v>1096</v>
      </c>
      <c r="M59" s="3" t="str">
        <f>K59&amp;J59</f>
        <v>AF</v>
      </c>
      <c r="N59" s="3" t="e">
        <f>VLOOKUP(G59,#REF!,2,FALSE)</f>
        <v>#REF!</v>
      </c>
      <c r="O59" s="11">
        <v>44999</v>
      </c>
      <c r="P59" s="13">
        <v>34.200000000000003</v>
      </c>
      <c r="Q59" s="13">
        <v>23.8</v>
      </c>
      <c r="R59" s="13">
        <v>13.9</v>
      </c>
      <c r="S59" s="13">
        <f>Table2[[#This Row],[2_Temp_H]]-Table2[[#This Row],[2_Temp_L]]</f>
        <v>20.300000000000004</v>
      </c>
      <c r="T59" s="13">
        <v>18.7</v>
      </c>
      <c r="U59" s="13">
        <v>4.2</v>
      </c>
      <c r="V59" s="13">
        <v>1009.82</v>
      </c>
      <c r="W59" s="13">
        <v>1007.79</v>
      </c>
      <c r="X59" s="13">
        <v>0</v>
      </c>
      <c r="Y59" s="13" t="s">
        <v>147</v>
      </c>
      <c r="Z59" s="16" t="s">
        <v>171</v>
      </c>
      <c r="AA59" s="13" t="s">
        <v>137</v>
      </c>
      <c r="AB59" s="13" t="s">
        <v>142</v>
      </c>
      <c r="AC59" s="13" t="s">
        <v>145</v>
      </c>
      <c r="AD59" s="13" t="s">
        <v>137</v>
      </c>
      <c r="AE59" s="13">
        <f>VLOOKUP(Table2[[#This Row],[3_Elephant_ID]],'[1]Attributes(OUTDATED)'!$A$2:$N$19,12,FALSE)</f>
        <v>346</v>
      </c>
      <c r="AF59" s="13">
        <f>VLOOKUP(Table2[[#This Row],[3_Elephant_ID]],'[1]Attributes(OUTDATED)'!$A$2:$N$19,13,FALSE)</f>
        <v>0.28999999999999998</v>
      </c>
      <c r="AG59" s="13">
        <f>VLOOKUP(Table2[[#This Row],[3_Elephant_ID]],'[1]Attributes(OUTDATED)'!$A$2:$N$19,14,FALSE)</f>
        <v>0.28929989906834258</v>
      </c>
      <c r="AH59" s="13">
        <v>0</v>
      </c>
      <c r="AI59" s="13">
        <v>0</v>
      </c>
      <c r="AJ59" s="13">
        <v>0</v>
      </c>
      <c r="AK59" s="13">
        <v>0</v>
      </c>
      <c r="AL59" s="13">
        <f>VLOOKUP(Table2[[#This Row],[3_Elephant_ID]],'[1]Attributes(OUTDATED)'!$A$2:$P$19,16,FALSE)</f>
        <v>1</v>
      </c>
      <c r="AM59" s="13">
        <f>VLOOKUP(Table2[[#This Row],[3_Elephant_ID]],'[1]Attributes(OUTDATED)'!$A$2:$S$19,17,FALSE)</f>
        <v>11</v>
      </c>
      <c r="AN59" s="13">
        <f>VLOOKUP(Table2[[#This Row],[3_Elephant_ID]],'[1]Attributes(OUTDATED)'!$A$2:$S$19,18,FALSE)</f>
        <v>7</v>
      </c>
    </row>
    <row r="60" spans="1:40" ht="28" x14ac:dyDescent="0.15">
      <c r="A60" s="3">
        <v>19</v>
      </c>
      <c r="B60" s="6">
        <v>1703231127</v>
      </c>
      <c r="C60" s="7">
        <v>17</v>
      </c>
      <c r="D60" s="7">
        <v>3</v>
      </c>
      <c r="E60" s="7">
        <v>2023</v>
      </c>
      <c r="F60" s="5">
        <v>45002</v>
      </c>
      <c r="G60" s="6" t="s">
        <v>10</v>
      </c>
      <c r="H60" s="17">
        <v>0.33927893738140424</v>
      </c>
      <c r="I60" s="20">
        <f>ROUNDUP((Table2[[#This Row],[fGCM_Conc]]*10000),0)</f>
        <v>3393</v>
      </c>
      <c r="J60" s="3" t="str">
        <f>VLOOKUP(G60,'[1]Attributes(OUTDATED)'!$A$2:$C$19,2,FALSE)</f>
        <v>F</v>
      </c>
      <c r="K60" s="3" t="str">
        <f>VLOOKUP(G60,'[1]Attributes(OUTDATED)'!$A$2:$C$19,3,FALSE)</f>
        <v>A</v>
      </c>
      <c r="L60" s="3">
        <f>VLOOKUP(G60,'[1]Attributes(OUTDATED)'!$A$2:$H$19,8,FALSE)</f>
        <v>1146</v>
      </c>
      <c r="M60" s="3" t="str">
        <f>K60&amp;J60</f>
        <v>AF</v>
      </c>
      <c r="N60" s="3" t="e">
        <f>VLOOKUP(G60,#REF!,2,FALSE)</f>
        <v>#REF!</v>
      </c>
      <c r="O60" s="11">
        <v>45000</v>
      </c>
      <c r="P60" s="13">
        <v>27</v>
      </c>
      <c r="Q60" s="13">
        <v>21</v>
      </c>
      <c r="R60" s="13">
        <v>15.8</v>
      </c>
      <c r="S60" s="13">
        <f>Table2[[#This Row],[2_Temp_H]]-Table2[[#This Row],[2_Temp_L]]</f>
        <v>11.2</v>
      </c>
      <c r="T60" s="13">
        <v>21.9</v>
      </c>
      <c r="U60" s="13">
        <v>5.5</v>
      </c>
      <c r="V60" s="13">
        <v>1012.87</v>
      </c>
      <c r="W60" s="13">
        <v>1009.82</v>
      </c>
      <c r="X60" s="13">
        <v>0.76</v>
      </c>
      <c r="Y60" s="13" t="s">
        <v>147</v>
      </c>
      <c r="Z60" s="16" t="s">
        <v>171</v>
      </c>
      <c r="AA60" s="13" t="s">
        <v>137</v>
      </c>
      <c r="AB60" s="13" t="s">
        <v>142</v>
      </c>
      <c r="AC60" s="13" t="s">
        <v>145</v>
      </c>
      <c r="AD60" s="13" t="s">
        <v>137</v>
      </c>
      <c r="AE60" s="13">
        <f>VLOOKUP(Table2[[#This Row],[3_Elephant_ID]],'[1]Attributes(OUTDATED)'!$A$2:$N$19,12,FALSE)</f>
        <v>424</v>
      </c>
      <c r="AF60" s="13">
        <f>VLOOKUP(Table2[[#This Row],[3_Elephant_ID]],'[1]Attributes(OUTDATED)'!$A$2:$N$19,13,FALSE)</f>
        <v>0.10299999999999999</v>
      </c>
      <c r="AG60" s="13">
        <f>VLOOKUP(Table2[[#This Row],[3_Elephant_ID]],'[1]Attributes(OUTDATED)'!$A$2:$N$19,14,FALSE)</f>
        <v>0.10282190709599449</v>
      </c>
      <c r="AH60" s="13">
        <v>2</v>
      </c>
      <c r="AI60" s="13">
        <v>0</v>
      </c>
      <c r="AJ60" s="13">
        <v>0</v>
      </c>
      <c r="AK60" s="13">
        <v>0</v>
      </c>
      <c r="AL60" s="13">
        <f>VLOOKUP(Table2[[#This Row],[3_Elephant_ID]],'[1]Attributes(OUTDATED)'!$A$2:$P$19,16,FALSE)</f>
        <v>1</v>
      </c>
      <c r="AM60" s="13">
        <f>VLOOKUP(Table2[[#This Row],[3_Elephant_ID]],'[1]Attributes(OUTDATED)'!$A$2:$S$19,17,FALSE)</f>
        <v>9</v>
      </c>
      <c r="AN60" s="13">
        <f>VLOOKUP(Table2[[#This Row],[3_Elephant_ID]],'[1]Attributes(OUTDATED)'!$A$2:$S$19,18,FALSE)</f>
        <v>8</v>
      </c>
    </row>
    <row r="61" spans="1:40" ht="28" x14ac:dyDescent="0.15">
      <c r="A61" s="3">
        <v>20</v>
      </c>
      <c r="B61" s="6">
        <v>1703231015</v>
      </c>
      <c r="C61" s="7">
        <v>17</v>
      </c>
      <c r="D61" s="7">
        <v>3</v>
      </c>
      <c r="E61" s="7">
        <v>2023</v>
      </c>
      <c r="F61" s="5">
        <v>45002</v>
      </c>
      <c r="G61" s="6" t="s">
        <v>11</v>
      </c>
      <c r="H61" s="17">
        <v>0.28952205882352944</v>
      </c>
      <c r="I61" s="20">
        <f>ROUNDUP((Table2[[#This Row],[fGCM_Conc]]*10000),0)</f>
        <v>2896</v>
      </c>
      <c r="J61" s="3" t="str">
        <f>VLOOKUP(G61,'[1]Attributes(OUTDATED)'!$A$2:$C$19,2,FALSE)</f>
        <v>M</v>
      </c>
      <c r="K61" s="3" t="str">
        <f>VLOOKUP(G61,'[1]Attributes(OUTDATED)'!$A$2:$C$19,3,FALSE)</f>
        <v>A</v>
      </c>
      <c r="L61" s="3">
        <f>VLOOKUP(G61,'[1]Attributes(OUTDATED)'!$A$2:$H$19,8,FALSE)</f>
        <v>1223</v>
      </c>
      <c r="M61" s="3" t="str">
        <f>K61&amp;J61</f>
        <v>AM</v>
      </c>
      <c r="N61" s="3" t="e">
        <f>VLOOKUP(G61,#REF!,2,FALSE)</f>
        <v>#REF!</v>
      </c>
      <c r="O61" s="11">
        <v>45000</v>
      </c>
      <c r="P61" s="13">
        <v>27</v>
      </c>
      <c r="Q61" s="13">
        <v>21</v>
      </c>
      <c r="R61" s="13">
        <v>15.8</v>
      </c>
      <c r="S61" s="13">
        <f>Table2[[#This Row],[2_Temp_H]]-Table2[[#This Row],[2_Temp_L]]</f>
        <v>11.2</v>
      </c>
      <c r="T61" s="13">
        <v>21.9</v>
      </c>
      <c r="U61" s="13">
        <v>5.5</v>
      </c>
      <c r="V61" s="13">
        <v>1012.87</v>
      </c>
      <c r="W61" s="13">
        <v>1009.82</v>
      </c>
      <c r="X61" s="13">
        <v>0.76</v>
      </c>
      <c r="Y61" s="13" t="s">
        <v>147</v>
      </c>
      <c r="Z61" s="16" t="s">
        <v>171</v>
      </c>
      <c r="AA61" s="13" t="s">
        <v>137</v>
      </c>
      <c r="AB61" s="13" t="s">
        <v>142</v>
      </c>
      <c r="AC61" s="13" t="s">
        <v>145</v>
      </c>
      <c r="AD61" s="13" t="s">
        <v>137</v>
      </c>
      <c r="AE61" s="13">
        <f>VLOOKUP(Table2[[#This Row],[3_Elephant_ID]],'[1]Attributes(OUTDATED)'!$A$2:$N$19,12,FALSE)</f>
        <v>404</v>
      </c>
      <c r="AF61" s="13">
        <f>VLOOKUP(Table2[[#This Row],[3_Elephant_ID]],'[1]Attributes(OUTDATED)'!$A$2:$N$19,13,FALSE)</f>
        <v>0.91700000000000004</v>
      </c>
      <c r="AG61" s="13">
        <f>VLOOKUP(Table2[[#This Row],[3_Elephant_ID]],'[1]Attributes(OUTDATED)'!$A$2:$N$19,14,FALSE)</f>
        <v>0.91664628583929353</v>
      </c>
      <c r="AH61" s="13">
        <v>2</v>
      </c>
      <c r="AI61" s="13">
        <v>0</v>
      </c>
      <c r="AJ61" s="13">
        <v>0</v>
      </c>
      <c r="AK61" s="13">
        <v>0</v>
      </c>
      <c r="AL61" s="13">
        <f>VLOOKUP(Table2[[#This Row],[3_Elephant_ID]],'[1]Attributes(OUTDATED)'!$A$2:$P$19,16,FALSE)</f>
        <v>1</v>
      </c>
      <c r="AM61" s="13">
        <f>VLOOKUP(Table2[[#This Row],[3_Elephant_ID]],'[1]Attributes(OUTDATED)'!$A$2:$S$19,17,FALSE)</f>
        <v>14</v>
      </c>
      <c r="AN61" s="13">
        <f>VLOOKUP(Table2[[#This Row],[3_Elephant_ID]],'[1]Attributes(OUTDATED)'!$A$2:$S$19,18,FALSE)</f>
        <v>17</v>
      </c>
    </row>
    <row r="62" spans="1:40" ht="28" x14ac:dyDescent="0.15">
      <c r="A62" s="3">
        <v>15</v>
      </c>
      <c r="B62" s="6">
        <v>2003230955</v>
      </c>
      <c r="C62" s="7">
        <v>20</v>
      </c>
      <c r="D62" s="7">
        <v>3</v>
      </c>
      <c r="E62" s="7">
        <v>2023</v>
      </c>
      <c r="F62" s="5">
        <v>45005</v>
      </c>
      <c r="G62" s="6" t="s">
        <v>8</v>
      </c>
      <c r="H62" s="17">
        <v>0.43475229357798156</v>
      </c>
      <c r="I62" s="20">
        <f>ROUNDUP((Table2[[#This Row],[fGCM_Conc]]*10000),0)</f>
        <v>4348</v>
      </c>
      <c r="J62" s="3" t="str">
        <f>VLOOKUP(G62,'[1]Attributes(OUTDATED)'!$A$2:$C$19,2,FALSE)</f>
        <v>F</v>
      </c>
      <c r="K62" s="3" t="str">
        <f>VLOOKUP(G62,'[1]Attributes(OUTDATED)'!$A$2:$C$19,3,FALSE)</f>
        <v>A</v>
      </c>
      <c r="L62" s="3">
        <f>VLOOKUP(G62,'[1]Attributes(OUTDATED)'!$A$2:$H$19,8,FALSE)</f>
        <v>1096</v>
      </c>
      <c r="M62" s="3" t="str">
        <f>K62&amp;J62</f>
        <v>AF</v>
      </c>
      <c r="N62" s="3" t="e">
        <f>VLOOKUP(G62,#REF!,2,FALSE)</f>
        <v>#REF!</v>
      </c>
      <c r="O62" s="11">
        <v>45003</v>
      </c>
      <c r="P62" s="13">
        <v>23.2</v>
      </c>
      <c r="Q62" s="13">
        <v>20.8</v>
      </c>
      <c r="R62" s="13">
        <v>19.100000000000001</v>
      </c>
      <c r="S62" s="13">
        <f>Table2[[#This Row],[2_Temp_H]]-Table2[[#This Row],[2_Temp_L]]</f>
        <v>4.0999999999999979</v>
      </c>
      <c r="T62" s="13">
        <v>36.700000000000003</v>
      </c>
      <c r="U62" s="13">
        <v>11.4</v>
      </c>
      <c r="V62" s="13">
        <v>1006.1</v>
      </c>
      <c r="W62" s="13">
        <v>1003.05</v>
      </c>
      <c r="X62" s="13">
        <v>0</v>
      </c>
      <c r="Y62" s="13" t="s">
        <v>147</v>
      </c>
      <c r="Z62" s="16" t="s">
        <v>141</v>
      </c>
      <c r="AA62" s="13" t="s">
        <v>26</v>
      </c>
      <c r="AB62" s="13" t="s">
        <v>142</v>
      </c>
      <c r="AC62" s="13" t="s">
        <v>145</v>
      </c>
      <c r="AD62" s="13" t="s">
        <v>26</v>
      </c>
      <c r="AE62" s="13">
        <f>VLOOKUP(Table2[[#This Row],[3_Elephant_ID]],'[1]Attributes(OUTDATED)'!$A$2:$N$19,12,FALSE)</f>
        <v>346</v>
      </c>
      <c r="AF62" s="13">
        <f>VLOOKUP(Table2[[#This Row],[3_Elephant_ID]],'[1]Attributes(OUTDATED)'!$A$2:$N$19,13,FALSE)</f>
        <v>0.28999999999999998</v>
      </c>
      <c r="AG62" s="13">
        <f>VLOOKUP(Table2[[#This Row],[3_Elephant_ID]],'[1]Attributes(OUTDATED)'!$A$2:$N$19,14,FALSE)</f>
        <v>0.28929989906834258</v>
      </c>
      <c r="AH62" s="13">
        <v>0</v>
      </c>
      <c r="AI62" s="13">
        <v>0</v>
      </c>
      <c r="AJ62" s="13">
        <v>0</v>
      </c>
      <c r="AK62" s="13">
        <v>0</v>
      </c>
      <c r="AL62" s="13">
        <f>VLOOKUP(Table2[[#This Row],[3_Elephant_ID]],'[1]Attributes(OUTDATED)'!$A$2:$P$19,16,FALSE)</f>
        <v>1</v>
      </c>
      <c r="AM62" s="13">
        <f>VLOOKUP(Table2[[#This Row],[3_Elephant_ID]],'[1]Attributes(OUTDATED)'!$A$2:$S$19,17,FALSE)</f>
        <v>11</v>
      </c>
      <c r="AN62" s="13">
        <f>VLOOKUP(Table2[[#This Row],[3_Elephant_ID]],'[1]Attributes(OUTDATED)'!$A$2:$S$19,18,FALSE)</f>
        <v>7</v>
      </c>
    </row>
    <row r="63" spans="1:40" ht="28" x14ac:dyDescent="0.15">
      <c r="A63" s="3">
        <v>13</v>
      </c>
      <c r="B63" s="6">
        <v>2003231104</v>
      </c>
      <c r="C63" s="7">
        <v>20</v>
      </c>
      <c r="D63" s="7">
        <v>3</v>
      </c>
      <c r="E63" s="7">
        <v>2023</v>
      </c>
      <c r="F63" s="5">
        <v>45005</v>
      </c>
      <c r="G63" s="6" t="s">
        <v>7</v>
      </c>
      <c r="H63" s="17">
        <v>0.42296089385474861</v>
      </c>
      <c r="I63" s="20">
        <f>ROUNDUP((Table2[[#This Row],[fGCM_Conc]]*10000),0)</f>
        <v>4230</v>
      </c>
      <c r="J63" s="3" t="str">
        <f>VLOOKUP(G63,'[1]Attributes(OUTDATED)'!$A$2:$C$19,2,FALSE)</f>
        <v>F</v>
      </c>
      <c r="K63" s="3" t="str">
        <f>VLOOKUP(G63,'[1]Attributes(OUTDATED)'!$A$2:$C$19,3,FALSE)</f>
        <v>J</v>
      </c>
      <c r="L63" s="3">
        <f>VLOOKUP(G63,'[1]Attributes(OUTDATED)'!$A$2:$H$19,8,FALSE)</f>
        <v>711</v>
      </c>
      <c r="M63" s="3" t="str">
        <f>K63&amp;J63</f>
        <v>JF</v>
      </c>
      <c r="N63" s="3" t="e">
        <f>VLOOKUP(G63,#REF!,2,FALSE)</f>
        <v>#REF!</v>
      </c>
      <c r="O63" s="11">
        <v>45003</v>
      </c>
      <c r="P63" s="13">
        <v>23.2</v>
      </c>
      <c r="Q63" s="13">
        <v>20.8</v>
      </c>
      <c r="R63" s="13">
        <v>19.100000000000001</v>
      </c>
      <c r="S63" s="13">
        <f>Table2[[#This Row],[2_Temp_H]]-Table2[[#This Row],[2_Temp_L]]</f>
        <v>4.0999999999999979</v>
      </c>
      <c r="T63" s="13">
        <v>36.700000000000003</v>
      </c>
      <c r="U63" s="13">
        <v>11.4</v>
      </c>
      <c r="V63" s="13">
        <v>1006.1</v>
      </c>
      <c r="W63" s="13">
        <v>1003.05</v>
      </c>
      <c r="X63" s="13">
        <v>0</v>
      </c>
      <c r="Y63" s="13" t="s">
        <v>147</v>
      </c>
      <c r="Z63" s="16" t="s">
        <v>141</v>
      </c>
      <c r="AA63" s="13" t="s">
        <v>26</v>
      </c>
      <c r="AB63" s="13" t="s">
        <v>142</v>
      </c>
      <c r="AC63" s="13" t="s">
        <v>145</v>
      </c>
      <c r="AD63" s="13" t="s">
        <v>26</v>
      </c>
      <c r="AE63" s="13">
        <f>VLOOKUP(Table2[[#This Row],[3_Elephant_ID]],'[1]Attributes(OUTDATED)'!$A$2:$N$19,12,FALSE)</f>
        <v>398</v>
      </c>
      <c r="AF63" s="13">
        <f>VLOOKUP(Table2[[#This Row],[3_Elephant_ID]],'[1]Attributes(OUTDATED)'!$A$2:$N$19,13,FALSE)</f>
        <v>0.47899999999999998</v>
      </c>
      <c r="AG63" s="13">
        <f>VLOOKUP(Table2[[#This Row],[3_Elephant_ID]],'[1]Attributes(OUTDATED)'!$A$2:$N$19,14,FALSE)</f>
        <v>0.47820662037086947</v>
      </c>
      <c r="AH63" s="13">
        <v>0</v>
      </c>
      <c r="AI63" s="13">
        <v>0</v>
      </c>
      <c r="AJ63" s="13">
        <v>0</v>
      </c>
      <c r="AK63" s="13">
        <v>0</v>
      </c>
      <c r="AL63" s="13">
        <f>VLOOKUP(Table2[[#This Row],[3_Elephant_ID]],'[1]Attributes(OUTDATED)'!$A$2:$P$19,16,FALSE)</f>
        <v>1</v>
      </c>
      <c r="AM63" s="13">
        <f>VLOOKUP(Table2[[#This Row],[3_Elephant_ID]],'[1]Attributes(OUTDATED)'!$A$2:$S$19,17,FALSE)</f>
        <v>0</v>
      </c>
      <c r="AN63" s="13">
        <f>VLOOKUP(Table2[[#This Row],[3_Elephant_ID]],'[1]Attributes(OUTDATED)'!$A$2:$S$19,18,FALSE)</f>
        <v>12</v>
      </c>
    </row>
    <row r="64" spans="1:40" ht="28" x14ac:dyDescent="0.15">
      <c r="A64" s="3">
        <v>18</v>
      </c>
      <c r="B64" s="6">
        <v>2003230741</v>
      </c>
      <c r="C64" s="7">
        <v>20</v>
      </c>
      <c r="D64" s="7">
        <v>3</v>
      </c>
      <c r="E64" s="7">
        <v>2023</v>
      </c>
      <c r="F64" s="5">
        <v>45005</v>
      </c>
      <c r="G64" s="6" t="s">
        <v>10</v>
      </c>
      <c r="H64" s="17">
        <v>0.41476102941176463</v>
      </c>
      <c r="I64" s="20">
        <f>ROUNDUP((Table2[[#This Row],[fGCM_Conc]]*10000),0)</f>
        <v>4148</v>
      </c>
      <c r="J64" s="3" t="str">
        <f>VLOOKUP(G64,'[1]Attributes(OUTDATED)'!$A$2:$C$19,2,FALSE)</f>
        <v>F</v>
      </c>
      <c r="K64" s="3" t="str">
        <f>VLOOKUP(G64,'[1]Attributes(OUTDATED)'!$A$2:$C$19,3,FALSE)</f>
        <v>A</v>
      </c>
      <c r="L64" s="3">
        <f>VLOOKUP(G64,'[1]Attributes(OUTDATED)'!$A$2:$H$19,8,FALSE)</f>
        <v>1146</v>
      </c>
      <c r="M64" s="3" t="str">
        <f>K64&amp;J64</f>
        <v>AF</v>
      </c>
      <c r="N64" s="3" t="e">
        <f>VLOOKUP(G64,#REF!,2,FALSE)</f>
        <v>#REF!</v>
      </c>
      <c r="O64" s="11">
        <v>45003</v>
      </c>
      <c r="P64" s="13">
        <v>23.2</v>
      </c>
      <c r="Q64" s="13">
        <v>20.8</v>
      </c>
      <c r="R64" s="13">
        <v>19.100000000000001</v>
      </c>
      <c r="S64" s="13">
        <f>Table2[[#This Row],[2_Temp_H]]-Table2[[#This Row],[2_Temp_L]]</f>
        <v>4.0999999999999979</v>
      </c>
      <c r="T64" s="13">
        <v>36.700000000000003</v>
      </c>
      <c r="U64" s="13">
        <v>11.4</v>
      </c>
      <c r="V64" s="13">
        <v>1006.1</v>
      </c>
      <c r="W64" s="13">
        <v>1003.05</v>
      </c>
      <c r="X64" s="13">
        <v>0</v>
      </c>
      <c r="Y64" s="13" t="s">
        <v>147</v>
      </c>
      <c r="Z64" s="16" t="s">
        <v>141</v>
      </c>
      <c r="AA64" s="13" t="s">
        <v>26</v>
      </c>
      <c r="AB64" s="13" t="s">
        <v>142</v>
      </c>
      <c r="AC64" s="13" t="s">
        <v>145</v>
      </c>
      <c r="AD64" s="13" t="s">
        <v>26</v>
      </c>
      <c r="AE64" s="13">
        <f>VLOOKUP(Table2[[#This Row],[3_Elephant_ID]],'[1]Attributes(OUTDATED)'!$A$2:$N$19,12,FALSE)</f>
        <v>424</v>
      </c>
      <c r="AF64" s="13">
        <f>VLOOKUP(Table2[[#This Row],[3_Elephant_ID]],'[1]Attributes(OUTDATED)'!$A$2:$N$19,13,FALSE)</f>
        <v>0.10299999999999999</v>
      </c>
      <c r="AG64" s="13">
        <f>VLOOKUP(Table2[[#This Row],[3_Elephant_ID]],'[1]Attributes(OUTDATED)'!$A$2:$N$19,14,FALSE)</f>
        <v>0.10282190709599449</v>
      </c>
      <c r="AH64" s="13">
        <v>0</v>
      </c>
      <c r="AI64" s="13">
        <v>0</v>
      </c>
      <c r="AJ64" s="13">
        <v>0</v>
      </c>
      <c r="AK64" s="13">
        <v>0</v>
      </c>
      <c r="AL64" s="13">
        <f>VLOOKUP(Table2[[#This Row],[3_Elephant_ID]],'[1]Attributes(OUTDATED)'!$A$2:$P$19,16,FALSE)</f>
        <v>1</v>
      </c>
      <c r="AM64" s="13">
        <f>VLOOKUP(Table2[[#This Row],[3_Elephant_ID]],'[1]Attributes(OUTDATED)'!$A$2:$S$19,17,FALSE)</f>
        <v>9</v>
      </c>
      <c r="AN64" s="13">
        <f>VLOOKUP(Table2[[#This Row],[3_Elephant_ID]],'[1]Attributes(OUTDATED)'!$A$2:$S$19,18,FALSE)</f>
        <v>8</v>
      </c>
    </row>
    <row r="65" spans="1:40" ht="28" x14ac:dyDescent="0.15">
      <c r="A65" s="3">
        <v>16</v>
      </c>
      <c r="B65" s="6">
        <v>2003230952</v>
      </c>
      <c r="C65" s="7">
        <v>20</v>
      </c>
      <c r="D65" s="7">
        <v>3</v>
      </c>
      <c r="E65" s="7">
        <v>2023</v>
      </c>
      <c r="F65" s="5">
        <v>45005</v>
      </c>
      <c r="G65" s="6" t="s">
        <v>9</v>
      </c>
      <c r="H65" s="17">
        <v>0.38263473053892216</v>
      </c>
      <c r="I65" s="20">
        <f>ROUNDUP((Table2[[#This Row],[fGCM_Conc]]*10000),0)</f>
        <v>3827</v>
      </c>
      <c r="J65" s="3" t="str">
        <f>VLOOKUP(G65,'[1]Attributes(OUTDATED)'!$A$2:$C$19,2,FALSE)</f>
        <v>F</v>
      </c>
      <c r="K65" s="3" t="str">
        <f>VLOOKUP(G65,'[1]Attributes(OUTDATED)'!$A$2:$C$19,3,FALSE)</f>
        <v>J</v>
      </c>
      <c r="L65" s="3">
        <f>VLOOKUP(G65,'[1]Attributes(OUTDATED)'!$A$2:$H$19,8,FALSE)</f>
        <v>820</v>
      </c>
      <c r="M65" s="3" t="str">
        <f>K65&amp;J65</f>
        <v>JF</v>
      </c>
      <c r="N65" s="3" t="e">
        <f>VLOOKUP(G65,#REF!,2,FALSE)</f>
        <v>#REF!</v>
      </c>
      <c r="O65" s="11">
        <v>45003</v>
      </c>
      <c r="P65" s="13">
        <v>23.2</v>
      </c>
      <c r="Q65" s="13">
        <v>20.8</v>
      </c>
      <c r="R65" s="13">
        <v>19.100000000000001</v>
      </c>
      <c r="S65" s="13">
        <f>Table2[[#This Row],[2_Temp_H]]-Table2[[#This Row],[2_Temp_L]]</f>
        <v>4.0999999999999979</v>
      </c>
      <c r="T65" s="13">
        <v>36.700000000000003</v>
      </c>
      <c r="U65" s="13">
        <v>11.4</v>
      </c>
      <c r="V65" s="13">
        <v>1006.1</v>
      </c>
      <c r="W65" s="13">
        <v>1003.05</v>
      </c>
      <c r="X65" s="13">
        <v>0</v>
      </c>
      <c r="Y65" s="13" t="s">
        <v>147</v>
      </c>
      <c r="Z65" s="16" t="s">
        <v>141</v>
      </c>
      <c r="AA65" s="13" t="s">
        <v>26</v>
      </c>
      <c r="AB65" s="13" t="s">
        <v>142</v>
      </c>
      <c r="AC65" s="13" t="s">
        <v>145</v>
      </c>
      <c r="AD65" s="13" t="s">
        <v>26</v>
      </c>
      <c r="AE65" s="13">
        <f>VLOOKUP(Table2[[#This Row],[3_Elephant_ID]],'[1]Attributes(OUTDATED)'!$A$2:$N$19,12,FALSE)</f>
        <v>305</v>
      </c>
      <c r="AF65" s="13">
        <f>VLOOKUP(Table2[[#This Row],[3_Elephant_ID]],'[1]Attributes(OUTDATED)'!$A$2:$N$19,13,FALSE)</f>
        <v>0.17499999999999999</v>
      </c>
      <c r="AG65" s="13">
        <f>VLOOKUP(Table2[[#This Row],[3_Elephant_ID]],'[1]Attributes(OUTDATED)'!$A$2:$N$19,14,FALSE)</f>
        <v>0.17467336145108631</v>
      </c>
      <c r="AH65" s="13">
        <v>0</v>
      </c>
      <c r="AI65" s="13">
        <v>0</v>
      </c>
      <c r="AJ65" s="13">
        <v>0</v>
      </c>
      <c r="AK65" s="13">
        <v>0</v>
      </c>
      <c r="AL65" s="13">
        <f>VLOOKUP(Table2[[#This Row],[3_Elephant_ID]],'[1]Attributes(OUTDATED)'!$A$2:$P$19,16,FALSE)</f>
        <v>2</v>
      </c>
      <c r="AM65" s="13">
        <f>VLOOKUP(Table2[[#This Row],[3_Elephant_ID]],'[1]Attributes(OUTDATED)'!$A$2:$S$19,17,FALSE)</f>
        <v>0</v>
      </c>
      <c r="AN65" s="13">
        <f>VLOOKUP(Table2[[#This Row],[3_Elephant_ID]],'[1]Attributes(OUTDATED)'!$A$2:$S$19,18,FALSE)</f>
        <v>4</v>
      </c>
    </row>
    <row r="66" spans="1:40" ht="28" x14ac:dyDescent="0.15">
      <c r="A66" s="3">
        <v>14</v>
      </c>
      <c r="B66" s="6">
        <v>2003231052</v>
      </c>
      <c r="C66" s="7">
        <v>20</v>
      </c>
      <c r="D66" s="7">
        <v>3</v>
      </c>
      <c r="E66" s="7">
        <v>2023</v>
      </c>
      <c r="F66" s="5">
        <v>45005</v>
      </c>
      <c r="G66" s="6" t="s">
        <v>2</v>
      </c>
      <c r="H66" s="17">
        <v>0.32068391866913132</v>
      </c>
      <c r="I66" s="20">
        <f>ROUNDUP((Table2[[#This Row],[fGCM_Conc]]*10000),0)</f>
        <v>3207</v>
      </c>
      <c r="J66" s="3" t="str">
        <f>VLOOKUP(G66,'[1]Attributes(OUTDATED)'!$A$2:$C$19,2,FALSE)</f>
        <v>F</v>
      </c>
      <c r="K66" s="3" t="str">
        <f>VLOOKUP(G66,'[1]Attributes(OUTDATED)'!$A$2:$C$19,3,FALSE)</f>
        <v>A</v>
      </c>
      <c r="L66" s="3">
        <f>VLOOKUP(G66,'[1]Attributes(OUTDATED)'!$A$2:$H$19,8,FALSE)</f>
        <v>892</v>
      </c>
      <c r="M66" s="3" t="str">
        <f>K66&amp;J66</f>
        <v>AF</v>
      </c>
      <c r="N66" s="3" t="e">
        <f>VLOOKUP(G66,#REF!,2,FALSE)</f>
        <v>#REF!</v>
      </c>
      <c r="O66" s="11">
        <v>45003</v>
      </c>
      <c r="P66" s="13">
        <v>23.2</v>
      </c>
      <c r="Q66" s="13">
        <v>20.8</v>
      </c>
      <c r="R66" s="13">
        <v>19.100000000000001</v>
      </c>
      <c r="S66" s="13">
        <f>Table2[[#This Row],[2_Temp_H]]-Table2[[#This Row],[2_Temp_L]]</f>
        <v>4.0999999999999979</v>
      </c>
      <c r="T66" s="13">
        <v>36.700000000000003</v>
      </c>
      <c r="U66" s="13">
        <v>11.4</v>
      </c>
      <c r="V66" s="13">
        <v>1006.1</v>
      </c>
      <c r="W66" s="13">
        <v>1003.05</v>
      </c>
      <c r="X66" s="13">
        <v>0</v>
      </c>
      <c r="Y66" s="13" t="s">
        <v>147</v>
      </c>
      <c r="Z66" s="16" t="s">
        <v>141</v>
      </c>
      <c r="AA66" s="13" t="s">
        <v>26</v>
      </c>
      <c r="AB66" s="13" t="s">
        <v>142</v>
      </c>
      <c r="AC66" s="13" t="s">
        <v>145</v>
      </c>
      <c r="AD66" s="13" t="s">
        <v>26</v>
      </c>
      <c r="AE66" s="13">
        <f>VLOOKUP(Table2[[#This Row],[3_Elephant_ID]],'[1]Attributes(OUTDATED)'!$A$2:$N$19,12,FALSE)</f>
        <v>378</v>
      </c>
      <c r="AF66" s="13">
        <f>VLOOKUP(Table2[[#This Row],[3_Elephant_ID]],'[1]Attributes(OUTDATED)'!$A$2:$N$19,13,FALSE)</f>
        <v>8.6999999999999994E-2</v>
      </c>
      <c r="AG66" s="13">
        <f>VLOOKUP(Table2[[#This Row],[3_Elephant_ID]],'[1]Attributes(OUTDATED)'!$A$2:$N$19,14,FALSE)</f>
        <v>8.6599138783086713E-2</v>
      </c>
      <c r="AH66" s="13">
        <v>0</v>
      </c>
      <c r="AI66" s="13">
        <v>0</v>
      </c>
      <c r="AJ66" s="13">
        <v>0</v>
      </c>
      <c r="AK66" s="13">
        <v>0</v>
      </c>
      <c r="AL66" s="13">
        <f>VLOOKUP(Table2[[#This Row],[3_Elephant_ID]],'[1]Attributes(OUTDATED)'!$A$2:$P$19,16,FALSE)</f>
        <v>1</v>
      </c>
      <c r="AM66" s="13">
        <f>VLOOKUP(Table2[[#This Row],[3_Elephant_ID]],'[1]Attributes(OUTDATED)'!$A$2:$S$19,17,FALSE)</f>
        <v>4</v>
      </c>
      <c r="AN66" s="13">
        <f>VLOOKUP(Table2[[#This Row],[3_Elephant_ID]],'[1]Attributes(OUTDATED)'!$A$2:$S$19,18,FALSE)</f>
        <v>20</v>
      </c>
    </row>
    <row r="67" spans="1:40" ht="17.25" customHeight="1" x14ac:dyDescent="0.15">
      <c r="A67" s="3">
        <v>12</v>
      </c>
      <c r="B67" s="6">
        <v>2003231113</v>
      </c>
      <c r="C67" s="7">
        <v>20</v>
      </c>
      <c r="D67" s="7">
        <v>3</v>
      </c>
      <c r="E67" s="7">
        <v>2023</v>
      </c>
      <c r="F67" s="5">
        <v>45005</v>
      </c>
      <c r="G67" s="6" t="s">
        <v>6</v>
      </c>
      <c r="H67" s="17">
        <v>0.31924632352941179</v>
      </c>
      <c r="I67" s="20">
        <f>ROUNDUP((Table2[[#This Row],[fGCM_Conc]]*10000),0)</f>
        <v>3193</v>
      </c>
      <c r="J67" s="3" t="str">
        <f>VLOOKUP(G67,'[1]Attributes(OUTDATED)'!$A$2:$C$19,2,FALSE)</f>
        <v>F</v>
      </c>
      <c r="K67" s="3" t="str">
        <f>VLOOKUP(G67,'[1]Attributes(OUTDATED)'!$A$2:$C$19,3,FALSE)</f>
        <v>A</v>
      </c>
      <c r="L67" s="3">
        <f>VLOOKUP(G67,'[1]Attributes(OUTDATED)'!$A$2:$H$19,8,FALSE)</f>
        <v>1168</v>
      </c>
      <c r="M67" s="3" t="str">
        <f>K67&amp;J67</f>
        <v>AF</v>
      </c>
      <c r="N67" s="3" t="e">
        <f>VLOOKUP(G67,#REF!,2,FALSE)</f>
        <v>#REF!</v>
      </c>
      <c r="O67" s="11">
        <v>45003</v>
      </c>
      <c r="P67" s="13">
        <v>23.2</v>
      </c>
      <c r="Q67" s="13">
        <v>20.8</v>
      </c>
      <c r="R67" s="13">
        <v>19.100000000000001</v>
      </c>
      <c r="S67" s="13">
        <f>Table2[[#This Row],[2_Temp_H]]-Table2[[#This Row],[2_Temp_L]]</f>
        <v>4.0999999999999979</v>
      </c>
      <c r="T67" s="13">
        <v>36.700000000000003</v>
      </c>
      <c r="U67" s="13">
        <v>11.4</v>
      </c>
      <c r="V67" s="13">
        <v>1006.1</v>
      </c>
      <c r="W67" s="13">
        <v>1003.05</v>
      </c>
      <c r="X67" s="13">
        <v>0</v>
      </c>
      <c r="Y67" s="13" t="s">
        <v>147</v>
      </c>
      <c r="Z67" s="16" t="s">
        <v>141</v>
      </c>
      <c r="AA67" s="13" t="s">
        <v>26</v>
      </c>
      <c r="AB67" s="13" t="s">
        <v>142</v>
      </c>
      <c r="AC67" s="13" t="s">
        <v>145</v>
      </c>
      <c r="AD67" s="13" t="s">
        <v>26</v>
      </c>
      <c r="AE67" s="13">
        <f>VLOOKUP(Table2[[#This Row],[3_Elephant_ID]],'[1]Attributes(OUTDATED)'!$A$2:$N$19,12,FALSE)</f>
        <v>286</v>
      </c>
      <c r="AF67" s="13">
        <f>VLOOKUP(Table2[[#This Row],[3_Elephant_ID]],'[1]Attributes(OUTDATED)'!$A$2:$N$19,13,FALSE)</f>
        <v>0.26800000000000002</v>
      </c>
      <c r="AG67" s="13">
        <f>VLOOKUP(Table2[[#This Row],[3_Elephant_ID]],'[1]Attributes(OUTDATED)'!$A$2:$N$19,14,FALSE)</f>
        <v>0.26721028245328138</v>
      </c>
      <c r="AH67" s="13">
        <v>0</v>
      </c>
      <c r="AI67" s="13">
        <v>0</v>
      </c>
      <c r="AJ67" s="13">
        <v>0</v>
      </c>
      <c r="AK67" s="13">
        <v>0</v>
      </c>
      <c r="AL67" s="13">
        <f>VLOOKUP(Table2[[#This Row],[3_Elephant_ID]],'[1]Attributes(OUTDATED)'!$A$2:$P$19,16,FALSE)</f>
        <v>2</v>
      </c>
      <c r="AM67" s="13">
        <f>VLOOKUP(Table2[[#This Row],[3_Elephant_ID]],'[1]Attributes(OUTDATED)'!$A$2:$S$19,17,FALSE)</f>
        <v>12</v>
      </c>
      <c r="AN67" s="13">
        <f>VLOOKUP(Table2[[#This Row],[3_Elephant_ID]],'[1]Attributes(OUTDATED)'!$A$2:$S$19,18,FALSE)</f>
        <v>5</v>
      </c>
    </row>
    <row r="68" spans="1:40" ht="20.25" customHeight="1" x14ac:dyDescent="0.15">
      <c r="A68" s="3">
        <v>11</v>
      </c>
      <c r="B68" s="6" t="s">
        <v>29</v>
      </c>
      <c r="C68" s="7">
        <v>20</v>
      </c>
      <c r="D68" s="7">
        <v>3</v>
      </c>
      <c r="E68" s="7">
        <v>2023</v>
      </c>
      <c r="F68" s="5">
        <v>45005</v>
      </c>
      <c r="G68" s="6" t="s">
        <v>5</v>
      </c>
      <c r="H68" s="17">
        <v>0.28082417582417585</v>
      </c>
      <c r="I68" s="20">
        <f>ROUNDUP((Table2[[#This Row],[fGCM_Conc]]*10000),0)</f>
        <v>2809</v>
      </c>
      <c r="J68" s="3" t="str">
        <f>VLOOKUP(G68,'[1]Attributes(OUTDATED)'!$A$2:$C$19,2,FALSE)</f>
        <v>M</v>
      </c>
      <c r="K68" s="3" t="str">
        <f>VLOOKUP(G68,'[1]Attributes(OUTDATED)'!$A$2:$C$19,3,FALSE)</f>
        <v>J</v>
      </c>
      <c r="L68" s="3">
        <f>VLOOKUP(G68,'[1]Attributes(OUTDATED)'!$A$2:$H$19,8,FALSE)</f>
        <v>940</v>
      </c>
      <c r="M68" s="3" t="str">
        <f>K68&amp;J68</f>
        <v>JM</v>
      </c>
      <c r="N68" s="3" t="e">
        <f>VLOOKUP(G68,#REF!,2,FALSE)</f>
        <v>#REF!</v>
      </c>
      <c r="O68" s="11">
        <v>45003</v>
      </c>
      <c r="P68" s="13">
        <v>23.2</v>
      </c>
      <c r="Q68" s="13">
        <v>20.8</v>
      </c>
      <c r="R68" s="13">
        <v>19.100000000000001</v>
      </c>
      <c r="S68" s="13">
        <f>Table2[[#This Row],[2_Temp_H]]-Table2[[#This Row],[2_Temp_L]]</f>
        <v>4.0999999999999979</v>
      </c>
      <c r="T68" s="13">
        <v>36.700000000000003</v>
      </c>
      <c r="U68" s="13">
        <v>11.4</v>
      </c>
      <c r="V68" s="13">
        <v>1006.1</v>
      </c>
      <c r="W68" s="13">
        <v>1003.05</v>
      </c>
      <c r="X68" s="13">
        <v>0</v>
      </c>
      <c r="Y68" s="13" t="s">
        <v>147</v>
      </c>
      <c r="Z68" s="16" t="s">
        <v>141</v>
      </c>
      <c r="AA68" s="13" t="s">
        <v>26</v>
      </c>
      <c r="AB68" s="13" t="s">
        <v>142</v>
      </c>
      <c r="AC68" s="13" t="s">
        <v>145</v>
      </c>
      <c r="AD68" s="13" t="s">
        <v>26</v>
      </c>
      <c r="AE68" s="13">
        <f>VLOOKUP(Table2[[#This Row],[3_Elephant_ID]],'[1]Attributes(OUTDATED)'!$A$2:$N$19,12,FALSE)</f>
        <v>361</v>
      </c>
      <c r="AF68" s="13">
        <f>VLOOKUP(Table2[[#This Row],[3_Elephant_ID]],'[1]Attributes(OUTDATED)'!$A$2:$N$19,13,FALSE)</f>
        <v>0.40600000000000003</v>
      </c>
      <c r="AG68" s="13">
        <f>VLOOKUP(Table2[[#This Row],[3_Elephant_ID]],'[1]Attributes(OUTDATED)'!$A$2:$N$19,14,FALSE)</f>
        <v>0.40590323220736402</v>
      </c>
      <c r="AH68" s="13">
        <v>0</v>
      </c>
      <c r="AI68" s="13">
        <v>0</v>
      </c>
      <c r="AJ68" s="13">
        <v>0</v>
      </c>
      <c r="AK68" s="13">
        <v>0</v>
      </c>
      <c r="AL68" s="13">
        <f>VLOOKUP(Table2[[#This Row],[3_Elephant_ID]],'[1]Attributes(OUTDATED)'!$A$2:$P$19,16,FALSE)</f>
        <v>1</v>
      </c>
      <c r="AM68" s="13">
        <f>VLOOKUP(Table2[[#This Row],[3_Elephant_ID]],'[1]Attributes(OUTDATED)'!$A$2:$S$19,17,FALSE)</f>
        <v>2</v>
      </c>
      <c r="AN68" s="13">
        <f>VLOOKUP(Table2[[#This Row],[3_Elephant_ID]],'[1]Attributes(OUTDATED)'!$A$2:$S$19,18,FALSE)</f>
        <v>7</v>
      </c>
    </row>
    <row r="69" spans="1:40" ht="21" customHeight="1" x14ac:dyDescent="0.15">
      <c r="A69" s="3">
        <v>10</v>
      </c>
      <c r="B69" s="6">
        <v>2003231330</v>
      </c>
      <c r="C69" s="7">
        <v>20</v>
      </c>
      <c r="D69" s="7">
        <v>3</v>
      </c>
      <c r="E69" s="7">
        <v>2023</v>
      </c>
      <c r="F69" s="5">
        <v>45005</v>
      </c>
      <c r="G69" s="6" t="s">
        <v>4</v>
      </c>
      <c r="H69" s="17">
        <v>0.27581573896353168</v>
      </c>
      <c r="I69" s="20">
        <f>ROUNDUP((Table2[[#This Row],[fGCM_Conc]]*10000),0)</f>
        <v>2759</v>
      </c>
      <c r="J69" s="3" t="str">
        <f>VLOOKUP(G69,'[1]Attributes(OUTDATED)'!$A$2:$C$19,2,FALSE)</f>
        <v>M</v>
      </c>
      <c r="K69" s="3" t="str">
        <f>VLOOKUP(G69,'[1]Attributes(OUTDATED)'!$A$2:$C$19,3,FALSE)</f>
        <v>J</v>
      </c>
      <c r="L69" s="3">
        <f>VLOOKUP(G69,'[1]Attributes(OUTDATED)'!$A$2:$H$19,8,FALSE)</f>
        <v>1055</v>
      </c>
      <c r="M69" s="3" t="str">
        <f>K69&amp;J69</f>
        <v>JM</v>
      </c>
      <c r="N69" s="3" t="e">
        <f>VLOOKUP(G69,#REF!,2,FALSE)</f>
        <v>#REF!</v>
      </c>
      <c r="O69" s="11">
        <v>45003</v>
      </c>
      <c r="P69" s="13">
        <v>23.2</v>
      </c>
      <c r="Q69" s="13">
        <v>20.8</v>
      </c>
      <c r="R69" s="13">
        <v>19.100000000000001</v>
      </c>
      <c r="S69" s="13">
        <f>Table2[[#This Row],[2_Temp_H]]-Table2[[#This Row],[2_Temp_L]]</f>
        <v>4.0999999999999979</v>
      </c>
      <c r="T69" s="13">
        <v>36.700000000000003</v>
      </c>
      <c r="U69" s="13">
        <v>11.4</v>
      </c>
      <c r="V69" s="13">
        <v>1006.1</v>
      </c>
      <c r="W69" s="13">
        <v>1003.05</v>
      </c>
      <c r="X69" s="13">
        <v>0</v>
      </c>
      <c r="Y69" s="13" t="s">
        <v>147</v>
      </c>
      <c r="Z69" s="16" t="s">
        <v>141</v>
      </c>
      <c r="AA69" s="13" t="s">
        <v>26</v>
      </c>
      <c r="AB69" s="13" t="s">
        <v>142</v>
      </c>
      <c r="AC69" s="13" t="s">
        <v>145</v>
      </c>
      <c r="AD69" s="13" t="s">
        <v>26</v>
      </c>
      <c r="AE69" s="13">
        <f>VLOOKUP(Table2[[#This Row],[3_Elephant_ID]],'[1]Attributes(OUTDATED)'!$A$2:$N$19,12,FALSE)</f>
        <v>181</v>
      </c>
      <c r="AF69" s="13">
        <f>VLOOKUP(Table2[[#This Row],[3_Elephant_ID]],'[1]Attributes(OUTDATED)'!$A$2:$N$19,13,FALSE)</f>
        <v>7.3999999999999996E-2</v>
      </c>
      <c r="AG69" s="13">
        <f>VLOOKUP(Table2[[#This Row],[3_Elephant_ID]],'[1]Attributes(OUTDATED)'!$A$2:$N$19,14,FALSE)</f>
        <v>7.3914663535330896E-2</v>
      </c>
      <c r="AH69" s="13">
        <v>0</v>
      </c>
      <c r="AI69" s="13">
        <v>0</v>
      </c>
      <c r="AJ69" s="13">
        <v>0</v>
      </c>
      <c r="AK69" s="13">
        <v>0</v>
      </c>
      <c r="AL69" s="13">
        <f>VLOOKUP(Table2[[#This Row],[3_Elephant_ID]],'[1]Attributes(OUTDATED)'!$A$2:$P$19,16,FALSE)</f>
        <v>1</v>
      </c>
      <c r="AM69" s="13">
        <f>VLOOKUP(Table2[[#This Row],[3_Elephant_ID]],'[1]Attributes(OUTDATED)'!$A$2:$S$19,17,FALSE)</f>
        <v>7</v>
      </c>
      <c r="AN69" s="13">
        <f>VLOOKUP(Table2[[#This Row],[3_Elephant_ID]],'[1]Attributes(OUTDATED)'!$A$2:$S$19,18,FALSE)</f>
        <v>9</v>
      </c>
    </row>
    <row r="70" spans="1:40" ht="28" x14ac:dyDescent="0.15">
      <c r="A70" s="3">
        <v>17</v>
      </c>
      <c r="B70" s="6">
        <v>2003230820</v>
      </c>
      <c r="C70" s="7">
        <v>20</v>
      </c>
      <c r="D70" s="7">
        <v>3</v>
      </c>
      <c r="E70" s="7">
        <v>2023</v>
      </c>
      <c r="F70" s="5">
        <v>45005</v>
      </c>
      <c r="G70" s="6" t="s">
        <v>3</v>
      </c>
      <c r="H70" s="17">
        <v>0.26462686567164179</v>
      </c>
      <c r="I70" s="20">
        <f>ROUNDUP((Table2[[#This Row],[fGCM_Conc]]*10000),0)</f>
        <v>2647</v>
      </c>
      <c r="J70" s="3" t="str">
        <f>VLOOKUP(G70,'[1]Attributes(OUTDATED)'!$A$2:$C$19,2,FALSE)</f>
        <v>M</v>
      </c>
      <c r="K70" s="3" t="str">
        <f>VLOOKUP(G70,'[1]Attributes(OUTDATED)'!$A$2:$C$19,3,FALSE)</f>
        <v>J</v>
      </c>
      <c r="L70" s="3">
        <f>VLOOKUP(G70,'[1]Attributes(OUTDATED)'!$A$2:$H$19,8,FALSE)</f>
        <v>1031</v>
      </c>
      <c r="M70" s="3" t="str">
        <f>K70&amp;J70</f>
        <v>JM</v>
      </c>
      <c r="N70" s="3" t="e">
        <f>VLOOKUP(G70,#REF!,2,FALSE)</f>
        <v>#REF!</v>
      </c>
      <c r="O70" s="11">
        <v>45003</v>
      </c>
      <c r="P70" s="13">
        <v>23.2</v>
      </c>
      <c r="Q70" s="13">
        <v>20.8</v>
      </c>
      <c r="R70" s="13">
        <v>19.100000000000001</v>
      </c>
      <c r="S70" s="13">
        <f>Table2[[#This Row],[2_Temp_H]]-Table2[[#This Row],[2_Temp_L]]</f>
        <v>4.0999999999999979</v>
      </c>
      <c r="T70" s="13">
        <v>36.700000000000003</v>
      </c>
      <c r="U70" s="13">
        <v>11.4</v>
      </c>
      <c r="V70" s="13">
        <v>1006.1</v>
      </c>
      <c r="W70" s="13">
        <v>1003.05</v>
      </c>
      <c r="X70" s="13">
        <v>0</v>
      </c>
      <c r="Y70" s="13" t="s">
        <v>147</v>
      </c>
      <c r="Z70" s="16" t="s">
        <v>141</v>
      </c>
      <c r="AA70" s="13" t="s">
        <v>26</v>
      </c>
      <c r="AB70" s="13" t="s">
        <v>142</v>
      </c>
      <c r="AC70" s="13" t="s">
        <v>145</v>
      </c>
      <c r="AD70" s="13" t="s">
        <v>26</v>
      </c>
      <c r="AE70" s="13">
        <f>VLOOKUP(Table2[[#This Row],[3_Elephant_ID]],'[1]Attributes(OUTDATED)'!$A$2:$N$19,12,FALSE)</f>
        <v>234</v>
      </c>
      <c r="AF70" s="13">
        <f>VLOOKUP(Table2[[#This Row],[3_Elephant_ID]],'[1]Attributes(OUTDATED)'!$A$2:$N$19,13,FALSE)</f>
        <v>0.16500000000000001</v>
      </c>
      <c r="AG70" s="13">
        <f>VLOOKUP(Table2[[#This Row],[3_Elephant_ID]],'[1]Attributes(OUTDATED)'!$A$2:$N$19,14,FALSE)</f>
        <v>0.16420161303383449</v>
      </c>
      <c r="AH70" s="13">
        <v>0</v>
      </c>
      <c r="AI70" s="13">
        <v>0</v>
      </c>
      <c r="AJ70" s="13">
        <v>0</v>
      </c>
      <c r="AK70" s="13">
        <v>0</v>
      </c>
      <c r="AL70" s="13">
        <f>VLOOKUP(Table2[[#This Row],[3_Elephant_ID]],'[1]Attributes(OUTDATED)'!$A$2:$P$19,16,FALSE)</f>
        <v>1</v>
      </c>
      <c r="AM70" s="13">
        <f>VLOOKUP(Table2[[#This Row],[3_Elephant_ID]],'[1]Attributes(OUTDATED)'!$A$2:$S$19,17,FALSE)</f>
        <v>9</v>
      </c>
      <c r="AN70" s="13">
        <f>VLOOKUP(Table2[[#This Row],[3_Elephant_ID]],'[1]Attributes(OUTDATED)'!$A$2:$S$19,18,FALSE)</f>
        <v>9</v>
      </c>
    </row>
    <row r="71" spans="1:40" ht="28" x14ac:dyDescent="0.15">
      <c r="A71" s="3">
        <v>8</v>
      </c>
      <c r="B71" s="6">
        <v>2103231233</v>
      </c>
      <c r="C71" s="7">
        <v>21</v>
      </c>
      <c r="D71" s="7">
        <v>3</v>
      </c>
      <c r="E71" s="7">
        <v>2023</v>
      </c>
      <c r="F71" s="5">
        <v>45006</v>
      </c>
      <c r="G71" s="6" t="s">
        <v>3</v>
      </c>
      <c r="H71" s="17">
        <v>0.25315476190476188</v>
      </c>
      <c r="I71" s="20">
        <f>ROUNDUP((Table2[[#This Row],[fGCM_Conc]]*10000),0)</f>
        <v>2532</v>
      </c>
      <c r="J71" s="3" t="str">
        <f>VLOOKUP(G71,'[1]Attributes(OUTDATED)'!$A$2:$C$19,2,FALSE)</f>
        <v>M</v>
      </c>
      <c r="K71" s="3" t="str">
        <f>VLOOKUP(G71,'[1]Attributes(OUTDATED)'!$A$2:$C$19,3,FALSE)</f>
        <v>J</v>
      </c>
      <c r="L71" s="3">
        <f>VLOOKUP(G71,'[1]Attributes(OUTDATED)'!$A$2:$H$19,8,FALSE)</f>
        <v>1031</v>
      </c>
      <c r="M71" s="3" t="str">
        <f>K71&amp;J71</f>
        <v>JM</v>
      </c>
      <c r="N71" s="3" t="e">
        <f>VLOOKUP(G71,#REF!,2,FALSE)</f>
        <v>#REF!</v>
      </c>
      <c r="O71" s="11">
        <v>45004</v>
      </c>
      <c r="P71" s="13">
        <v>26.8</v>
      </c>
      <c r="Q71" s="13">
        <v>22.3</v>
      </c>
      <c r="R71" s="13">
        <v>15.7</v>
      </c>
      <c r="S71" s="13">
        <f>Table2[[#This Row],[2_Temp_H]]-Table2[[#This Row],[2_Temp_L]]</f>
        <v>11.100000000000001</v>
      </c>
      <c r="T71" s="13">
        <v>18.3</v>
      </c>
      <c r="U71" s="13">
        <v>4.4000000000000004</v>
      </c>
      <c r="V71" s="13">
        <v>1008.81</v>
      </c>
      <c r="W71" s="13">
        <v>1006.1</v>
      </c>
      <c r="X71" s="13">
        <v>0</v>
      </c>
      <c r="Y71" s="13" t="s">
        <v>147</v>
      </c>
      <c r="Z71" s="13" t="s">
        <v>141</v>
      </c>
      <c r="AA71" s="13" t="s">
        <v>26</v>
      </c>
      <c r="AB71" s="13" t="s">
        <v>142</v>
      </c>
      <c r="AC71" s="13" t="s">
        <v>145</v>
      </c>
      <c r="AD71" s="13" t="s">
        <v>137</v>
      </c>
      <c r="AE71" s="13">
        <f>VLOOKUP(Table2[[#This Row],[3_Elephant_ID]],'[1]Attributes(OUTDATED)'!$A$2:$N$19,12,FALSE)</f>
        <v>234</v>
      </c>
      <c r="AF71" s="13">
        <f>VLOOKUP(Table2[[#This Row],[3_Elephant_ID]],'[1]Attributes(OUTDATED)'!$A$2:$N$19,13,FALSE)</f>
        <v>0.16500000000000001</v>
      </c>
      <c r="AG71" s="13">
        <f>VLOOKUP(Table2[[#This Row],[3_Elephant_ID]],'[1]Attributes(OUTDATED)'!$A$2:$N$19,14,FALSE)</f>
        <v>0.16420161303383449</v>
      </c>
      <c r="AH71" s="13">
        <v>0</v>
      </c>
      <c r="AI71" s="13">
        <v>0</v>
      </c>
      <c r="AJ71" s="13">
        <v>0</v>
      </c>
      <c r="AK71" s="13">
        <v>0</v>
      </c>
      <c r="AL71" s="13">
        <f>VLOOKUP(Table2[[#This Row],[3_Elephant_ID]],'[1]Attributes(OUTDATED)'!$A$2:$P$19,16,FALSE)</f>
        <v>1</v>
      </c>
      <c r="AM71" s="13">
        <f>VLOOKUP(Table2[[#This Row],[3_Elephant_ID]],'[1]Attributes(OUTDATED)'!$A$2:$S$19,17,FALSE)</f>
        <v>9</v>
      </c>
      <c r="AN71" s="13">
        <f>VLOOKUP(Table2[[#This Row],[3_Elephant_ID]],'[1]Attributes(OUTDATED)'!$A$2:$S$19,18,FALSE)</f>
        <v>9</v>
      </c>
    </row>
    <row r="72" spans="1:40" ht="28" x14ac:dyDescent="0.15">
      <c r="A72" s="3">
        <v>9</v>
      </c>
      <c r="B72" s="6">
        <v>2103231235</v>
      </c>
      <c r="C72" s="7">
        <v>21</v>
      </c>
      <c r="D72" s="7">
        <v>3</v>
      </c>
      <c r="E72" s="7">
        <v>2023</v>
      </c>
      <c r="F72" s="5">
        <v>45006</v>
      </c>
      <c r="G72" s="6" t="s">
        <v>2</v>
      </c>
      <c r="H72" s="17">
        <v>0.20727799227799229</v>
      </c>
      <c r="I72" s="20">
        <f>ROUNDUP((Table2[[#This Row],[fGCM_Conc]]*10000),0)</f>
        <v>2073</v>
      </c>
      <c r="J72" s="3" t="str">
        <f>VLOOKUP(G72,'[1]Attributes(OUTDATED)'!$A$2:$C$19,2,FALSE)</f>
        <v>F</v>
      </c>
      <c r="K72" s="3" t="str">
        <f>VLOOKUP(G72,'[1]Attributes(OUTDATED)'!$A$2:$C$19,3,FALSE)</f>
        <v>A</v>
      </c>
      <c r="L72" s="3">
        <f>VLOOKUP(G72,'[1]Attributes(OUTDATED)'!$A$2:$H$19,8,FALSE)</f>
        <v>892</v>
      </c>
      <c r="M72" s="3" t="str">
        <f>K72&amp;J72</f>
        <v>AF</v>
      </c>
      <c r="N72" s="3" t="e">
        <f>VLOOKUP(G72,#REF!,2,FALSE)</f>
        <v>#REF!</v>
      </c>
      <c r="O72" s="11">
        <v>45004</v>
      </c>
      <c r="P72" s="13">
        <v>26.8</v>
      </c>
      <c r="Q72" s="13">
        <v>22.3</v>
      </c>
      <c r="R72" s="13">
        <v>15.7</v>
      </c>
      <c r="S72" s="13">
        <f>Table2[[#This Row],[2_Temp_H]]-Table2[[#This Row],[2_Temp_L]]</f>
        <v>11.100000000000001</v>
      </c>
      <c r="T72" s="13">
        <v>18.3</v>
      </c>
      <c r="U72" s="13">
        <v>4.4000000000000004</v>
      </c>
      <c r="V72" s="13">
        <v>1008.81</v>
      </c>
      <c r="W72" s="13">
        <v>1006.1</v>
      </c>
      <c r="X72" s="13">
        <v>0</v>
      </c>
      <c r="Y72" s="13" t="s">
        <v>147</v>
      </c>
      <c r="Z72" s="13" t="s">
        <v>141</v>
      </c>
      <c r="AA72" s="13" t="s">
        <v>26</v>
      </c>
      <c r="AB72" s="13" t="s">
        <v>142</v>
      </c>
      <c r="AC72" s="13" t="s">
        <v>145</v>
      </c>
      <c r="AD72" s="13" t="s">
        <v>137</v>
      </c>
      <c r="AE72" s="13">
        <f>VLOOKUP(Table2[[#This Row],[3_Elephant_ID]],'[1]Attributes(OUTDATED)'!$A$2:$N$19,12,FALSE)</f>
        <v>378</v>
      </c>
      <c r="AF72" s="13">
        <f>VLOOKUP(Table2[[#This Row],[3_Elephant_ID]],'[1]Attributes(OUTDATED)'!$A$2:$N$19,13,FALSE)</f>
        <v>8.6999999999999994E-2</v>
      </c>
      <c r="AG72" s="13">
        <f>VLOOKUP(Table2[[#This Row],[3_Elephant_ID]],'[1]Attributes(OUTDATED)'!$A$2:$N$19,14,FALSE)</f>
        <v>8.6599138783086713E-2</v>
      </c>
      <c r="AH72" s="13">
        <v>0</v>
      </c>
      <c r="AI72" s="13">
        <v>0</v>
      </c>
      <c r="AJ72" s="13">
        <v>0</v>
      </c>
      <c r="AK72" s="13">
        <v>0</v>
      </c>
      <c r="AL72" s="13">
        <f>VLOOKUP(Table2[[#This Row],[3_Elephant_ID]],'[1]Attributes(OUTDATED)'!$A$2:$P$19,16,FALSE)</f>
        <v>1</v>
      </c>
      <c r="AM72" s="13">
        <f>VLOOKUP(Table2[[#This Row],[3_Elephant_ID]],'[1]Attributes(OUTDATED)'!$A$2:$S$19,17,FALSE)</f>
        <v>4</v>
      </c>
      <c r="AN72" s="13">
        <f>VLOOKUP(Table2[[#This Row],[3_Elephant_ID]],'[1]Attributes(OUTDATED)'!$A$2:$S$19,18,FALSE)</f>
        <v>20</v>
      </c>
    </row>
    <row r="73" spans="1:40" ht="28" x14ac:dyDescent="0.15">
      <c r="A73" s="3">
        <v>7</v>
      </c>
      <c r="B73" s="6">
        <v>2703231043</v>
      </c>
      <c r="C73" s="7">
        <v>27</v>
      </c>
      <c r="D73" s="7">
        <v>3</v>
      </c>
      <c r="E73" s="7">
        <v>2023</v>
      </c>
      <c r="F73" s="5">
        <v>45012</v>
      </c>
      <c r="G73" s="6" t="s">
        <v>2</v>
      </c>
      <c r="H73" s="17">
        <v>0.53133843212237097</v>
      </c>
      <c r="I73" s="20">
        <f>ROUNDUP((Table2[[#This Row],[fGCM_Conc]]*10000),0)</f>
        <v>5314</v>
      </c>
      <c r="J73" s="3" t="str">
        <f>VLOOKUP(G73,'[1]Attributes(OUTDATED)'!$A$2:$C$19,2,FALSE)</f>
        <v>F</v>
      </c>
      <c r="K73" s="3" t="str">
        <f>VLOOKUP(G73,'[1]Attributes(OUTDATED)'!$A$2:$C$19,3,FALSE)</f>
        <v>A</v>
      </c>
      <c r="L73" s="3">
        <f>VLOOKUP(G73,'[1]Attributes(OUTDATED)'!$A$2:$H$19,8,FALSE)</f>
        <v>892</v>
      </c>
      <c r="M73" s="3" t="str">
        <f>K73&amp;J73</f>
        <v>AF</v>
      </c>
      <c r="N73" s="3" t="e">
        <f>VLOOKUP(G73,#REF!,2,FALSE)</f>
        <v>#REF!</v>
      </c>
      <c r="O73" s="11">
        <v>45010</v>
      </c>
      <c r="P73" s="13">
        <v>30.4</v>
      </c>
      <c r="Q73" s="13">
        <v>24.4</v>
      </c>
      <c r="R73" s="13">
        <v>16.3</v>
      </c>
      <c r="S73" s="13">
        <f>Table2[[#This Row],[2_Temp_H]]-Table2[[#This Row],[2_Temp_L]]</f>
        <v>14.099999999999998</v>
      </c>
      <c r="T73" s="13">
        <v>48.9</v>
      </c>
      <c r="U73" s="13">
        <v>13.8</v>
      </c>
      <c r="V73" s="13">
        <v>1009.82</v>
      </c>
      <c r="W73" s="13">
        <v>1005.08</v>
      </c>
      <c r="X73" s="13">
        <v>0</v>
      </c>
      <c r="Y73" s="13" t="s">
        <v>147</v>
      </c>
      <c r="Z73" s="16" t="s">
        <v>171</v>
      </c>
      <c r="AA73" s="13" t="s">
        <v>137</v>
      </c>
      <c r="AB73" s="13" t="s">
        <v>142</v>
      </c>
      <c r="AC73" s="13" t="s">
        <v>145</v>
      </c>
      <c r="AD73" s="13" t="s">
        <v>137</v>
      </c>
      <c r="AE73" s="13">
        <f>VLOOKUP(Table2[[#This Row],[3_Elephant_ID]],'[1]Attributes(OUTDATED)'!$A$2:$N$19,12,FALSE)</f>
        <v>378</v>
      </c>
      <c r="AF73" s="13">
        <f>VLOOKUP(Table2[[#This Row],[3_Elephant_ID]],'[1]Attributes(OUTDATED)'!$A$2:$N$19,13,FALSE)</f>
        <v>8.6999999999999994E-2</v>
      </c>
      <c r="AG73" s="13">
        <f>VLOOKUP(Table2[[#This Row],[3_Elephant_ID]],'[1]Attributes(OUTDATED)'!$A$2:$N$19,14,FALSE)</f>
        <v>8.6599138783086713E-2</v>
      </c>
      <c r="AH73" s="13">
        <v>1</v>
      </c>
      <c r="AI73" s="13">
        <v>0</v>
      </c>
      <c r="AJ73" s="13">
        <v>0</v>
      </c>
      <c r="AK73" s="13">
        <v>0</v>
      </c>
      <c r="AL73" s="13">
        <f>VLOOKUP(Table2[[#This Row],[3_Elephant_ID]],'[1]Attributes(OUTDATED)'!$A$2:$P$19,16,FALSE)</f>
        <v>1</v>
      </c>
      <c r="AM73" s="13">
        <f>VLOOKUP(Table2[[#This Row],[3_Elephant_ID]],'[1]Attributes(OUTDATED)'!$A$2:$S$19,17,FALSE)</f>
        <v>4</v>
      </c>
      <c r="AN73" s="13">
        <f>VLOOKUP(Table2[[#This Row],[3_Elephant_ID]],'[1]Attributes(OUTDATED)'!$A$2:$S$19,18,FALSE)</f>
        <v>20</v>
      </c>
    </row>
    <row r="74" spans="1:40" ht="28" x14ac:dyDescent="0.15">
      <c r="A74" s="3">
        <v>6</v>
      </c>
      <c r="B74" s="6">
        <v>2703231232</v>
      </c>
      <c r="C74" s="7">
        <v>27</v>
      </c>
      <c r="D74" s="7">
        <v>3</v>
      </c>
      <c r="E74" s="7">
        <v>2023</v>
      </c>
      <c r="F74" s="5">
        <v>45012</v>
      </c>
      <c r="G74" s="6" t="s">
        <v>1</v>
      </c>
      <c r="H74" s="17">
        <v>0.29677543186180422</v>
      </c>
      <c r="I74" s="20">
        <f>ROUNDUP((Table2[[#This Row],[fGCM_Conc]]*10000),0)</f>
        <v>2968</v>
      </c>
      <c r="J74" s="3" t="str">
        <f>VLOOKUP(G74,'[1]Attributes(OUTDATED)'!$A$2:$C$19,2,FALSE)</f>
        <v>F</v>
      </c>
      <c r="K74" s="3" t="str">
        <f>VLOOKUP(G74,'[1]Attributes(OUTDATED)'!$A$2:$C$19,3,FALSE)</f>
        <v>A</v>
      </c>
      <c r="L74" s="3">
        <f>VLOOKUP(G74,'[1]Attributes(OUTDATED)'!$A$2:$H$19,8,FALSE)</f>
        <v>929</v>
      </c>
      <c r="M74" s="3" t="str">
        <f>K74&amp;J74</f>
        <v>AF</v>
      </c>
      <c r="N74" s="3" t="e">
        <f>VLOOKUP(G74,#REF!,2,FALSE)</f>
        <v>#REF!</v>
      </c>
      <c r="O74" s="11">
        <v>45010</v>
      </c>
      <c r="P74" s="13">
        <v>30.4</v>
      </c>
      <c r="Q74" s="13">
        <v>24.4</v>
      </c>
      <c r="R74" s="13">
        <v>16.3</v>
      </c>
      <c r="S74" s="13">
        <f>Table2[[#This Row],[2_Temp_H]]-Table2[[#This Row],[2_Temp_L]]</f>
        <v>14.099999999999998</v>
      </c>
      <c r="T74" s="13">
        <v>48.9</v>
      </c>
      <c r="U74" s="13">
        <v>13.8</v>
      </c>
      <c r="V74" s="13">
        <v>1009.82</v>
      </c>
      <c r="W74" s="13">
        <v>1005.08</v>
      </c>
      <c r="X74" s="13">
        <v>0</v>
      </c>
      <c r="Y74" s="13" t="s">
        <v>147</v>
      </c>
      <c r="Z74" s="16" t="s">
        <v>171</v>
      </c>
      <c r="AA74" s="13" t="s">
        <v>137</v>
      </c>
      <c r="AB74" s="13" t="s">
        <v>142</v>
      </c>
      <c r="AC74" s="13" t="s">
        <v>145</v>
      </c>
      <c r="AD74" s="13" t="s">
        <v>137</v>
      </c>
      <c r="AE74" s="13">
        <f>VLOOKUP(Table2[[#This Row],[3_Elephant_ID]],'[1]Attributes(OUTDATED)'!$A$2:$N$19,12,FALSE)</f>
        <v>321</v>
      </c>
      <c r="AF74" s="13">
        <f>VLOOKUP(Table2[[#This Row],[3_Elephant_ID]],'[1]Attributes(OUTDATED)'!$A$2:$N$19,13,FALSE)</f>
        <v>0.17599999999999999</v>
      </c>
      <c r="AG74" s="13">
        <f>VLOOKUP(Table2[[#This Row],[3_Elephant_ID]],'[1]Attributes(OUTDATED)'!$A$2:$N$19,14,FALSE)</f>
        <v>0.17530262753188491</v>
      </c>
      <c r="AH74" s="13">
        <v>1</v>
      </c>
      <c r="AI74" s="13">
        <v>0</v>
      </c>
      <c r="AJ74" s="13">
        <v>0</v>
      </c>
      <c r="AK74" s="13">
        <v>0</v>
      </c>
      <c r="AL74" s="13">
        <f>VLOOKUP(Table2[[#This Row],[3_Elephant_ID]],'[1]Attributes(OUTDATED)'!$A$2:$P$19,16,FALSE)</f>
        <v>1</v>
      </c>
      <c r="AM74" s="13">
        <f>VLOOKUP(Table2[[#This Row],[3_Elephant_ID]],'[1]Attributes(OUTDATED)'!$A$2:$S$19,17,FALSE)</f>
        <v>6</v>
      </c>
      <c r="AN74" s="13">
        <f>VLOOKUP(Table2[[#This Row],[3_Elephant_ID]],'[1]Attributes(OUTDATED)'!$A$2:$S$19,18,FALSE)</f>
        <v>8</v>
      </c>
    </row>
    <row r="75" spans="1:40" ht="28" x14ac:dyDescent="0.15">
      <c r="A75" s="3">
        <v>5</v>
      </c>
      <c r="B75" s="6" t="s">
        <v>27</v>
      </c>
      <c r="C75" s="7">
        <v>28</v>
      </c>
      <c r="D75" s="7">
        <v>3</v>
      </c>
      <c r="E75" s="7">
        <v>2023</v>
      </c>
      <c r="F75" s="5">
        <v>45013</v>
      </c>
      <c r="G75" s="6" t="s">
        <v>2</v>
      </c>
      <c r="H75" s="17">
        <v>0.38357142857142862</v>
      </c>
      <c r="I75" s="20">
        <f>ROUNDUP((Table2[[#This Row],[fGCM_Conc]]*10000),0)</f>
        <v>3836</v>
      </c>
      <c r="J75" s="3" t="str">
        <f>VLOOKUP(G75,'[1]Attributes(OUTDATED)'!$A$2:$C$19,2,FALSE)</f>
        <v>F</v>
      </c>
      <c r="K75" s="3" t="str">
        <f>VLOOKUP(G75,'[1]Attributes(OUTDATED)'!$A$2:$C$19,3,FALSE)</f>
        <v>A</v>
      </c>
      <c r="L75" s="3">
        <f>VLOOKUP(G75,'[1]Attributes(OUTDATED)'!$A$2:$H$19,8,FALSE)</f>
        <v>892</v>
      </c>
      <c r="M75" s="3" t="str">
        <f>K75&amp;J75</f>
        <v>AF</v>
      </c>
      <c r="N75" s="3" t="e">
        <f>VLOOKUP(G75,#REF!,2,FALSE)</f>
        <v>#REF!</v>
      </c>
      <c r="O75" s="11">
        <v>45011</v>
      </c>
      <c r="P75" s="13">
        <v>19.899999999999999</v>
      </c>
      <c r="Q75" s="13">
        <v>15.2</v>
      </c>
      <c r="R75" s="13">
        <v>10.8</v>
      </c>
      <c r="S75" s="13">
        <f>Table2[[#This Row],[2_Temp_H]]-Table2[[#This Row],[2_Temp_L]]</f>
        <v>9.0999999999999979</v>
      </c>
      <c r="T75" s="13">
        <v>26.9</v>
      </c>
      <c r="U75" s="13">
        <v>6.7</v>
      </c>
      <c r="V75" s="13">
        <v>1017.95</v>
      </c>
      <c r="W75" s="13">
        <v>1008.81</v>
      </c>
      <c r="X75" s="13">
        <v>1.78</v>
      </c>
      <c r="Y75" s="13" t="s">
        <v>147</v>
      </c>
      <c r="Z75" s="16" t="s">
        <v>171</v>
      </c>
      <c r="AA75" s="13" t="s">
        <v>137</v>
      </c>
      <c r="AB75" s="13" t="s">
        <v>142</v>
      </c>
      <c r="AC75" s="13" t="s">
        <v>145</v>
      </c>
      <c r="AD75" s="13" t="s">
        <v>137</v>
      </c>
      <c r="AE75" s="13">
        <f>VLOOKUP(Table2[[#This Row],[3_Elephant_ID]],'[1]Attributes(OUTDATED)'!$A$2:$N$19,12,FALSE)</f>
        <v>378</v>
      </c>
      <c r="AF75" s="13">
        <f>VLOOKUP(Table2[[#This Row],[3_Elephant_ID]],'[1]Attributes(OUTDATED)'!$A$2:$N$19,13,FALSE)</f>
        <v>8.6999999999999994E-2</v>
      </c>
      <c r="AG75" s="13">
        <f>VLOOKUP(Table2[[#This Row],[3_Elephant_ID]],'[1]Attributes(OUTDATED)'!$A$2:$N$19,14,FALSE)</f>
        <v>8.6599138783086713E-2</v>
      </c>
      <c r="AH75" s="13">
        <v>0</v>
      </c>
      <c r="AI75" s="13">
        <v>0</v>
      </c>
      <c r="AJ75" s="13">
        <v>0</v>
      </c>
      <c r="AK75" s="13">
        <v>0</v>
      </c>
      <c r="AL75" s="13">
        <f>VLOOKUP(Table2[[#This Row],[3_Elephant_ID]],'[1]Attributes(OUTDATED)'!$A$2:$P$19,16,FALSE)</f>
        <v>1</v>
      </c>
      <c r="AM75" s="13">
        <f>VLOOKUP(Table2[[#This Row],[3_Elephant_ID]],'[1]Attributes(OUTDATED)'!$A$2:$S$19,17,FALSE)</f>
        <v>4</v>
      </c>
      <c r="AN75" s="13">
        <f>VLOOKUP(Table2[[#This Row],[3_Elephant_ID]],'[1]Attributes(OUTDATED)'!$A$2:$S$19,18,FALSE)</f>
        <v>20</v>
      </c>
    </row>
    <row r="76" spans="1:40" ht="28" x14ac:dyDescent="0.15">
      <c r="A76" s="3">
        <v>4</v>
      </c>
      <c r="B76" s="6" t="s">
        <v>28</v>
      </c>
      <c r="C76" s="7">
        <v>28</v>
      </c>
      <c r="D76" s="7">
        <v>3</v>
      </c>
      <c r="E76" s="7">
        <v>2023</v>
      </c>
      <c r="F76" s="5">
        <v>45013</v>
      </c>
      <c r="G76" s="6" t="s">
        <v>16</v>
      </c>
      <c r="H76" s="17">
        <v>0.31129798903107869</v>
      </c>
      <c r="I76" s="20">
        <f>ROUNDUP((Table2[[#This Row],[fGCM_Conc]]*10000),0)</f>
        <v>3113</v>
      </c>
      <c r="J76" s="3" t="str">
        <f>VLOOKUP(G76,'[1]Attributes(OUTDATED)'!$A$2:$C$19,2,FALSE)</f>
        <v>F</v>
      </c>
      <c r="K76" s="3" t="str">
        <f>VLOOKUP(G76,'[1]Attributes(OUTDATED)'!$A$2:$C$19,3,FALSE)</f>
        <v>A</v>
      </c>
      <c r="L76" s="3">
        <f>VLOOKUP(G76,'[1]Attributes(OUTDATED)'!$A$2:$H$19,8,FALSE)</f>
        <v>1346</v>
      </c>
      <c r="M76" s="3" t="str">
        <f>K76&amp;J76</f>
        <v>AF</v>
      </c>
      <c r="N76" s="3" t="e">
        <f>VLOOKUP(G76,#REF!,2,FALSE)</f>
        <v>#REF!</v>
      </c>
      <c r="O76" s="11">
        <v>45011</v>
      </c>
      <c r="P76" s="13">
        <v>19.899999999999999</v>
      </c>
      <c r="Q76" s="13">
        <v>15.2</v>
      </c>
      <c r="R76" s="13">
        <v>10.8</v>
      </c>
      <c r="S76" s="13">
        <f>Table2[[#This Row],[2_Temp_H]]-Table2[[#This Row],[2_Temp_L]]</f>
        <v>9.0999999999999979</v>
      </c>
      <c r="T76" s="13">
        <v>26.9</v>
      </c>
      <c r="U76" s="13">
        <v>6.7</v>
      </c>
      <c r="V76" s="13">
        <v>1017.95</v>
      </c>
      <c r="W76" s="13">
        <v>1008.81</v>
      </c>
      <c r="X76" s="13">
        <v>1.78</v>
      </c>
      <c r="Y76" s="13" t="s">
        <v>147</v>
      </c>
      <c r="Z76" s="16" t="s">
        <v>171</v>
      </c>
      <c r="AA76" s="13" t="s">
        <v>137</v>
      </c>
      <c r="AB76" s="13" t="s">
        <v>142</v>
      </c>
      <c r="AC76" s="13" t="s">
        <v>145</v>
      </c>
      <c r="AD76" s="13" t="s">
        <v>137</v>
      </c>
      <c r="AE76" s="13">
        <f>VLOOKUP(Table2[[#This Row],[3_Elephant_ID]],'[1]Attributes(OUTDATED)'!$A$2:$N$19,12,FALSE)</f>
        <v>474</v>
      </c>
      <c r="AF76" s="13">
        <f>VLOOKUP(Table2[[#This Row],[3_Elephant_ID]],'[1]Attributes(OUTDATED)'!$A$2:$N$19,13,FALSE)</f>
        <v>0.121</v>
      </c>
      <c r="AG76" s="13">
        <f>VLOOKUP(Table2[[#This Row],[3_Elephant_ID]],'[1]Attributes(OUTDATED)'!$A$2:$N$19,14,FALSE)</f>
        <v>0.1206993463154281</v>
      </c>
      <c r="AH76" s="13">
        <v>0</v>
      </c>
      <c r="AI76" s="13">
        <v>0</v>
      </c>
      <c r="AJ76" s="13">
        <v>0</v>
      </c>
      <c r="AK76" s="13">
        <v>0</v>
      </c>
      <c r="AL76" s="13">
        <f>VLOOKUP(Table2[[#This Row],[3_Elephant_ID]],'[1]Attributes(OUTDATED)'!$A$2:$P$19,16,FALSE)</f>
        <v>1</v>
      </c>
      <c r="AM76" s="13">
        <f>VLOOKUP(Table2[[#This Row],[3_Elephant_ID]],'[1]Attributes(OUTDATED)'!$A$2:$S$19,17,FALSE)</f>
        <v>16</v>
      </c>
      <c r="AN76" s="13">
        <f>VLOOKUP(Table2[[#This Row],[3_Elephant_ID]],'[1]Attributes(OUTDATED)'!$A$2:$S$19,18,FALSE)</f>
        <v>1</v>
      </c>
    </row>
    <row r="77" spans="1:40" ht="28" x14ac:dyDescent="0.15">
      <c r="A77" s="3">
        <v>2</v>
      </c>
      <c r="B77" s="7">
        <v>3103231223</v>
      </c>
      <c r="C77" s="7">
        <v>31</v>
      </c>
      <c r="D77" s="7">
        <v>3</v>
      </c>
      <c r="E77" s="7">
        <v>2023</v>
      </c>
      <c r="F77" s="5">
        <v>45016</v>
      </c>
      <c r="G77" s="6" t="s">
        <v>14</v>
      </c>
      <c r="H77" s="17">
        <v>0.48263059701492522</v>
      </c>
      <c r="I77" s="20">
        <f>ROUNDUP((Table2[[#This Row],[fGCM_Conc]]*10000),0)</f>
        <v>4827</v>
      </c>
      <c r="J77" s="3" t="str">
        <f>VLOOKUP(G77,'[1]Attributes(OUTDATED)'!$A$2:$C$19,2,FALSE)</f>
        <v>F</v>
      </c>
      <c r="K77" s="3" t="str">
        <f>VLOOKUP(G77,'[1]Attributes(OUTDATED)'!$A$2:$C$19,3,FALSE)</f>
        <v>J</v>
      </c>
      <c r="L77" s="3">
        <f>VLOOKUP(G77,'[1]Attributes(OUTDATED)'!$A$2:$H$19,8,FALSE)</f>
        <v>879</v>
      </c>
      <c r="M77" s="3" t="str">
        <f>K77&amp;J77</f>
        <v>JF</v>
      </c>
      <c r="N77" s="3" t="e">
        <f>VLOOKUP(G77,#REF!,2,FALSE)</f>
        <v>#REF!</v>
      </c>
      <c r="O77" s="11">
        <v>45014</v>
      </c>
      <c r="P77" s="13">
        <v>21.7</v>
      </c>
      <c r="Q77" s="13">
        <v>14.7</v>
      </c>
      <c r="R77" s="13">
        <v>6.7</v>
      </c>
      <c r="S77" s="13">
        <f>Table2[[#This Row],[2_Temp_H]]-Table2[[#This Row],[2_Temp_L]]</f>
        <v>15</v>
      </c>
      <c r="T77" s="13">
        <v>29.8</v>
      </c>
      <c r="U77" s="13">
        <v>4.9000000000000004</v>
      </c>
      <c r="V77" s="13">
        <v>1011.85</v>
      </c>
      <c r="W77" s="13">
        <v>1006.77</v>
      </c>
      <c r="X77" s="13">
        <v>0</v>
      </c>
      <c r="Y77" s="13" t="s">
        <v>147</v>
      </c>
      <c r="Z77" s="13" t="s">
        <v>139</v>
      </c>
      <c r="AA77" s="13" t="s">
        <v>26</v>
      </c>
      <c r="AB77" s="13" t="s">
        <v>142</v>
      </c>
      <c r="AC77" s="13" t="s">
        <v>145</v>
      </c>
      <c r="AD77" s="13" t="s">
        <v>137</v>
      </c>
      <c r="AE77" s="13">
        <f>VLOOKUP(Table2[[#This Row],[3_Elephant_ID]],'[1]Attributes(OUTDATED)'!$A$2:$N$19,12,FALSE)</f>
        <v>269</v>
      </c>
      <c r="AF77" s="13">
        <f>VLOOKUP(Table2[[#This Row],[3_Elephant_ID]],'[1]Attributes(OUTDATED)'!$A$2:$N$19,13,FALSE)</f>
        <v>0.65800000000000003</v>
      </c>
      <c r="AG77" s="13">
        <f>VLOOKUP(Table2[[#This Row],[3_Elephant_ID]],'[1]Attributes(OUTDATED)'!$A$2:$N$19,14,FALSE)</f>
        <v>0.65767064449315993</v>
      </c>
      <c r="AH77" s="13">
        <v>0</v>
      </c>
      <c r="AI77" s="13">
        <v>0</v>
      </c>
      <c r="AJ77" s="13">
        <v>0</v>
      </c>
      <c r="AK77" s="13">
        <v>0</v>
      </c>
      <c r="AL77" s="13">
        <f>VLOOKUP(Table2[[#This Row],[3_Elephant_ID]],'[1]Attributes(OUTDATED)'!$A$2:$P$19,16,FALSE)</f>
        <v>1</v>
      </c>
      <c r="AM77" s="13">
        <f>VLOOKUP(Table2[[#This Row],[3_Elephant_ID]],'[1]Attributes(OUTDATED)'!$A$2:$S$19,17,FALSE)</f>
        <v>3</v>
      </c>
      <c r="AN77" s="13">
        <f>VLOOKUP(Table2[[#This Row],[3_Elephant_ID]],'[1]Attributes(OUTDATED)'!$A$2:$S$19,18,FALSE)</f>
        <v>9</v>
      </c>
    </row>
    <row r="78" spans="1:40" ht="28" x14ac:dyDescent="0.15">
      <c r="A78" s="3">
        <v>3</v>
      </c>
      <c r="B78" s="6" t="s">
        <v>30</v>
      </c>
      <c r="C78" s="7">
        <v>31</v>
      </c>
      <c r="D78" s="7">
        <v>3</v>
      </c>
      <c r="E78" s="7">
        <v>2023</v>
      </c>
      <c r="F78" s="5">
        <v>45016</v>
      </c>
      <c r="G78" s="6" t="s">
        <v>13</v>
      </c>
      <c r="H78" s="17">
        <v>0.26043643263757121</v>
      </c>
      <c r="I78" s="20">
        <f>ROUNDUP((Table2[[#This Row],[fGCM_Conc]]*10000),0)</f>
        <v>2605</v>
      </c>
      <c r="J78" s="3" t="str">
        <f>VLOOKUP(G78,'[1]Attributes(OUTDATED)'!$A$2:$C$19,2,FALSE)</f>
        <v>F</v>
      </c>
      <c r="K78" s="3" t="str">
        <f>VLOOKUP(G78,'[1]Attributes(OUTDATED)'!$A$2:$C$19,3,FALSE)</f>
        <v>A</v>
      </c>
      <c r="L78" s="3">
        <f>VLOOKUP(G78,'[1]Attributes(OUTDATED)'!$A$2:$H$19,8,FALSE)</f>
        <v>963</v>
      </c>
      <c r="M78" s="3" t="str">
        <f>K78&amp;J78</f>
        <v>AF</v>
      </c>
      <c r="N78" s="3" t="e">
        <f>VLOOKUP(G78,#REF!,2,FALSE)</f>
        <v>#REF!</v>
      </c>
      <c r="O78" s="11">
        <v>45014</v>
      </c>
      <c r="P78" s="13">
        <v>21.7</v>
      </c>
      <c r="Q78" s="13">
        <v>14.7</v>
      </c>
      <c r="R78" s="13">
        <v>6.7</v>
      </c>
      <c r="S78" s="13">
        <f>Table2[[#This Row],[2_Temp_H]]-Table2[[#This Row],[2_Temp_L]]</f>
        <v>15</v>
      </c>
      <c r="T78" s="13">
        <v>29.8</v>
      </c>
      <c r="U78" s="13">
        <v>4.9000000000000004</v>
      </c>
      <c r="V78" s="13">
        <v>1011.85</v>
      </c>
      <c r="W78" s="13">
        <v>1006.77</v>
      </c>
      <c r="X78" s="13">
        <v>0</v>
      </c>
      <c r="Y78" s="13" t="s">
        <v>147</v>
      </c>
      <c r="Z78" s="13" t="s">
        <v>139</v>
      </c>
      <c r="AA78" s="13" t="s">
        <v>26</v>
      </c>
      <c r="AB78" s="13" t="s">
        <v>142</v>
      </c>
      <c r="AC78" s="13" t="s">
        <v>145</v>
      </c>
      <c r="AD78" s="13" t="s">
        <v>137</v>
      </c>
      <c r="AE78" s="13">
        <f>VLOOKUP(Table2[[#This Row],[3_Elephant_ID]],'[1]Attributes(OUTDATED)'!$A$2:$N$19,12,FALSE)</f>
        <v>289</v>
      </c>
      <c r="AF78" s="13">
        <f>VLOOKUP(Table2[[#This Row],[3_Elephant_ID]],'[1]Attributes(OUTDATED)'!$A$2:$N$19,13,FALSE)</f>
        <v>0.32400000000000001</v>
      </c>
      <c r="AG78" s="13">
        <f>VLOOKUP(Table2[[#This Row],[3_Elephant_ID]],'[1]Attributes(OUTDATED)'!$A$2:$N$19,14,FALSE)</f>
        <v>0.32380809109629533</v>
      </c>
      <c r="AH78" s="13">
        <v>0</v>
      </c>
      <c r="AI78" s="13">
        <v>0</v>
      </c>
      <c r="AJ78" s="13">
        <v>0</v>
      </c>
      <c r="AK78" s="13">
        <v>0</v>
      </c>
      <c r="AL78" s="13">
        <f>VLOOKUP(Table2[[#This Row],[3_Elephant_ID]],'[1]Attributes(OUTDATED)'!$A$2:$P$19,16,FALSE)</f>
        <v>2</v>
      </c>
      <c r="AM78" s="13">
        <f>VLOOKUP(Table2[[#This Row],[3_Elephant_ID]],'[1]Attributes(OUTDATED)'!$A$2:$S$19,17,FALSE)</f>
        <v>9</v>
      </c>
      <c r="AN78" s="13">
        <f>VLOOKUP(Table2[[#This Row],[3_Elephant_ID]],'[1]Attributes(OUTDATED)'!$A$2:$S$19,18,FALSE)</f>
        <v>9</v>
      </c>
    </row>
    <row r="79" spans="1:40" ht="28" x14ac:dyDescent="0.15">
      <c r="A79" s="3">
        <v>1</v>
      </c>
      <c r="B79" s="7">
        <v>3103231551</v>
      </c>
      <c r="C79" s="7">
        <v>31</v>
      </c>
      <c r="D79" s="7">
        <v>3</v>
      </c>
      <c r="E79" s="7">
        <v>2023</v>
      </c>
      <c r="F79" s="5">
        <v>45016</v>
      </c>
      <c r="G79" s="6" t="s">
        <v>31</v>
      </c>
      <c r="H79" s="17">
        <v>0.25911153119092623</v>
      </c>
      <c r="I79" s="20">
        <f>ROUNDUP((Table2[[#This Row],[fGCM_Conc]]*10000),0)</f>
        <v>2592</v>
      </c>
      <c r="J79" s="3" t="str">
        <f>VLOOKUP(G79,'[1]Attributes(OUTDATED)'!$A$2:$C$19,2,FALSE)</f>
        <v>F</v>
      </c>
      <c r="K79" s="3" t="str">
        <f>VLOOKUP(G79,'[1]Attributes(OUTDATED)'!$A$2:$C$19,3,FALSE)</f>
        <v>J</v>
      </c>
      <c r="L79" s="3">
        <f>VLOOKUP(G79,'[1]Attributes(OUTDATED)'!$A$2:$H$19,8,FALSE)</f>
        <v>765</v>
      </c>
      <c r="M79" s="3" t="str">
        <f>K79&amp;J79</f>
        <v>JF</v>
      </c>
      <c r="N79" s="3" t="e">
        <f>VLOOKUP(G79,#REF!,2,FALSE)</f>
        <v>#REF!</v>
      </c>
      <c r="O79" s="11">
        <v>45014</v>
      </c>
      <c r="P79" s="13">
        <v>21.7</v>
      </c>
      <c r="Q79" s="13">
        <v>14.7</v>
      </c>
      <c r="R79" s="13">
        <v>6.7</v>
      </c>
      <c r="S79" s="13">
        <f>Table2[[#This Row],[2_Temp_H]]-Table2[[#This Row],[2_Temp_L]]</f>
        <v>15</v>
      </c>
      <c r="T79" s="13">
        <v>29.8</v>
      </c>
      <c r="U79" s="13">
        <v>4.9000000000000004</v>
      </c>
      <c r="V79" s="13">
        <v>1011.85</v>
      </c>
      <c r="W79" s="13">
        <v>1006.77</v>
      </c>
      <c r="X79" s="13">
        <v>0</v>
      </c>
      <c r="Y79" s="13" t="s">
        <v>147</v>
      </c>
      <c r="Z79" s="13" t="s">
        <v>139</v>
      </c>
      <c r="AA79" s="13" t="s">
        <v>26</v>
      </c>
      <c r="AB79" s="13" t="s">
        <v>142</v>
      </c>
      <c r="AC79" s="13" t="s">
        <v>145</v>
      </c>
      <c r="AD79" s="13" t="s">
        <v>137</v>
      </c>
      <c r="AE79" s="13">
        <f>VLOOKUP(Table2[[#This Row],[3_Elephant_ID]],'[1]Attributes(OUTDATED)'!$A$2:$N$19,12,FALSE)</f>
        <v>258</v>
      </c>
      <c r="AF79" s="13">
        <f>VLOOKUP(Table2[[#This Row],[3_Elephant_ID]],'[1]Attributes(OUTDATED)'!$A$2:$N$19,13,FALSE)</f>
        <v>0.25700000000000001</v>
      </c>
      <c r="AG79" s="13">
        <f>VLOOKUP(Table2[[#This Row],[3_Elephant_ID]],'[1]Attributes(OUTDATED)'!$A$2:$N$19,14,FALSE)</f>
        <v>0.25665547185998128</v>
      </c>
      <c r="AH79" s="13">
        <v>0</v>
      </c>
      <c r="AI79" s="13">
        <v>0</v>
      </c>
      <c r="AJ79" s="13">
        <v>0</v>
      </c>
      <c r="AK79" s="13">
        <v>0</v>
      </c>
      <c r="AL79" s="13">
        <f>VLOOKUP(Table2[[#This Row],[3_Elephant_ID]],'[1]Attributes(OUTDATED)'!$A$2:$P$19,16,FALSE)</f>
        <v>2</v>
      </c>
      <c r="AM79" s="13">
        <f>VLOOKUP(Table2[[#This Row],[3_Elephant_ID]],'[1]Attributes(OUTDATED)'!$A$2:$S$19,17,FALSE)</f>
        <v>1</v>
      </c>
      <c r="AN79" s="13">
        <f>VLOOKUP(Table2[[#This Row],[3_Elephant_ID]],'[1]Attributes(OUTDATED)'!$A$2:$S$19,18,FALSE)</f>
        <v>10</v>
      </c>
    </row>
    <row r="80" spans="1:40" ht="28" x14ac:dyDescent="0.15">
      <c r="A80" s="3">
        <v>193</v>
      </c>
      <c r="B80" s="6">
        <v>1705231500</v>
      </c>
      <c r="C80" s="7">
        <v>17</v>
      </c>
      <c r="D80" s="7">
        <v>5</v>
      </c>
      <c r="E80" s="7">
        <v>2023</v>
      </c>
      <c r="F80" s="5">
        <v>45063</v>
      </c>
      <c r="G80" s="6" t="s">
        <v>6</v>
      </c>
      <c r="H80" s="17">
        <v>0.42821292775665398</v>
      </c>
      <c r="I80" s="20">
        <f>ROUNDUP((Table2[[#This Row],[fGCM_Conc]]*10000),0)</f>
        <v>4283</v>
      </c>
      <c r="J80" s="3" t="str">
        <f>VLOOKUP(G80,'[1]Attributes(OUTDATED)'!$A$2:$C$19,2,FALSE)</f>
        <v>F</v>
      </c>
      <c r="K80" s="3" t="str">
        <f>VLOOKUP(G80,'[1]Attributes(OUTDATED)'!$A$2:$C$19,3,FALSE)</f>
        <v>A</v>
      </c>
      <c r="L80" s="3">
        <f>VLOOKUP(G80,'[1]Attributes(OUTDATED)'!$A$2:$H$19,8,FALSE)</f>
        <v>1168</v>
      </c>
      <c r="M80" s="3" t="str">
        <f>K80&amp;J80</f>
        <v>AF</v>
      </c>
      <c r="N80" s="3" t="e">
        <f>VLOOKUP(G80,#REF!,2,FALSE)</f>
        <v>#REF!</v>
      </c>
      <c r="O80" s="11">
        <v>45061</v>
      </c>
      <c r="P80" s="13">
        <v>13.8</v>
      </c>
      <c r="Q80" s="13">
        <v>9.5</v>
      </c>
      <c r="R80" s="13">
        <v>7.3</v>
      </c>
      <c r="S80" s="13">
        <f>Table2[[#This Row],[2_Temp_H]]-Table2[[#This Row],[2_Temp_L]]</f>
        <v>6.5000000000000009</v>
      </c>
      <c r="T80" s="13">
        <v>15.4</v>
      </c>
      <c r="U80" s="13">
        <v>2.8</v>
      </c>
      <c r="V80" s="13">
        <v>1021</v>
      </c>
      <c r="W80" s="13">
        <v>1016.93</v>
      </c>
      <c r="X80" s="13">
        <v>0</v>
      </c>
      <c r="Y80" s="13" t="s">
        <v>147</v>
      </c>
      <c r="Z80" s="16" t="s">
        <v>171</v>
      </c>
      <c r="AA80" s="13" t="s">
        <v>137</v>
      </c>
      <c r="AB80" s="13" t="s">
        <v>144</v>
      </c>
      <c r="AC80" s="13" t="s">
        <v>146</v>
      </c>
      <c r="AD80" s="13" t="s">
        <v>137</v>
      </c>
      <c r="AE80" s="13">
        <f>VLOOKUP(Table2[[#This Row],[3_Elephant_ID]],'[1]Attributes(OUTDATED)'!$A$2:$N$19,12,FALSE)</f>
        <v>286</v>
      </c>
      <c r="AF80" s="13">
        <f>VLOOKUP(Table2[[#This Row],[3_Elephant_ID]],'[1]Attributes(OUTDATED)'!$A$2:$N$19,13,FALSE)</f>
        <v>0.26800000000000002</v>
      </c>
      <c r="AG80" s="13">
        <f>VLOOKUP(Table2[[#This Row],[3_Elephant_ID]],'[1]Attributes(OUTDATED)'!$A$2:$N$19,14,FALSE)</f>
        <v>0.26721028245328138</v>
      </c>
      <c r="AH80" s="13">
        <v>0</v>
      </c>
      <c r="AI80" s="13">
        <v>0</v>
      </c>
      <c r="AJ80" s="13">
        <v>0</v>
      </c>
      <c r="AK80" s="13">
        <v>0</v>
      </c>
      <c r="AL80" s="13">
        <f>VLOOKUP(Table2[[#This Row],[3_Elephant_ID]],'[1]Attributes(OUTDATED)'!$A$2:$P$19,16,FALSE)</f>
        <v>2</v>
      </c>
      <c r="AM80" s="13">
        <f>VLOOKUP(Table2[[#This Row],[3_Elephant_ID]],'[1]Attributes(OUTDATED)'!$A$2:$S$19,17,FALSE)</f>
        <v>12</v>
      </c>
      <c r="AN80" s="13">
        <f>VLOOKUP(Table2[[#This Row],[3_Elephant_ID]],'[1]Attributes(OUTDATED)'!$A$2:$S$19,18,FALSE)</f>
        <v>5</v>
      </c>
    </row>
    <row r="81" spans="1:40" ht="28" x14ac:dyDescent="0.15">
      <c r="A81" s="3">
        <v>194</v>
      </c>
      <c r="B81" s="6">
        <v>1705231215</v>
      </c>
      <c r="C81" s="7">
        <v>17</v>
      </c>
      <c r="D81" s="7">
        <v>5</v>
      </c>
      <c r="E81" s="7">
        <v>2023</v>
      </c>
      <c r="F81" s="5">
        <v>45063</v>
      </c>
      <c r="G81" s="6" t="s">
        <v>15</v>
      </c>
      <c r="H81" s="17">
        <v>0.36972527472527478</v>
      </c>
      <c r="I81" s="20">
        <f>ROUNDUP((Table2[[#This Row],[fGCM_Conc]]*10000),0)</f>
        <v>3698</v>
      </c>
      <c r="J81" s="3" t="str">
        <f>VLOOKUP(G81,'[1]Attributes(OUTDATED)'!$A$2:$C$19,2,FALSE)</f>
        <v>M</v>
      </c>
      <c r="K81" s="3" t="str">
        <f>VLOOKUP(G81,'[1]Attributes(OUTDATED)'!$A$2:$C$19,3,FALSE)</f>
        <v>J</v>
      </c>
      <c r="L81" s="3">
        <f>VLOOKUP(G81,'[1]Attributes(OUTDATED)'!$A$2:$H$19,8,FALSE)</f>
        <v>828</v>
      </c>
      <c r="M81" s="3" t="str">
        <f>K81&amp;J81</f>
        <v>JM</v>
      </c>
      <c r="N81" s="3" t="e">
        <f>VLOOKUP(G81,#REF!,2,FALSE)</f>
        <v>#REF!</v>
      </c>
      <c r="O81" s="11">
        <v>45061</v>
      </c>
      <c r="P81" s="13">
        <v>13.8</v>
      </c>
      <c r="Q81" s="13">
        <v>9.5</v>
      </c>
      <c r="R81" s="13">
        <v>7.3</v>
      </c>
      <c r="S81" s="13">
        <f>Table2[[#This Row],[2_Temp_H]]-Table2[[#This Row],[2_Temp_L]]</f>
        <v>6.5000000000000009</v>
      </c>
      <c r="T81" s="13">
        <v>15.4</v>
      </c>
      <c r="U81" s="13">
        <v>2.8</v>
      </c>
      <c r="V81" s="13">
        <v>1021</v>
      </c>
      <c r="W81" s="13">
        <v>1016.93</v>
      </c>
      <c r="X81" s="13">
        <v>0</v>
      </c>
      <c r="Y81" s="13" t="s">
        <v>147</v>
      </c>
      <c r="Z81" s="16" t="s">
        <v>171</v>
      </c>
      <c r="AA81" s="13" t="s">
        <v>137</v>
      </c>
      <c r="AB81" s="13" t="s">
        <v>144</v>
      </c>
      <c r="AC81" s="13" t="s">
        <v>146</v>
      </c>
      <c r="AD81" s="13" t="s">
        <v>137</v>
      </c>
      <c r="AE81" s="13">
        <f>VLOOKUP(Table2[[#This Row],[3_Elephant_ID]],'[1]Attributes(OUTDATED)'!$A$2:$N$19,12,FALSE)</f>
        <v>219</v>
      </c>
      <c r="AF81" s="13">
        <f>VLOOKUP(Table2[[#This Row],[3_Elephant_ID]],'[1]Attributes(OUTDATED)'!$A$2:$N$19,13,FALSE)</f>
        <v>0.32300000000000001</v>
      </c>
      <c r="AG81" s="13">
        <f>VLOOKUP(Table2[[#This Row],[3_Elephant_ID]],'[1]Attributes(OUTDATED)'!$A$2:$N$19,14,FALSE)</f>
        <v>0.32257531484312868</v>
      </c>
      <c r="AH81" s="13">
        <v>0</v>
      </c>
      <c r="AI81" s="13">
        <v>0</v>
      </c>
      <c r="AJ81" s="13">
        <v>0</v>
      </c>
      <c r="AK81" s="13">
        <v>0</v>
      </c>
      <c r="AL81" s="13">
        <f>VLOOKUP(Table2[[#This Row],[3_Elephant_ID]],'[1]Attributes(OUTDATED)'!$A$2:$P$19,16,FALSE)</f>
        <v>2</v>
      </c>
      <c r="AM81" s="13">
        <f>VLOOKUP(Table2[[#This Row],[3_Elephant_ID]],'[1]Attributes(OUTDATED)'!$A$2:$S$19,17,FALSE)</f>
        <v>1</v>
      </c>
      <c r="AN81" s="13">
        <f>VLOOKUP(Table2[[#This Row],[3_Elephant_ID]],'[1]Attributes(OUTDATED)'!$A$2:$S$19,18,FALSE)</f>
        <v>6</v>
      </c>
    </row>
    <row r="82" spans="1:40" ht="28" x14ac:dyDescent="0.15">
      <c r="A82" s="3">
        <v>192</v>
      </c>
      <c r="B82" s="6">
        <v>1905231153</v>
      </c>
      <c r="C82" s="7">
        <v>19</v>
      </c>
      <c r="D82" s="7">
        <v>5</v>
      </c>
      <c r="E82" s="7">
        <v>2023</v>
      </c>
      <c r="F82" s="5">
        <v>45065</v>
      </c>
      <c r="G82" s="6" t="s">
        <v>10</v>
      </c>
      <c r="H82" s="17">
        <v>0.3942936802973977</v>
      </c>
      <c r="I82" s="20">
        <f>ROUNDUP((Table2[[#This Row],[fGCM_Conc]]*10000),0)</f>
        <v>3943</v>
      </c>
      <c r="J82" s="3" t="str">
        <f>VLOOKUP(G82,'[1]Attributes(OUTDATED)'!$A$2:$C$19,2,FALSE)</f>
        <v>F</v>
      </c>
      <c r="K82" s="3" t="str">
        <f>VLOOKUP(G82,'[1]Attributes(OUTDATED)'!$A$2:$C$19,3,FALSE)</f>
        <v>A</v>
      </c>
      <c r="L82" s="3">
        <f>VLOOKUP(G82,'[1]Attributes(OUTDATED)'!$A$2:$H$19,8,FALSE)</f>
        <v>1146</v>
      </c>
      <c r="M82" s="3" t="str">
        <f>K82&amp;J82</f>
        <v>AF</v>
      </c>
      <c r="N82" s="3" t="e">
        <f>VLOOKUP(G82,#REF!,2,FALSE)</f>
        <v>#REF!</v>
      </c>
      <c r="O82" s="11">
        <v>45063</v>
      </c>
      <c r="P82" s="13">
        <v>21.2</v>
      </c>
      <c r="Q82" s="13">
        <v>13.3</v>
      </c>
      <c r="R82" s="13">
        <v>6.3</v>
      </c>
      <c r="S82" s="13">
        <f>Table2[[#This Row],[2_Temp_H]]-Table2[[#This Row],[2_Temp_L]]</f>
        <v>14.899999999999999</v>
      </c>
      <c r="T82" s="13">
        <v>21.1</v>
      </c>
      <c r="U82" s="13">
        <v>5.6</v>
      </c>
      <c r="V82" s="13">
        <v>1010.84</v>
      </c>
      <c r="W82" s="13">
        <v>1006.77</v>
      </c>
      <c r="X82" s="13">
        <v>0</v>
      </c>
      <c r="Y82" s="13" t="s">
        <v>147</v>
      </c>
      <c r="Z82" s="13" t="s">
        <v>141</v>
      </c>
      <c r="AA82" s="13" t="s">
        <v>26</v>
      </c>
      <c r="AB82" s="13" t="s">
        <v>144</v>
      </c>
      <c r="AC82" s="13" t="s">
        <v>146</v>
      </c>
      <c r="AD82" s="13" t="s">
        <v>137</v>
      </c>
      <c r="AE82" s="13">
        <f>VLOOKUP(Table2[[#This Row],[3_Elephant_ID]],'[1]Attributes(OUTDATED)'!$A$2:$N$19,12,FALSE)</f>
        <v>424</v>
      </c>
      <c r="AF82" s="13">
        <f>VLOOKUP(Table2[[#This Row],[3_Elephant_ID]],'[1]Attributes(OUTDATED)'!$A$2:$N$19,13,FALSE)</f>
        <v>0.10299999999999999</v>
      </c>
      <c r="AG82" s="13">
        <f>VLOOKUP(Table2[[#This Row],[3_Elephant_ID]],'[1]Attributes(OUTDATED)'!$A$2:$N$19,14,FALSE)</f>
        <v>0.10282190709599449</v>
      </c>
      <c r="AH82" s="13">
        <v>0</v>
      </c>
      <c r="AI82" s="13">
        <v>0</v>
      </c>
      <c r="AJ82" s="13">
        <v>0</v>
      </c>
      <c r="AK82" s="13">
        <v>0</v>
      </c>
      <c r="AL82" s="13">
        <f>VLOOKUP(Table2[[#This Row],[3_Elephant_ID]],'[1]Attributes(OUTDATED)'!$A$2:$P$19,16,FALSE)</f>
        <v>1</v>
      </c>
      <c r="AM82" s="13">
        <f>VLOOKUP(Table2[[#This Row],[3_Elephant_ID]],'[1]Attributes(OUTDATED)'!$A$2:$S$19,17,FALSE)</f>
        <v>9</v>
      </c>
      <c r="AN82" s="13">
        <f>VLOOKUP(Table2[[#This Row],[3_Elephant_ID]],'[1]Attributes(OUTDATED)'!$A$2:$S$19,18,FALSE)</f>
        <v>8</v>
      </c>
    </row>
    <row r="83" spans="1:40" ht="28" x14ac:dyDescent="0.15">
      <c r="A83" s="3">
        <v>191</v>
      </c>
      <c r="B83" s="6">
        <v>1905231138</v>
      </c>
      <c r="C83" s="7">
        <v>19</v>
      </c>
      <c r="D83" s="7">
        <v>5</v>
      </c>
      <c r="E83" s="7">
        <v>2023</v>
      </c>
      <c r="F83" s="5">
        <v>45065</v>
      </c>
      <c r="G83" s="6" t="s">
        <v>3</v>
      </c>
      <c r="H83" s="17">
        <v>0.34644230769230772</v>
      </c>
      <c r="I83" s="20">
        <f>ROUNDUP((Table2[[#This Row],[fGCM_Conc]]*10000),0)</f>
        <v>3465</v>
      </c>
      <c r="J83" s="3" t="str">
        <f>VLOOKUP(G83,'[1]Attributes(OUTDATED)'!$A$2:$C$19,2,FALSE)</f>
        <v>M</v>
      </c>
      <c r="K83" s="3" t="str">
        <f>VLOOKUP(G83,'[1]Attributes(OUTDATED)'!$A$2:$C$19,3,FALSE)</f>
        <v>J</v>
      </c>
      <c r="L83" s="3">
        <f>VLOOKUP(G83,'[1]Attributes(OUTDATED)'!$A$2:$H$19,8,FALSE)</f>
        <v>1031</v>
      </c>
      <c r="M83" s="3" t="str">
        <f>K83&amp;J83</f>
        <v>JM</v>
      </c>
      <c r="N83" s="3" t="e">
        <f>VLOOKUP(G83,#REF!,2,FALSE)</f>
        <v>#REF!</v>
      </c>
      <c r="O83" s="11">
        <v>45063</v>
      </c>
      <c r="P83" s="13">
        <v>21.2</v>
      </c>
      <c r="Q83" s="13">
        <v>13.3</v>
      </c>
      <c r="R83" s="13">
        <v>6.3</v>
      </c>
      <c r="S83" s="13">
        <f>Table2[[#This Row],[2_Temp_H]]-Table2[[#This Row],[2_Temp_L]]</f>
        <v>14.899999999999999</v>
      </c>
      <c r="T83" s="13">
        <v>21.1</v>
      </c>
      <c r="U83" s="13">
        <v>5.6</v>
      </c>
      <c r="V83" s="13">
        <v>1010.84</v>
      </c>
      <c r="W83" s="13">
        <v>1006.77</v>
      </c>
      <c r="X83" s="13">
        <v>0</v>
      </c>
      <c r="Y83" s="13" t="s">
        <v>147</v>
      </c>
      <c r="Z83" s="13" t="s">
        <v>141</v>
      </c>
      <c r="AA83" s="13" t="s">
        <v>26</v>
      </c>
      <c r="AB83" s="13" t="s">
        <v>144</v>
      </c>
      <c r="AC83" s="13" t="s">
        <v>146</v>
      </c>
      <c r="AD83" s="13" t="s">
        <v>137</v>
      </c>
      <c r="AE83" s="13">
        <f>VLOOKUP(Table2[[#This Row],[3_Elephant_ID]],'[1]Attributes(OUTDATED)'!$A$2:$N$19,12,FALSE)</f>
        <v>234</v>
      </c>
      <c r="AF83" s="13">
        <f>VLOOKUP(Table2[[#This Row],[3_Elephant_ID]],'[1]Attributes(OUTDATED)'!$A$2:$N$19,13,FALSE)</f>
        <v>0.16500000000000001</v>
      </c>
      <c r="AG83" s="13">
        <f>VLOOKUP(Table2[[#This Row],[3_Elephant_ID]],'[1]Attributes(OUTDATED)'!$A$2:$N$19,14,FALSE)</f>
        <v>0.16420161303383449</v>
      </c>
      <c r="AH83" s="13">
        <v>0</v>
      </c>
      <c r="AI83" s="13">
        <v>0</v>
      </c>
      <c r="AJ83" s="13">
        <v>0</v>
      </c>
      <c r="AK83" s="13">
        <v>0</v>
      </c>
      <c r="AL83" s="13">
        <f>VLOOKUP(Table2[[#This Row],[3_Elephant_ID]],'[1]Attributes(OUTDATED)'!$A$2:$P$19,16,FALSE)</f>
        <v>1</v>
      </c>
      <c r="AM83" s="13">
        <f>VLOOKUP(Table2[[#This Row],[3_Elephant_ID]],'[1]Attributes(OUTDATED)'!$A$2:$S$19,17,FALSE)</f>
        <v>9</v>
      </c>
      <c r="AN83" s="13">
        <f>VLOOKUP(Table2[[#This Row],[3_Elephant_ID]],'[1]Attributes(OUTDATED)'!$A$2:$S$19,18,FALSE)</f>
        <v>9</v>
      </c>
    </row>
    <row r="84" spans="1:40" ht="28" x14ac:dyDescent="0.15">
      <c r="A84" s="3">
        <v>189</v>
      </c>
      <c r="B84" s="6">
        <v>2205231148</v>
      </c>
      <c r="C84" s="7">
        <v>22</v>
      </c>
      <c r="D84" s="7">
        <v>5</v>
      </c>
      <c r="E84" s="7">
        <v>2023</v>
      </c>
      <c r="F84" s="5">
        <v>45068</v>
      </c>
      <c r="G84" s="6" t="s">
        <v>11</v>
      </c>
      <c r="H84" s="17">
        <v>0.48067924528301903</v>
      </c>
      <c r="I84" s="20">
        <f>ROUNDUP((Table2[[#This Row],[fGCM_Conc]]*10000),0)</f>
        <v>4807</v>
      </c>
      <c r="J84" s="3" t="str">
        <f>VLOOKUP(G84,'[1]Attributes(OUTDATED)'!$A$2:$C$19,2,FALSE)</f>
        <v>M</v>
      </c>
      <c r="K84" s="3" t="str">
        <f>VLOOKUP(G84,'[1]Attributes(OUTDATED)'!$A$2:$C$19,3,FALSE)</f>
        <v>A</v>
      </c>
      <c r="L84" s="3">
        <f>VLOOKUP(G84,'[1]Attributes(OUTDATED)'!$A$2:$H$19,8,FALSE)</f>
        <v>1223</v>
      </c>
      <c r="M84" s="3" t="str">
        <f>K84&amp;J84</f>
        <v>AM</v>
      </c>
      <c r="N84" s="3" t="e">
        <f>VLOOKUP(G84,#REF!,2,FALSE)</f>
        <v>#REF!</v>
      </c>
      <c r="O84" s="11">
        <v>45066</v>
      </c>
      <c r="P84" s="13">
        <v>18.5</v>
      </c>
      <c r="Q84" s="13">
        <v>8.3000000000000007</v>
      </c>
      <c r="R84" s="13">
        <v>0.3</v>
      </c>
      <c r="S84" s="13">
        <f>Table2[[#This Row],[2_Temp_H]]-Table2[[#This Row],[2_Temp_L]]</f>
        <v>18.2</v>
      </c>
      <c r="T84" s="13">
        <v>20.8</v>
      </c>
      <c r="U84" s="13">
        <v>3.8</v>
      </c>
      <c r="V84" s="13">
        <v>1013.88</v>
      </c>
      <c r="W84" s="13">
        <v>1009.82</v>
      </c>
      <c r="X84" s="13">
        <v>0</v>
      </c>
      <c r="Y84" s="13" t="s">
        <v>147</v>
      </c>
      <c r="Z84" s="13" t="s">
        <v>139</v>
      </c>
      <c r="AA84" s="13" t="s">
        <v>26</v>
      </c>
      <c r="AB84" s="13" t="s">
        <v>144</v>
      </c>
      <c r="AC84" s="13" t="s">
        <v>146</v>
      </c>
      <c r="AD84" s="13" t="s">
        <v>137</v>
      </c>
      <c r="AE84" s="13">
        <f>VLOOKUP(Table2[[#This Row],[3_Elephant_ID]],'[1]Attributes(OUTDATED)'!$A$2:$N$19,12,FALSE)</f>
        <v>404</v>
      </c>
      <c r="AF84" s="13">
        <f>VLOOKUP(Table2[[#This Row],[3_Elephant_ID]],'[1]Attributes(OUTDATED)'!$A$2:$N$19,13,FALSE)</f>
        <v>0.91700000000000004</v>
      </c>
      <c r="AG84" s="13">
        <f>VLOOKUP(Table2[[#This Row],[3_Elephant_ID]],'[1]Attributes(OUTDATED)'!$A$2:$N$19,14,FALSE)</f>
        <v>0.91664628583929353</v>
      </c>
      <c r="AH84" s="13">
        <v>0</v>
      </c>
      <c r="AI84" s="13">
        <v>0</v>
      </c>
      <c r="AJ84" s="13">
        <v>0</v>
      </c>
      <c r="AK84" s="13">
        <v>0</v>
      </c>
      <c r="AL84" s="13">
        <f>VLOOKUP(Table2[[#This Row],[3_Elephant_ID]],'[1]Attributes(OUTDATED)'!$A$2:$P$19,16,FALSE)</f>
        <v>1</v>
      </c>
      <c r="AM84" s="13">
        <f>VLOOKUP(Table2[[#This Row],[3_Elephant_ID]],'[1]Attributes(OUTDATED)'!$A$2:$S$19,17,FALSE)</f>
        <v>14</v>
      </c>
      <c r="AN84" s="13">
        <f>VLOOKUP(Table2[[#This Row],[3_Elephant_ID]],'[1]Attributes(OUTDATED)'!$A$2:$S$19,18,FALSE)</f>
        <v>17</v>
      </c>
    </row>
    <row r="85" spans="1:40" ht="28" x14ac:dyDescent="0.15">
      <c r="A85" s="3">
        <v>188</v>
      </c>
      <c r="B85" s="6">
        <v>2205231429</v>
      </c>
      <c r="C85" s="7">
        <v>22</v>
      </c>
      <c r="D85" s="7">
        <v>5</v>
      </c>
      <c r="E85" s="7">
        <v>2023</v>
      </c>
      <c r="F85" s="5">
        <v>45068</v>
      </c>
      <c r="G85" s="6" t="s">
        <v>17</v>
      </c>
      <c r="H85" s="17">
        <v>0.28106796116504856</v>
      </c>
      <c r="I85" s="20">
        <f>ROUNDUP((Table2[[#This Row],[fGCM_Conc]]*10000),0)</f>
        <v>2811</v>
      </c>
      <c r="J85" s="3" t="str">
        <f>VLOOKUP(G85,'[1]Attributes(OUTDATED)'!$A$2:$C$19,2,FALSE)</f>
        <v>M</v>
      </c>
      <c r="K85" s="3" t="str">
        <f>VLOOKUP(G85,'[1]Attributes(OUTDATED)'!$A$2:$C$19,3,FALSE)</f>
        <v>J</v>
      </c>
      <c r="L85" s="3">
        <f>VLOOKUP(G85,'[1]Attributes(OUTDATED)'!$A$2:$H$19,8,FALSE)</f>
        <v>699</v>
      </c>
      <c r="M85" s="3" t="str">
        <f>K85&amp;J85</f>
        <v>JM</v>
      </c>
      <c r="N85" s="3" t="e">
        <f>VLOOKUP(G85,#REF!,2,FALSE)</f>
        <v>#REF!</v>
      </c>
      <c r="O85" s="11">
        <v>45066</v>
      </c>
      <c r="P85" s="13">
        <v>18.5</v>
      </c>
      <c r="Q85" s="13">
        <v>8.3000000000000007</v>
      </c>
      <c r="R85" s="13">
        <v>0.3</v>
      </c>
      <c r="S85" s="13">
        <f>Table2[[#This Row],[2_Temp_H]]-Table2[[#This Row],[2_Temp_L]]</f>
        <v>18.2</v>
      </c>
      <c r="T85" s="13">
        <v>20.8</v>
      </c>
      <c r="U85" s="13">
        <v>3.8</v>
      </c>
      <c r="V85" s="13">
        <v>1013.88</v>
      </c>
      <c r="W85" s="13">
        <v>1009.82</v>
      </c>
      <c r="X85" s="13">
        <v>0</v>
      </c>
      <c r="Y85" s="13" t="s">
        <v>147</v>
      </c>
      <c r="Z85" s="13" t="s">
        <v>139</v>
      </c>
      <c r="AA85" s="13" t="s">
        <v>26</v>
      </c>
      <c r="AB85" s="13" t="s">
        <v>144</v>
      </c>
      <c r="AC85" s="13" t="s">
        <v>146</v>
      </c>
      <c r="AD85" s="13" t="s">
        <v>137</v>
      </c>
      <c r="AE85" s="13">
        <f>VLOOKUP(Table2[[#This Row],[3_Elephant_ID]],'[1]Attributes(OUTDATED)'!$A$2:$N$19,12,FALSE)</f>
        <v>343</v>
      </c>
      <c r="AF85" s="13">
        <f>VLOOKUP(Table2[[#This Row],[3_Elephant_ID]],'[1]Attributes(OUTDATED)'!$A$2:$N$19,13,FALSE)</f>
        <v>0.81</v>
      </c>
      <c r="AG85" s="13">
        <f>VLOOKUP(Table2[[#This Row],[3_Elephant_ID]],'[1]Attributes(OUTDATED)'!$A$2:$N$19,14,FALSE)</f>
        <v>0.80966774571167055</v>
      </c>
      <c r="AH85" s="13">
        <v>0</v>
      </c>
      <c r="AI85" s="13">
        <v>0</v>
      </c>
      <c r="AJ85" s="13">
        <v>0</v>
      </c>
      <c r="AK85" s="13">
        <v>0</v>
      </c>
      <c r="AL85" s="13">
        <f>VLOOKUP(Table2[[#This Row],[3_Elephant_ID]],'[1]Attributes(OUTDATED)'!$A$2:$P$19,16,FALSE)</f>
        <v>1</v>
      </c>
      <c r="AM85" s="13">
        <f>VLOOKUP(Table2[[#This Row],[3_Elephant_ID]],'[1]Attributes(OUTDATED)'!$A$2:$S$19,17,FALSE)</f>
        <v>0</v>
      </c>
      <c r="AN85" s="13">
        <f>VLOOKUP(Table2[[#This Row],[3_Elephant_ID]],'[1]Attributes(OUTDATED)'!$A$2:$S$19,18,FALSE)</f>
        <v>8</v>
      </c>
    </row>
    <row r="86" spans="1:40" ht="28" x14ac:dyDescent="0.15">
      <c r="A86" s="3">
        <v>190</v>
      </c>
      <c r="B86" s="6">
        <v>2205231146</v>
      </c>
      <c r="C86" s="7">
        <v>22</v>
      </c>
      <c r="D86" s="7">
        <v>5</v>
      </c>
      <c r="E86" s="7">
        <v>2023</v>
      </c>
      <c r="F86" s="5">
        <v>45068</v>
      </c>
      <c r="G86" s="6" t="s">
        <v>5</v>
      </c>
      <c r="H86" s="17">
        <v>0.26130111524163568</v>
      </c>
      <c r="I86" s="20">
        <f>ROUNDUP((Table2[[#This Row],[fGCM_Conc]]*10000),0)</f>
        <v>2614</v>
      </c>
      <c r="J86" s="3" t="str">
        <f>VLOOKUP(G86,'[1]Attributes(OUTDATED)'!$A$2:$C$19,2,FALSE)</f>
        <v>M</v>
      </c>
      <c r="K86" s="3" t="str">
        <f>VLOOKUP(G86,'[1]Attributes(OUTDATED)'!$A$2:$C$19,3,FALSE)</f>
        <v>J</v>
      </c>
      <c r="L86" s="3">
        <f>VLOOKUP(G86,'[1]Attributes(OUTDATED)'!$A$2:$H$19,8,FALSE)</f>
        <v>940</v>
      </c>
      <c r="M86" s="3" t="str">
        <f>K86&amp;J86</f>
        <v>JM</v>
      </c>
      <c r="N86" s="3" t="e">
        <f>VLOOKUP(G86,#REF!,2,FALSE)</f>
        <v>#REF!</v>
      </c>
      <c r="O86" s="11">
        <v>45066</v>
      </c>
      <c r="P86" s="13">
        <v>18.5</v>
      </c>
      <c r="Q86" s="13">
        <v>8.3000000000000007</v>
      </c>
      <c r="R86" s="13">
        <v>0.3</v>
      </c>
      <c r="S86" s="13">
        <f>Table2[[#This Row],[2_Temp_H]]-Table2[[#This Row],[2_Temp_L]]</f>
        <v>18.2</v>
      </c>
      <c r="T86" s="13">
        <v>20.8</v>
      </c>
      <c r="U86" s="13">
        <v>3.8</v>
      </c>
      <c r="V86" s="13">
        <v>1013.88</v>
      </c>
      <c r="W86" s="13">
        <v>1009.82</v>
      </c>
      <c r="X86" s="13">
        <v>0</v>
      </c>
      <c r="Y86" s="13" t="s">
        <v>147</v>
      </c>
      <c r="Z86" s="13" t="s">
        <v>139</v>
      </c>
      <c r="AA86" s="13" t="s">
        <v>26</v>
      </c>
      <c r="AB86" s="13" t="s">
        <v>144</v>
      </c>
      <c r="AC86" s="13" t="s">
        <v>146</v>
      </c>
      <c r="AD86" s="13" t="s">
        <v>137</v>
      </c>
      <c r="AE86" s="13">
        <f>VLOOKUP(Table2[[#This Row],[3_Elephant_ID]],'[1]Attributes(OUTDATED)'!$A$2:$N$19,12,FALSE)</f>
        <v>361</v>
      </c>
      <c r="AF86" s="13">
        <f>VLOOKUP(Table2[[#This Row],[3_Elephant_ID]],'[1]Attributes(OUTDATED)'!$A$2:$N$19,13,FALSE)</f>
        <v>0.40600000000000003</v>
      </c>
      <c r="AG86" s="13">
        <f>VLOOKUP(Table2[[#This Row],[3_Elephant_ID]],'[1]Attributes(OUTDATED)'!$A$2:$N$19,14,FALSE)</f>
        <v>0.40590323220736402</v>
      </c>
      <c r="AH86" s="13">
        <v>0</v>
      </c>
      <c r="AI86" s="13">
        <v>0</v>
      </c>
      <c r="AJ86" s="13">
        <v>0</v>
      </c>
      <c r="AK86" s="13">
        <v>0</v>
      </c>
      <c r="AL86" s="13">
        <f>VLOOKUP(Table2[[#This Row],[3_Elephant_ID]],'[1]Attributes(OUTDATED)'!$A$2:$P$19,16,FALSE)</f>
        <v>1</v>
      </c>
      <c r="AM86" s="13">
        <f>VLOOKUP(Table2[[#This Row],[3_Elephant_ID]],'[1]Attributes(OUTDATED)'!$A$2:$S$19,17,FALSE)</f>
        <v>2</v>
      </c>
      <c r="AN86" s="13">
        <f>VLOOKUP(Table2[[#This Row],[3_Elephant_ID]],'[1]Attributes(OUTDATED)'!$A$2:$S$19,18,FALSE)</f>
        <v>7</v>
      </c>
    </row>
    <row r="87" spans="1:40" ht="28" x14ac:dyDescent="0.15">
      <c r="A87" s="3">
        <v>187</v>
      </c>
      <c r="B87" s="6">
        <v>2205231508</v>
      </c>
      <c r="C87" s="7">
        <v>22</v>
      </c>
      <c r="D87" s="7">
        <v>5</v>
      </c>
      <c r="E87" s="7">
        <v>2023</v>
      </c>
      <c r="F87" s="5">
        <v>45068</v>
      </c>
      <c r="G87" s="6" t="s">
        <v>2</v>
      </c>
      <c r="H87" s="17">
        <v>0.18082514734774066</v>
      </c>
      <c r="I87" s="20">
        <f>ROUNDUP((Table2[[#This Row],[fGCM_Conc]]*10000),0)</f>
        <v>1809</v>
      </c>
      <c r="J87" s="3" t="str">
        <f>VLOOKUP(G87,'[1]Attributes(OUTDATED)'!$A$2:$C$19,2,FALSE)</f>
        <v>F</v>
      </c>
      <c r="K87" s="3" t="str">
        <f>VLOOKUP(G87,'[1]Attributes(OUTDATED)'!$A$2:$C$19,3,FALSE)</f>
        <v>A</v>
      </c>
      <c r="L87" s="3">
        <f>VLOOKUP(G87,'[1]Attributes(OUTDATED)'!$A$2:$H$19,8,FALSE)</f>
        <v>892</v>
      </c>
      <c r="M87" s="3" t="str">
        <f>K87&amp;J87</f>
        <v>AF</v>
      </c>
      <c r="N87" s="3" t="e">
        <f>VLOOKUP(G87,#REF!,2,FALSE)</f>
        <v>#REF!</v>
      </c>
      <c r="O87" s="11">
        <v>45066</v>
      </c>
      <c r="P87" s="13">
        <v>18.5</v>
      </c>
      <c r="Q87" s="13">
        <v>8.3000000000000007</v>
      </c>
      <c r="R87" s="13">
        <v>0.3</v>
      </c>
      <c r="S87" s="13">
        <f>Table2[[#This Row],[2_Temp_H]]-Table2[[#This Row],[2_Temp_L]]</f>
        <v>18.2</v>
      </c>
      <c r="T87" s="13">
        <v>20.8</v>
      </c>
      <c r="U87" s="13">
        <v>3.8</v>
      </c>
      <c r="V87" s="13">
        <v>1013.88</v>
      </c>
      <c r="W87" s="13">
        <v>1009.82</v>
      </c>
      <c r="X87" s="13">
        <v>0</v>
      </c>
      <c r="Y87" s="13" t="s">
        <v>147</v>
      </c>
      <c r="Z87" s="13" t="s">
        <v>139</v>
      </c>
      <c r="AA87" s="13" t="s">
        <v>26</v>
      </c>
      <c r="AB87" s="13" t="s">
        <v>144</v>
      </c>
      <c r="AC87" s="13" t="s">
        <v>146</v>
      </c>
      <c r="AD87" s="13" t="s">
        <v>137</v>
      </c>
      <c r="AE87" s="13">
        <f>VLOOKUP(Table2[[#This Row],[3_Elephant_ID]],'[1]Attributes(OUTDATED)'!$A$2:$N$19,12,FALSE)</f>
        <v>378</v>
      </c>
      <c r="AF87" s="13">
        <f>VLOOKUP(Table2[[#This Row],[3_Elephant_ID]],'[1]Attributes(OUTDATED)'!$A$2:$N$19,13,FALSE)</f>
        <v>8.6999999999999994E-2</v>
      </c>
      <c r="AG87" s="13">
        <f>VLOOKUP(Table2[[#This Row],[3_Elephant_ID]],'[1]Attributes(OUTDATED)'!$A$2:$N$19,14,FALSE)</f>
        <v>8.6599138783086713E-2</v>
      </c>
      <c r="AH87" s="13">
        <v>0</v>
      </c>
      <c r="AI87" s="13">
        <v>0</v>
      </c>
      <c r="AJ87" s="13">
        <v>0</v>
      </c>
      <c r="AK87" s="13">
        <v>0</v>
      </c>
      <c r="AL87" s="13">
        <f>VLOOKUP(Table2[[#This Row],[3_Elephant_ID]],'[1]Attributes(OUTDATED)'!$A$2:$P$19,16,FALSE)</f>
        <v>1</v>
      </c>
      <c r="AM87" s="13">
        <f>VLOOKUP(Table2[[#This Row],[3_Elephant_ID]],'[1]Attributes(OUTDATED)'!$A$2:$S$19,17,FALSE)</f>
        <v>4</v>
      </c>
      <c r="AN87" s="13">
        <f>VLOOKUP(Table2[[#This Row],[3_Elephant_ID]],'[1]Attributes(OUTDATED)'!$A$2:$S$19,18,FALSE)</f>
        <v>20</v>
      </c>
    </row>
    <row r="88" spans="1:40" ht="28" x14ac:dyDescent="0.15">
      <c r="A88" s="3">
        <v>186</v>
      </c>
      <c r="B88" s="6">
        <v>2305231012</v>
      </c>
      <c r="C88" s="7">
        <v>23</v>
      </c>
      <c r="D88" s="7">
        <v>5</v>
      </c>
      <c r="E88" s="7">
        <v>2023</v>
      </c>
      <c r="F88" s="5">
        <v>45069</v>
      </c>
      <c r="G88" s="6" t="s">
        <v>12</v>
      </c>
      <c r="H88" s="17">
        <v>0.44620817843866178</v>
      </c>
      <c r="I88" s="20">
        <f>ROUNDUP((Table2[[#This Row],[fGCM_Conc]]*10000),0)</f>
        <v>4463</v>
      </c>
      <c r="J88" s="3" t="str">
        <f>VLOOKUP(G88,'[1]Attributes(OUTDATED)'!$A$2:$C$19,2,FALSE)</f>
        <v>M</v>
      </c>
      <c r="K88" s="3" t="str">
        <f>VLOOKUP(G88,'[1]Attributes(OUTDATED)'!$A$2:$C$19,3,FALSE)</f>
        <v>A</v>
      </c>
      <c r="L88" s="3">
        <f>VLOOKUP(G88,'[1]Attributes(OUTDATED)'!$A$2:$H$19,8,FALSE)</f>
        <v>1509</v>
      </c>
      <c r="M88" s="3" t="str">
        <f>K88&amp;J88</f>
        <v>AM</v>
      </c>
      <c r="N88" s="3" t="e">
        <f>VLOOKUP(G88,#REF!,2,FALSE)</f>
        <v>#REF!</v>
      </c>
      <c r="O88" s="11">
        <v>45067</v>
      </c>
      <c r="P88" s="13">
        <v>17</v>
      </c>
      <c r="Q88" s="13">
        <v>11.8</v>
      </c>
      <c r="R88" s="13">
        <v>3.8</v>
      </c>
      <c r="S88" s="13">
        <f>Table2[[#This Row],[2_Temp_H]]-Table2[[#This Row],[2_Temp_L]]</f>
        <v>13.2</v>
      </c>
      <c r="T88" s="13">
        <v>28</v>
      </c>
      <c r="U88" s="13">
        <v>6.9</v>
      </c>
      <c r="V88" s="13">
        <v>1016.93</v>
      </c>
      <c r="W88" s="13">
        <v>1007.79</v>
      </c>
      <c r="X88" s="13">
        <v>0.25</v>
      </c>
      <c r="Y88" s="13" t="s">
        <v>147</v>
      </c>
      <c r="Z88" s="13" t="s">
        <v>139</v>
      </c>
      <c r="AA88" s="13" t="s">
        <v>26</v>
      </c>
      <c r="AB88" s="13" t="s">
        <v>144</v>
      </c>
      <c r="AC88" s="13" t="s">
        <v>146</v>
      </c>
      <c r="AD88" s="13" t="s">
        <v>137</v>
      </c>
      <c r="AE88" s="13">
        <f>VLOOKUP(Table2[[#This Row],[3_Elephant_ID]],'[1]Attributes(OUTDATED)'!$A$2:$N$19,12,FALSE)</f>
        <v>450</v>
      </c>
      <c r="AF88" s="13">
        <f>VLOOKUP(Table2[[#This Row],[3_Elephant_ID]],'[1]Attributes(OUTDATED)'!$A$2:$N$19,13,FALSE)</f>
        <v>0.375</v>
      </c>
      <c r="AG88" s="13">
        <f>VLOOKUP(Table2[[#This Row],[3_Elephant_ID]],'[1]Attributes(OUTDATED)'!$A$2:$N$19,14,FALSE)</f>
        <v>0.37414375430996583</v>
      </c>
      <c r="AH88" s="13">
        <v>0</v>
      </c>
      <c r="AI88" s="13">
        <v>0</v>
      </c>
      <c r="AJ88" s="13">
        <v>0</v>
      </c>
      <c r="AK88" s="13">
        <v>0</v>
      </c>
      <c r="AL88" s="13">
        <f>VLOOKUP(Table2[[#This Row],[3_Elephant_ID]],'[1]Attributes(OUTDATED)'!$A$2:$P$19,16,FALSE)</f>
        <v>1</v>
      </c>
      <c r="AM88" s="13">
        <f>VLOOKUP(Table2[[#This Row],[3_Elephant_ID]],'[1]Attributes(OUTDATED)'!$A$2:$S$19,17,FALSE)</f>
        <v>48</v>
      </c>
      <c r="AN88" s="13">
        <f>VLOOKUP(Table2[[#This Row],[3_Elephant_ID]],'[1]Attributes(OUTDATED)'!$A$2:$S$19,18,FALSE)</f>
        <v>3</v>
      </c>
    </row>
    <row r="89" spans="1:40" ht="28" x14ac:dyDescent="0.15">
      <c r="A89" s="3">
        <v>183</v>
      </c>
      <c r="B89" s="6">
        <v>2405231050</v>
      </c>
      <c r="C89" s="7">
        <v>24</v>
      </c>
      <c r="D89" s="7">
        <v>5</v>
      </c>
      <c r="E89" s="7">
        <v>2023</v>
      </c>
      <c r="F89" s="5">
        <v>45070</v>
      </c>
      <c r="G89" s="6" t="s">
        <v>12</v>
      </c>
      <c r="H89" s="17">
        <v>0.4976878612716763</v>
      </c>
      <c r="I89" s="20">
        <f>ROUNDUP((Table2[[#This Row],[fGCM_Conc]]*10000),0)</f>
        <v>4977</v>
      </c>
      <c r="J89" s="3" t="str">
        <f>VLOOKUP(G89,'[1]Attributes(OUTDATED)'!$A$2:$C$19,2,FALSE)</f>
        <v>M</v>
      </c>
      <c r="K89" s="3" t="str">
        <f>VLOOKUP(G89,'[1]Attributes(OUTDATED)'!$A$2:$C$19,3,FALSE)</f>
        <v>A</v>
      </c>
      <c r="L89" s="3">
        <f>VLOOKUP(G89,'[1]Attributes(OUTDATED)'!$A$2:$H$19,8,FALSE)</f>
        <v>1509</v>
      </c>
      <c r="M89" s="3" t="str">
        <f>K89&amp;J89</f>
        <v>AM</v>
      </c>
      <c r="N89" s="3" t="e">
        <f>VLOOKUP(G89,#REF!,2,FALSE)</f>
        <v>#REF!</v>
      </c>
      <c r="O89" s="11">
        <v>45068</v>
      </c>
      <c r="P89" s="13">
        <v>16.2</v>
      </c>
      <c r="Q89" s="13">
        <v>7.6</v>
      </c>
      <c r="R89" s="13">
        <v>0.6</v>
      </c>
      <c r="S89" s="13">
        <f>Table2[[#This Row],[2_Temp_H]]-Table2[[#This Row],[2_Temp_L]]</f>
        <v>15.6</v>
      </c>
      <c r="T89" s="13">
        <v>19.8</v>
      </c>
      <c r="U89" s="13">
        <v>2.5</v>
      </c>
      <c r="V89" s="13">
        <v>1016.93</v>
      </c>
      <c r="W89" s="13">
        <v>1012.87</v>
      </c>
      <c r="X89" s="13">
        <v>0</v>
      </c>
      <c r="Y89" s="13" t="s">
        <v>147</v>
      </c>
      <c r="Z89" s="13" t="s">
        <v>139</v>
      </c>
      <c r="AA89" s="13" t="s">
        <v>26</v>
      </c>
      <c r="AB89" s="13" t="s">
        <v>144</v>
      </c>
      <c r="AC89" s="13" t="s">
        <v>146</v>
      </c>
      <c r="AD89" s="13" t="s">
        <v>137</v>
      </c>
      <c r="AE89" s="13">
        <f>VLOOKUP(Table2[[#This Row],[3_Elephant_ID]],'[1]Attributes(OUTDATED)'!$A$2:$N$19,12,FALSE)</f>
        <v>450</v>
      </c>
      <c r="AF89" s="13">
        <f>VLOOKUP(Table2[[#This Row],[3_Elephant_ID]],'[1]Attributes(OUTDATED)'!$A$2:$N$19,13,FALSE)</f>
        <v>0.375</v>
      </c>
      <c r="AG89" s="13">
        <f>VLOOKUP(Table2[[#This Row],[3_Elephant_ID]],'[1]Attributes(OUTDATED)'!$A$2:$N$19,14,FALSE)</f>
        <v>0.37414375430996583</v>
      </c>
      <c r="AH89" s="13">
        <v>1</v>
      </c>
      <c r="AI89" s="13">
        <v>0</v>
      </c>
      <c r="AJ89" s="13">
        <v>0</v>
      </c>
      <c r="AK89" s="13">
        <v>0</v>
      </c>
      <c r="AL89" s="13">
        <f>VLOOKUP(Table2[[#This Row],[3_Elephant_ID]],'[1]Attributes(OUTDATED)'!$A$2:$P$19,16,FALSE)</f>
        <v>1</v>
      </c>
      <c r="AM89" s="13">
        <f>VLOOKUP(Table2[[#This Row],[3_Elephant_ID]],'[1]Attributes(OUTDATED)'!$A$2:$S$19,17,FALSE)</f>
        <v>48</v>
      </c>
      <c r="AN89" s="13">
        <f>VLOOKUP(Table2[[#This Row],[3_Elephant_ID]],'[1]Attributes(OUTDATED)'!$A$2:$S$19,18,FALSE)</f>
        <v>3</v>
      </c>
    </row>
    <row r="90" spans="1:40" ht="28" x14ac:dyDescent="0.15">
      <c r="A90" s="3">
        <v>179</v>
      </c>
      <c r="B90" s="6">
        <v>2405231227</v>
      </c>
      <c r="C90" s="7">
        <v>24</v>
      </c>
      <c r="D90" s="7">
        <v>5</v>
      </c>
      <c r="E90" s="7">
        <v>2023</v>
      </c>
      <c r="F90" s="5">
        <v>45070</v>
      </c>
      <c r="G90" s="6" t="s">
        <v>16</v>
      </c>
      <c r="H90" s="17">
        <v>0.34543689320388349</v>
      </c>
      <c r="I90" s="20">
        <f>ROUNDUP((Table2[[#This Row],[fGCM_Conc]]*10000),0)</f>
        <v>3455</v>
      </c>
      <c r="J90" s="3" t="str">
        <f>VLOOKUP(G90,'[1]Attributes(OUTDATED)'!$A$2:$C$19,2,FALSE)</f>
        <v>F</v>
      </c>
      <c r="K90" s="3" t="str">
        <f>VLOOKUP(G90,'[1]Attributes(OUTDATED)'!$A$2:$C$19,3,FALSE)</f>
        <v>A</v>
      </c>
      <c r="L90" s="3">
        <f>VLOOKUP(G90,'[1]Attributes(OUTDATED)'!$A$2:$H$19,8,FALSE)</f>
        <v>1346</v>
      </c>
      <c r="M90" s="3" t="str">
        <f>K90&amp;J90</f>
        <v>AF</v>
      </c>
      <c r="N90" s="3" t="e">
        <f>VLOOKUP(G90,#REF!,2,FALSE)</f>
        <v>#REF!</v>
      </c>
      <c r="O90" s="11">
        <v>45068</v>
      </c>
      <c r="P90" s="13">
        <v>16.2</v>
      </c>
      <c r="Q90" s="13">
        <v>7.6</v>
      </c>
      <c r="R90" s="13">
        <v>0.6</v>
      </c>
      <c r="S90" s="13">
        <f>Table2[[#This Row],[2_Temp_H]]-Table2[[#This Row],[2_Temp_L]]</f>
        <v>15.6</v>
      </c>
      <c r="T90" s="13">
        <v>19.8</v>
      </c>
      <c r="U90" s="13">
        <v>2.5</v>
      </c>
      <c r="V90" s="13">
        <v>1016.93</v>
      </c>
      <c r="W90" s="13">
        <v>1012.87</v>
      </c>
      <c r="X90" s="13">
        <v>0</v>
      </c>
      <c r="Y90" s="13" t="s">
        <v>147</v>
      </c>
      <c r="Z90" s="13" t="s">
        <v>139</v>
      </c>
      <c r="AA90" s="13" t="s">
        <v>26</v>
      </c>
      <c r="AB90" s="13" t="s">
        <v>144</v>
      </c>
      <c r="AC90" s="13" t="s">
        <v>146</v>
      </c>
      <c r="AD90" s="13" t="s">
        <v>137</v>
      </c>
      <c r="AE90" s="13">
        <f>VLOOKUP(Table2[[#This Row],[3_Elephant_ID]],'[1]Attributes(OUTDATED)'!$A$2:$N$19,12,FALSE)</f>
        <v>474</v>
      </c>
      <c r="AF90" s="13">
        <f>VLOOKUP(Table2[[#This Row],[3_Elephant_ID]],'[1]Attributes(OUTDATED)'!$A$2:$N$19,13,FALSE)</f>
        <v>0.121</v>
      </c>
      <c r="AG90" s="13">
        <f>VLOOKUP(Table2[[#This Row],[3_Elephant_ID]],'[1]Attributes(OUTDATED)'!$A$2:$N$19,14,FALSE)</f>
        <v>0.1206993463154281</v>
      </c>
      <c r="AH90" s="13">
        <v>1</v>
      </c>
      <c r="AI90" s="13">
        <v>0</v>
      </c>
      <c r="AJ90" s="13">
        <v>0</v>
      </c>
      <c r="AK90" s="13">
        <v>0</v>
      </c>
      <c r="AL90" s="13">
        <f>VLOOKUP(Table2[[#This Row],[3_Elephant_ID]],'[1]Attributes(OUTDATED)'!$A$2:$P$19,16,FALSE)</f>
        <v>1</v>
      </c>
      <c r="AM90" s="13">
        <f>VLOOKUP(Table2[[#This Row],[3_Elephant_ID]],'[1]Attributes(OUTDATED)'!$A$2:$S$19,17,FALSE)</f>
        <v>16</v>
      </c>
      <c r="AN90" s="13">
        <f>VLOOKUP(Table2[[#This Row],[3_Elephant_ID]],'[1]Attributes(OUTDATED)'!$A$2:$S$19,18,FALSE)</f>
        <v>1</v>
      </c>
    </row>
    <row r="91" spans="1:40" ht="28" x14ac:dyDescent="0.15">
      <c r="A91" s="3">
        <v>177</v>
      </c>
      <c r="B91" s="6">
        <v>2405231250</v>
      </c>
      <c r="C91" s="7">
        <v>24</v>
      </c>
      <c r="D91" s="7">
        <v>5</v>
      </c>
      <c r="E91" s="7">
        <v>2023</v>
      </c>
      <c r="F91" s="5">
        <v>45070</v>
      </c>
      <c r="G91" s="6" t="s">
        <v>9</v>
      </c>
      <c r="H91" s="17">
        <v>0.25755963302752299</v>
      </c>
      <c r="I91" s="20">
        <f>ROUNDUP((Table2[[#This Row],[fGCM_Conc]]*10000),0)</f>
        <v>2576</v>
      </c>
      <c r="J91" s="3" t="str">
        <f>VLOOKUP(G91,'[1]Attributes(OUTDATED)'!$A$2:$C$19,2,FALSE)</f>
        <v>F</v>
      </c>
      <c r="K91" s="3" t="str">
        <f>VLOOKUP(G91,'[1]Attributes(OUTDATED)'!$A$2:$C$19,3,FALSE)</f>
        <v>J</v>
      </c>
      <c r="L91" s="3">
        <f>VLOOKUP(G91,'[1]Attributes(OUTDATED)'!$A$2:$H$19,8,FALSE)</f>
        <v>820</v>
      </c>
      <c r="M91" s="3" t="str">
        <f>K91&amp;J91</f>
        <v>JF</v>
      </c>
      <c r="N91" s="3" t="e">
        <f>VLOOKUP(G91,#REF!,2,FALSE)</f>
        <v>#REF!</v>
      </c>
      <c r="O91" s="11">
        <v>45068</v>
      </c>
      <c r="P91" s="13">
        <v>16.2</v>
      </c>
      <c r="Q91" s="13">
        <v>7.6</v>
      </c>
      <c r="R91" s="13">
        <v>0.6</v>
      </c>
      <c r="S91" s="13">
        <f>Table2[[#This Row],[2_Temp_H]]-Table2[[#This Row],[2_Temp_L]]</f>
        <v>15.6</v>
      </c>
      <c r="T91" s="13">
        <v>19.8</v>
      </c>
      <c r="U91" s="13">
        <v>2.5</v>
      </c>
      <c r="V91" s="13">
        <v>1016.93</v>
      </c>
      <c r="W91" s="13">
        <v>1012.87</v>
      </c>
      <c r="X91" s="13">
        <v>0</v>
      </c>
      <c r="Y91" s="13" t="s">
        <v>147</v>
      </c>
      <c r="Z91" s="13" t="s">
        <v>139</v>
      </c>
      <c r="AA91" s="13" t="s">
        <v>26</v>
      </c>
      <c r="AB91" s="13" t="s">
        <v>144</v>
      </c>
      <c r="AC91" s="13" t="s">
        <v>146</v>
      </c>
      <c r="AD91" s="13" t="s">
        <v>137</v>
      </c>
      <c r="AE91" s="13">
        <f>VLOOKUP(Table2[[#This Row],[3_Elephant_ID]],'[1]Attributes(OUTDATED)'!$A$2:$N$19,12,FALSE)</f>
        <v>305</v>
      </c>
      <c r="AF91" s="13">
        <f>VLOOKUP(Table2[[#This Row],[3_Elephant_ID]],'[1]Attributes(OUTDATED)'!$A$2:$N$19,13,FALSE)</f>
        <v>0.17499999999999999</v>
      </c>
      <c r="AG91" s="13">
        <f>VLOOKUP(Table2[[#This Row],[3_Elephant_ID]],'[1]Attributes(OUTDATED)'!$A$2:$N$19,14,FALSE)</f>
        <v>0.17467336145108631</v>
      </c>
      <c r="AH91" s="13">
        <v>1</v>
      </c>
      <c r="AI91" s="13">
        <v>0</v>
      </c>
      <c r="AJ91" s="13">
        <v>0</v>
      </c>
      <c r="AK91" s="13">
        <v>0</v>
      </c>
      <c r="AL91" s="13">
        <f>VLOOKUP(Table2[[#This Row],[3_Elephant_ID]],'[1]Attributes(OUTDATED)'!$A$2:$P$19,16,FALSE)</f>
        <v>2</v>
      </c>
      <c r="AM91" s="13">
        <f>VLOOKUP(Table2[[#This Row],[3_Elephant_ID]],'[1]Attributes(OUTDATED)'!$A$2:$S$19,17,FALSE)</f>
        <v>0</v>
      </c>
      <c r="AN91" s="13">
        <f>VLOOKUP(Table2[[#This Row],[3_Elephant_ID]],'[1]Attributes(OUTDATED)'!$A$2:$S$19,18,FALSE)</f>
        <v>4</v>
      </c>
    </row>
    <row r="92" spans="1:40" ht="28" x14ac:dyDescent="0.15">
      <c r="A92" s="3">
        <v>184</v>
      </c>
      <c r="B92" s="6">
        <v>2405231035</v>
      </c>
      <c r="C92" s="7">
        <v>24</v>
      </c>
      <c r="D92" s="7">
        <v>5</v>
      </c>
      <c r="E92" s="7">
        <v>2023</v>
      </c>
      <c r="F92" s="5">
        <v>45070</v>
      </c>
      <c r="G92" s="6" t="s">
        <v>15</v>
      </c>
      <c r="H92" s="17">
        <v>0.25013207547169813</v>
      </c>
      <c r="I92" s="20">
        <f>ROUNDUP((Table2[[#This Row],[fGCM_Conc]]*10000),0)</f>
        <v>2502</v>
      </c>
      <c r="J92" s="3" t="str">
        <f>VLOOKUP(G92,'[1]Attributes(OUTDATED)'!$A$2:$C$19,2,FALSE)</f>
        <v>M</v>
      </c>
      <c r="K92" s="3" t="str">
        <f>VLOOKUP(G92,'[1]Attributes(OUTDATED)'!$A$2:$C$19,3,FALSE)</f>
        <v>J</v>
      </c>
      <c r="L92" s="3">
        <f>VLOOKUP(G92,'[1]Attributes(OUTDATED)'!$A$2:$H$19,8,FALSE)</f>
        <v>828</v>
      </c>
      <c r="M92" s="3" t="str">
        <f>K92&amp;J92</f>
        <v>JM</v>
      </c>
      <c r="N92" s="3" t="e">
        <f>VLOOKUP(G92,#REF!,2,FALSE)</f>
        <v>#REF!</v>
      </c>
      <c r="O92" s="11">
        <v>45068</v>
      </c>
      <c r="P92" s="13">
        <v>16.2</v>
      </c>
      <c r="Q92" s="13">
        <v>7.6</v>
      </c>
      <c r="R92" s="13">
        <v>0.6</v>
      </c>
      <c r="S92" s="13">
        <f>Table2[[#This Row],[2_Temp_H]]-Table2[[#This Row],[2_Temp_L]]</f>
        <v>15.6</v>
      </c>
      <c r="T92" s="13">
        <v>19.8</v>
      </c>
      <c r="U92" s="13">
        <v>2.5</v>
      </c>
      <c r="V92" s="13">
        <v>1016.93</v>
      </c>
      <c r="W92" s="13">
        <v>1012.87</v>
      </c>
      <c r="X92" s="13">
        <v>0</v>
      </c>
      <c r="Y92" s="13" t="s">
        <v>147</v>
      </c>
      <c r="Z92" s="13" t="s">
        <v>139</v>
      </c>
      <c r="AA92" s="13" t="s">
        <v>26</v>
      </c>
      <c r="AB92" s="13" t="s">
        <v>144</v>
      </c>
      <c r="AC92" s="13" t="s">
        <v>146</v>
      </c>
      <c r="AD92" s="13" t="s">
        <v>137</v>
      </c>
      <c r="AE92" s="13">
        <f>VLOOKUP(Table2[[#This Row],[3_Elephant_ID]],'[1]Attributes(OUTDATED)'!$A$2:$N$19,12,FALSE)</f>
        <v>219</v>
      </c>
      <c r="AF92" s="13">
        <f>VLOOKUP(Table2[[#This Row],[3_Elephant_ID]],'[1]Attributes(OUTDATED)'!$A$2:$N$19,13,FALSE)</f>
        <v>0.32300000000000001</v>
      </c>
      <c r="AG92" s="13">
        <f>VLOOKUP(Table2[[#This Row],[3_Elephant_ID]],'[1]Attributes(OUTDATED)'!$A$2:$N$19,14,FALSE)</f>
        <v>0.32257531484312868</v>
      </c>
      <c r="AH92" s="13">
        <v>1</v>
      </c>
      <c r="AI92" s="13">
        <v>0</v>
      </c>
      <c r="AJ92" s="13">
        <v>0</v>
      </c>
      <c r="AK92" s="13">
        <v>0</v>
      </c>
      <c r="AL92" s="13">
        <f>VLOOKUP(Table2[[#This Row],[3_Elephant_ID]],'[1]Attributes(OUTDATED)'!$A$2:$P$19,16,FALSE)</f>
        <v>2</v>
      </c>
      <c r="AM92" s="13">
        <f>VLOOKUP(Table2[[#This Row],[3_Elephant_ID]],'[1]Attributes(OUTDATED)'!$A$2:$S$19,17,FALSE)</f>
        <v>1</v>
      </c>
      <c r="AN92" s="13">
        <f>VLOOKUP(Table2[[#This Row],[3_Elephant_ID]],'[1]Attributes(OUTDATED)'!$A$2:$S$19,18,FALSE)</f>
        <v>6</v>
      </c>
    </row>
    <row r="93" spans="1:40" ht="28" x14ac:dyDescent="0.15">
      <c r="A93" s="3">
        <v>178</v>
      </c>
      <c r="B93" s="6">
        <v>2405231235</v>
      </c>
      <c r="C93" s="7">
        <v>24</v>
      </c>
      <c r="D93" s="7">
        <v>5</v>
      </c>
      <c r="E93" s="7">
        <v>2023</v>
      </c>
      <c r="F93" s="5">
        <v>45070</v>
      </c>
      <c r="G93" s="6" t="s">
        <v>1</v>
      </c>
      <c r="H93" s="17">
        <v>0.23734774066797645</v>
      </c>
      <c r="I93" s="20">
        <f>ROUNDUP((Table2[[#This Row],[fGCM_Conc]]*10000),0)</f>
        <v>2374</v>
      </c>
      <c r="J93" s="3" t="str">
        <f>VLOOKUP(G93,'[1]Attributes(OUTDATED)'!$A$2:$C$19,2,FALSE)</f>
        <v>F</v>
      </c>
      <c r="K93" s="3" t="str">
        <f>VLOOKUP(G93,'[1]Attributes(OUTDATED)'!$A$2:$C$19,3,FALSE)</f>
        <v>A</v>
      </c>
      <c r="L93" s="3">
        <f>VLOOKUP(G93,'[1]Attributes(OUTDATED)'!$A$2:$H$19,8,FALSE)</f>
        <v>929</v>
      </c>
      <c r="M93" s="3" t="str">
        <f>K93&amp;J93</f>
        <v>AF</v>
      </c>
      <c r="N93" s="3" t="e">
        <f>VLOOKUP(G93,#REF!,2,FALSE)</f>
        <v>#REF!</v>
      </c>
      <c r="O93" s="11">
        <v>45068</v>
      </c>
      <c r="P93" s="13">
        <v>16.2</v>
      </c>
      <c r="Q93" s="13">
        <v>7.6</v>
      </c>
      <c r="R93" s="13">
        <v>0.6</v>
      </c>
      <c r="S93" s="13">
        <f>Table2[[#This Row],[2_Temp_H]]-Table2[[#This Row],[2_Temp_L]]</f>
        <v>15.6</v>
      </c>
      <c r="T93" s="13">
        <v>19.8</v>
      </c>
      <c r="U93" s="13">
        <v>2.5</v>
      </c>
      <c r="V93" s="13">
        <v>1016.93</v>
      </c>
      <c r="W93" s="13">
        <v>1012.87</v>
      </c>
      <c r="X93" s="13">
        <v>0</v>
      </c>
      <c r="Y93" s="13" t="s">
        <v>147</v>
      </c>
      <c r="Z93" s="13" t="s">
        <v>139</v>
      </c>
      <c r="AA93" s="13" t="s">
        <v>26</v>
      </c>
      <c r="AB93" s="13" t="s">
        <v>144</v>
      </c>
      <c r="AC93" s="13" t="s">
        <v>146</v>
      </c>
      <c r="AD93" s="13" t="s">
        <v>137</v>
      </c>
      <c r="AE93" s="13">
        <f>VLOOKUP(Table2[[#This Row],[3_Elephant_ID]],'[1]Attributes(OUTDATED)'!$A$2:$N$19,12,FALSE)</f>
        <v>321</v>
      </c>
      <c r="AF93" s="13">
        <f>VLOOKUP(Table2[[#This Row],[3_Elephant_ID]],'[1]Attributes(OUTDATED)'!$A$2:$N$19,13,FALSE)</f>
        <v>0.17599999999999999</v>
      </c>
      <c r="AG93" s="13">
        <f>VLOOKUP(Table2[[#This Row],[3_Elephant_ID]],'[1]Attributes(OUTDATED)'!$A$2:$N$19,14,FALSE)</f>
        <v>0.17530262753188491</v>
      </c>
      <c r="AH93" s="13">
        <v>1</v>
      </c>
      <c r="AI93" s="13">
        <v>0</v>
      </c>
      <c r="AJ93" s="13">
        <v>0</v>
      </c>
      <c r="AK93" s="13">
        <v>0</v>
      </c>
      <c r="AL93" s="13">
        <f>VLOOKUP(Table2[[#This Row],[3_Elephant_ID]],'[1]Attributes(OUTDATED)'!$A$2:$P$19,16,FALSE)</f>
        <v>1</v>
      </c>
      <c r="AM93" s="13">
        <f>VLOOKUP(Table2[[#This Row],[3_Elephant_ID]],'[1]Attributes(OUTDATED)'!$A$2:$S$19,17,FALSE)</f>
        <v>6</v>
      </c>
      <c r="AN93" s="13">
        <f>VLOOKUP(Table2[[#This Row],[3_Elephant_ID]],'[1]Attributes(OUTDATED)'!$A$2:$S$19,18,FALSE)</f>
        <v>8</v>
      </c>
    </row>
    <row r="94" spans="1:40" ht="28" x14ac:dyDescent="0.15">
      <c r="A94" s="3">
        <v>182</v>
      </c>
      <c r="B94" s="6">
        <v>2405231127</v>
      </c>
      <c r="C94" s="7">
        <v>24</v>
      </c>
      <c r="D94" s="7">
        <v>5</v>
      </c>
      <c r="E94" s="7">
        <v>2023</v>
      </c>
      <c r="F94" s="5">
        <v>45070</v>
      </c>
      <c r="G94" s="6" t="s">
        <v>2</v>
      </c>
      <c r="H94" s="17">
        <v>0.22659813084112154</v>
      </c>
      <c r="I94" s="20">
        <f>ROUNDUP((Table2[[#This Row],[fGCM_Conc]]*10000),0)</f>
        <v>2266</v>
      </c>
      <c r="J94" s="3" t="str">
        <f>VLOOKUP(G94,'[1]Attributes(OUTDATED)'!$A$2:$C$19,2,FALSE)</f>
        <v>F</v>
      </c>
      <c r="K94" s="3" t="str">
        <f>VLOOKUP(G94,'[1]Attributes(OUTDATED)'!$A$2:$C$19,3,FALSE)</f>
        <v>A</v>
      </c>
      <c r="L94" s="3">
        <f>VLOOKUP(G94,'[1]Attributes(OUTDATED)'!$A$2:$H$19,8,FALSE)</f>
        <v>892</v>
      </c>
      <c r="M94" s="3" t="str">
        <f>K94&amp;J94</f>
        <v>AF</v>
      </c>
      <c r="N94" s="3" t="e">
        <f>VLOOKUP(G94,#REF!,2,FALSE)</f>
        <v>#REF!</v>
      </c>
      <c r="O94" s="11">
        <v>45068</v>
      </c>
      <c r="P94" s="13">
        <v>16.2</v>
      </c>
      <c r="Q94" s="13">
        <v>7.6</v>
      </c>
      <c r="R94" s="13">
        <v>0.6</v>
      </c>
      <c r="S94" s="13">
        <f>Table2[[#This Row],[2_Temp_H]]-Table2[[#This Row],[2_Temp_L]]</f>
        <v>15.6</v>
      </c>
      <c r="T94" s="13">
        <v>19.8</v>
      </c>
      <c r="U94" s="13">
        <v>2.5</v>
      </c>
      <c r="V94" s="13">
        <v>1016.93</v>
      </c>
      <c r="W94" s="13">
        <v>1012.87</v>
      </c>
      <c r="X94" s="13">
        <v>0</v>
      </c>
      <c r="Y94" s="13" t="s">
        <v>147</v>
      </c>
      <c r="Z94" s="13" t="s">
        <v>139</v>
      </c>
      <c r="AA94" s="13" t="s">
        <v>26</v>
      </c>
      <c r="AB94" s="13" t="s">
        <v>144</v>
      </c>
      <c r="AC94" s="13" t="s">
        <v>146</v>
      </c>
      <c r="AD94" s="13" t="s">
        <v>137</v>
      </c>
      <c r="AE94" s="13">
        <f>VLOOKUP(Table2[[#This Row],[3_Elephant_ID]],'[1]Attributes(OUTDATED)'!$A$2:$N$19,12,FALSE)</f>
        <v>378</v>
      </c>
      <c r="AF94" s="13">
        <f>VLOOKUP(Table2[[#This Row],[3_Elephant_ID]],'[1]Attributes(OUTDATED)'!$A$2:$N$19,13,FALSE)</f>
        <v>8.6999999999999994E-2</v>
      </c>
      <c r="AG94" s="13">
        <f>VLOOKUP(Table2[[#This Row],[3_Elephant_ID]],'[1]Attributes(OUTDATED)'!$A$2:$N$19,14,FALSE)</f>
        <v>8.6599138783086713E-2</v>
      </c>
      <c r="AH94" s="13">
        <v>1</v>
      </c>
      <c r="AI94" s="13">
        <v>0</v>
      </c>
      <c r="AJ94" s="13">
        <v>0</v>
      </c>
      <c r="AK94" s="13">
        <v>0</v>
      </c>
      <c r="AL94" s="13">
        <f>VLOOKUP(Table2[[#This Row],[3_Elephant_ID]],'[1]Attributes(OUTDATED)'!$A$2:$P$19,16,FALSE)</f>
        <v>1</v>
      </c>
      <c r="AM94" s="13">
        <f>VLOOKUP(Table2[[#This Row],[3_Elephant_ID]],'[1]Attributes(OUTDATED)'!$A$2:$S$19,17,FALSE)</f>
        <v>4</v>
      </c>
      <c r="AN94" s="13">
        <f>VLOOKUP(Table2[[#This Row],[3_Elephant_ID]],'[1]Attributes(OUTDATED)'!$A$2:$S$19,18,FALSE)</f>
        <v>20</v>
      </c>
    </row>
    <row r="95" spans="1:40" ht="28" x14ac:dyDescent="0.15">
      <c r="A95" s="3">
        <v>180</v>
      </c>
      <c r="B95" s="6">
        <v>2405231223</v>
      </c>
      <c r="C95" s="7">
        <v>24</v>
      </c>
      <c r="D95" s="7">
        <v>5</v>
      </c>
      <c r="E95" s="7">
        <v>2023</v>
      </c>
      <c r="F95" s="5">
        <v>45070</v>
      </c>
      <c r="G95" s="6" t="s">
        <v>7</v>
      </c>
      <c r="H95" s="17">
        <v>0.18541747572815534</v>
      </c>
      <c r="I95" s="20">
        <f>ROUNDUP((Table2[[#This Row],[fGCM_Conc]]*10000),0)</f>
        <v>1855</v>
      </c>
      <c r="J95" s="3" t="str">
        <f>VLOOKUP(G95,'[1]Attributes(OUTDATED)'!$A$2:$C$19,2,FALSE)</f>
        <v>F</v>
      </c>
      <c r="K95" s="3" t="str">
        <f>VLOOKUP(G95,'[1]Attributes(OUTDATED)'!$A$2:$C$19,3,FALSE)</f>
        <v>J</v>
      </c>
      <c r="L95" s="3">
        <f>VLOOKUP(G95,'[1]Attributes(OUTDATED)'!$A$2:$H$19,8,FALSE)</f>
        <v>711</v>
      </c>
      <c r="M95" s="3" t="str">
        <f>K95&amp;J95</f>
        <v>JF</v>
      </c>
      <c r="N95" s="3" t="e">
        <f>VLOOKUP(G95,#REF!,2,FALSE)</f>
        <v>#REF!</v>
      </c>
      <c r="O95" s="11">
        <v>45068</v>
      </c>
      <c r="P95" s="13">
        <v>16.2</v>
      </c>
      <c r="Q95" s="13">
        <v>7.6</v>
      </c>
      <c r="R95" s="13">
        <v>0.6</v>
      </c>
      <c r="S95" s="13">
        <f>Table2[[#This Row],[2_Temp_H]]-Table2[[#This Row],[2_Temp_L]]</f>
        <v>15.6</v>
      </c>
      <c r="T95" s="13">
        <v>19.8</v>
      </c>
      <c r="U95" s="13">
        <v>2.5</v>
      </c>
      <c r="V95" s="13">
        <v>1016.93</v>
      </c>
      <c r="W95" s="13">
        <v>1012.87</v>
      </c>
      <c r="X95" s="13">
        <v>0</v>
      </c>
      <c r="Y95" s="13" t="s">
        <v>147</v>
      </c>
      <c r="Z95" s="13" t="s">
        <v>139</v>
      </c>
      <c r="AA95" s="13" t="s">
        <v>26</v>
      </c>
      <c r="AB95" s="13" t="s">
        <v>144</v>
      </c>
      <c r="AC95" s="13" t="s">
        <v>146</v>
      </c>
      <c r="AD95" s="13" t="s">
        <v>137</v>
      </c>
      <c r="AE95" s="13">
        <f>VLOOKUP(Table2[[#This Row],[3_Elephant_ID]],'[1]Attributes(OUTDATED)'!$A$2:$N$19,12,FALSE)</f>
        <v>398</v>
      </c>
      <c r="AF95" s="13">
        <f>VLOOKUP(Table2[[#This Row],[3_Elephant_ID]],'[1]Attributes(OUTDATED)'!$A$2:$N$19,13,FALSE)</f>
        <v>0.47899999999999998</v>
      </c>
      <c r="AG95" s="13">
        <f>VLOOKUP(Table2[[#This Row],[3_Elephant_ID]],'[1]Attributes(OUTDATED)'!$A$2:$N$19,14,FALSE)</f>
        <v>0.47820662037086947</v>
      </c>
      <c r="AH95" s="13">
        <v>1</v>
      </c>
      <c r="AI95" s="13">
        <v>0</v>
      </c>
      <c r="AJ95" s="13">
        <v>0</v>
      </c>
      <c r="AK95" s="13">
        <v>0</v>
      </c>
      <c r="AL95" s="13">
        <f>VLOOKUP(Table2[[#This Row],[3_Elephant_ID]],'[1]Attributes(OUTDATED)'!$A$2:$P$19,16,FALSE)</f>
        <v>1</v>
      </c>
      <c r="AM95" s="13">
        <f>VLOOKUP(Table2[[#This Row],[3_Elephant_ID]],'[1]Attributes(OUTDATED)'!$A$2:$S$19,17,FALSE)</f>
        <v>0</v>
      </c>
      <c r="AN95" s="13">
        <f>VLOOKUP(Table2[[#This Row],[3_Elephant_ID]],'[1]Attributes(OUTDATED)'!$A$2:$S$19,18,FALSE)</f>
        <v>12</v>
      </c>
    </row>
    <row r="96" spans="1:40" ht="28" x14ac:dyDescent="0.15">
      <c r="A96" s="3">
        <v>185</v>
      </c>
      <c r="B96" s="6">
        <v>2405231002</v>
      </c>
      <c r="C96" s="7">
        <v>24</v>
      </c>
      <c r="D96" s="7">
        <v>5</v>
      </c>
      <c r="E96" s="7">
        <v>2023</v>
      </c>
      <c r="F96" s="5">
        <v>45070</v>
      </c>
      <c r="G96" s="6" t="s">
        <v>1</v>
      </c>
      <c r="H96" s="17">
        <v>0.18351888667992047</v>
      </c>
      <c r="I96" s="20">
        <f>ROUNDUP((Table2[[#This Row],[fGCM_Conc]]*10000),0)</f>
        <v>1836</v>
      </c>
      <c r="J96" s="3" t="str">
        <f>VLOOKUP(G96,'[1]Attributes(OUTDATED)'!$A$2:$C$19,2,FALSE)</f>
        <v>F</v>
      </c>
      <c r="K96" s="3" t="str">
        <f>VLOOKUP(G96,'[1]Attributes(OUTDATED)'!$A$2:$C$19,3,FALSE)</f>
        <v>A</v>
      </c>
      <c r="L96" s="3">
        <f>VLOOKUP(G96,'[1]Attributes(OUTDATED)'!$A$2:$H$19,8,FALSE)</f>
        <v>929</v>
      </c>
      <c r="M96" s="3" t="str">
        <f>K96&amp;J96</f>
        <v>AF</v>
      </c>
      <c r="N96" s="3" t="e">
        <f>VLOOKUP(G96,#REF!,2,FALSE)</f>
        <v>#REF!</v>
      </c>
      <c r="O96" s="11">
        <v>45068</v>
      </c>
      <c r="P96" s="13">
        <v>16.2</v>
      </c>
      <c r="Q96" s="13">
        <v>7.6</v>
      </c>
      <c r="R96" s="13">
        <v>0.6</v>
      </c>
      <c r="S96" s="13">
        <f>Table2[[#This Row],[2_Temp_H]]-Table2[[#This Row],[2_Temp_L]]</f>
        <v>15.6</v>
      </c>
      <c r="T96" s="13">
        <v>19.8</v>
      </c>
      <c r="U96" s="13">
        <v>2.5</v>
      </c>
      <c r="V96" s="13">
        <v>1016.93</v>
      </c>
      <c r="W96" s="13">
        <v>1012.87</v>
      </c>
      <c r="X96" s="13">
        <v>0</v>
      </c>
      <c r="Y96" s="13" t="s">
        <v>147</v>
      </c>
      <c r="Z96" s="13" t="s">
        <v>139</v>
      </c>
      <c r="AA96" s="13" t="s">
        <v>26</v>
      </c>
      <c r="AB96" s="13" t="s">
        <v>144</v>
      </c>
      <c r="AC96" s="13" t="s">
        <v>146</v>
      </c>
      <c r="AD96" s="13" t="s">
        <v>137</v>
      </c>
      <c r="AE96" s="13">
        <f>VLOOKUP(Table2[[#This Row],[3_Elephant_ID]],'[1]Attributes(OUTDATED)'!$A$2:$N$19,12,FALSE)</f>
        <v>321</v>
      </c>
      <c r="AF96" s="13">
        <f>VLOOKUP(Table2[[#This Row],[3_Elephant_ID]],'[1]Attributes(OUTDATED)'!$A$2:$N$19,13,FALSE)</f>
        <v>0.17599999999999999</v>
      </c>
      <c r="AG96" s="13">
        <f>VLOOKUP(Table2[[#This Row],[3_Elephant_ID]],'[1]Attributes(OUTDATED)'!$A$2:$N$19,14,FALSE)</f>
        <v>0.17530262753188491</v>
      </c>
      <c r="AH96" s="13">
        <v>1</v>
      </c>
      <c r="AI96" s="13">
        <v>0</v>
      </c>
      <c r="AJ96" s="13">
        <v>0</v>
      </c>
      <c r="AK96" s="13">
        <v>0</v>
      </c>
      <c r="AL96" s="13">
        <f>VLOOKUP(Table2[[#This Row],[3_Elephant_ID]],'[1]Attributes(OUTDATED)'!$A$2:$P$19,16,FALSE)</f>
        <v>1</v>
      </c>
      <c r="AM96" s="13">
        <f>VLOOKUP(Table2[[#This Row],[3_Elephant_ID]],'[1]Attributes(OUTDATED)'!$A$2:$S$19,17,FALSE)</f>
        <v>6</v>
      </c>
      <c r="AN96" s="13">
        <f>VLOOKUP(Table2[[#This Row],[3_Elephant_ID]],'[1]Attributes(OUTDATED)'!$A$2:$S$19,18,FALSE)</f>
        <v>8</v>
      </c>
    </row>
    <row r="97" spans="1:40" ht="28" x14ac:dyDescent="0.15">
      <c r="A97" s="3">
        <v>181</v>
      </c>
      <c r="B97" s="6">
        <v>2405231132</v>
      </c>
      <c r="C97" s="7">
        <v>24</v>
      </c>
      <c r="D97" s="7">
        <v>5</v>
      </c>
      <c r="E97" s="7">
        <v>2023</v>
      </c>
      <c r="F97" s="5">
        <v>45070</v>
      </c>
      <c r="G97" s="6" t="s">
        <v>3</v>
      </c>
      <c r="H97" s="17">
        <v>0.15493307839388146</v>
      </c>
      <c r="I97" s="20">
        <f>ROUNDUP((Table2[[#This Row],[fGCM_Conc]]*10000),0)</f>
        <v>1550</v>
      </c>
      <c r="J97" s="3" t="str">
        <f>VLOOKUP(G97,'[1]Attributes(OUTDATED)'!$A$2:$C$19,2,FALSE)</f>
        <v>M</v>
      </c>
      <c r="K97" s="3" t="str">
        <f>VLOOKUP(G97,'[1]Attributes(OUTDATED)'!$A$2:$C$19,3,FALSE)</f>
        <v>J</v>
      </c>
      <c r="L97" s="3">
        <f>VLOOKUP(G97,'[1]Attributes(OUTDATED)'!$A$2:$H$19,8,FALSE)</f>
        <v>1031</v>
      </c>
      <c r="M97" s="3" t="str">
        <f>K97&amp;J97</f>
        <v>JM</v>
      </c>
      <c r="N97" s="3" t="e">
        <f>VLOOKUP(G97,#REF!,2,FALSE)</f>
        <v>#REF!</v>
      </c>
      <c r="O97" s="11">
        <v>45068</v>
      </c>
      <c r="P97" s="13">
        <v>16.2</v>
      </c>
      <c r="Q97" s="13">
        <v>7.6</v>
      </c>
      <c r="R97" s="13">
        <v>0.6</v>
      </c>
      <c r="S97" s="13">
        <f>Table2[[#This Row],[2_Temp_H]]-Table2[[#This Row],[2_Temp_L]]</f>
        <v>15.6</v>
      </c>
      <c r="T97" s="13">
        <v>19.8</v>
      </c>
      <c r="U97" s="13">
        <v>2.5</v>
      </c>
      <c r="V97" s="13">
        <v>1016.93</v>
      </c>
      <c r="W97" s="13">
        <v>1012.87</v>
      </c>
      <c r="X97" s="13">
        <v>0</v>
      </c>
      <c r="Y97" s="13" t="s">
        <v>147</v>
      </c>
      <c r="Z97" s="13" t="s">
        <v>139</v>
      </c>
      <c r="AA97" s="13" t="s">
        <v>26</v>
      </c>
      <c r="AB97" s="13" t="s">
        <v>144</v>
      </c>
      <c r="AC97" s="13" t="s">
        <v>146</v>
      </c>
      <c r="AD97" s="13" t="s">
        <v>137</v>
      </c>
      <c r="AE97" s="13">
        <f>VLOOKUP(Table2[[#This Row],[3_Elephant_ID]],'[1]Attributes(OUTDATED)'!$A$2:$N$19,12,FALSE)</f>
        <v>234</v>
      </c>
      <c r="AF97" s="13">
        <f>VLOOKUP(Table2[[#This Row],[3_Elephant_ID]],'[1]Attributes(OUTDATED)'!$A$2:$N$19,13,FALSE)</f>
        <v>0.16500000000000001</v>
      </c>
      <c r="AG97" s="13">
        <f>VLOOKUP(Table2[[#This Row],[3_Elephant_ID]],'[1]Attributes(OUTDATED)'!$A$2:$N$19,14,FALSE)</f>
        <v>0.16420161303383449</v>
      </c>
      <c r="AH97" s="13">
        <v>1</v>
      </c>
      <c r="AI97" s="13">
        <v>0</v>
      </c>
      <c r="AJ97" s="13">
        <v>0</v>
      </c>
      <c r="AK97" s="13">
        <v>0</v>
      </c>
      <c r="AL97" s="13">
        <f>VLOOKUP(Table2[[#This Row],[3_Elephant_ID]],'[1]Attributes(OUTDATED)'!$A$2:$P$19,16,FALSE)</f>
        <v>1</v>
      </c>
      <c r="AM97" s="13">
        <f>VLOOKUP(Table2[[#This Row],[3_Elephant_ID]],'[1]Attributes(OUTDATED)'!$A$2:$S$19,17,FALSE)</f>
        <v>9</v>
      </c>
      <c r="AN97" s="13">
        <f>VLOOKUP(Table2[[#This Row],[3_Elephant_ID]],'[1]Attributes(OUTDATED)'!$A$2:$S$19,18,FALSE)</f>
        <v>9</v>
      </c>
    </row>
    <row r="98" spans="1:40" ht="28" x14ac:dyDescent="0.15">
      <c r="A98" s="3">
        <v>174</v>
      </c>
      <c r="B98" s="6">
        <v>2505231624</v>
      </c>
      <c r="C98" s="7">
        <v>25</v>
      </c>
      <c r="D98" s="7">
        <v>5</v>
      </c>
      <c r="E98" s="7">
        <v>2023</v>
      </c>
      <c r="F98" s="5">
        <v>45071</v>
      </c>
      <c r="G98" s="6" t="s">
        <v>16</v>
      </c>
      <c r="H98" s="17">
        <v>0.40188235294117641</v>
      </c>
      <c r="I98" s="20">
        <f>ROUNDUP((Table2[[#This Row],[fGCM_Conc]]*10000),0)</f>
        <v>4019</v>
      </c>
      <c r="J98" s="3" t="str">
        <f>VLOOKUP(G98,'[1]Attributes(OUTDATED)'!$A$2:$C$19,2,FALSE)</f>
        <v>F</v>
      </c>
      <c r="K98" s="3" t="str">
        <f>VLOOKUP(G98,'[1]Attributes(OUTDATED)'!$A$2:$C$19,3,FALSE)</f>
        <v>A</v>
      </c>
      <c r="L98" s="3">
        <f>VLOOKUP(G98,'[1]Attributes(OUTDATED)'!$A$2:$H$19,8,FALSE)</f>
        <v>1346</v>
      </c>
      <c r="M98" s="3" t="str">
        <f>K98&amp;J98</f>
        <v>AF</v>
      </c>
      <c r="N98" s="3" t="e">
        <f>VLOOKUP(G98,#REF!,2,FALSE)</f>
        <v>#REF!</v>
      </c>
      <c r="O98" s="11">
        <v>45069</v>
      </c>
      <c r="P98" s="13">
        <v>21.8</v>
      </c>
      <c r="Q98" s="13">
        <v>11.1</v>
      </c>
      <c r="R98" s="13">
        <v>2.9</v>
      </c>
      <c r="S98" s="13">
        <f>Table2[[#This Row],[2_Temp_H]]-Table2[[#This Row],[2_Temp_L]]</f>
        <v>18.900000000000002</v>
      </c>
      <c r="T98" s="13">
        <v>22.5</v>
      </c>
      <c r="U98" s="13">
        <v>4.3</v>
      </c>
      <c r="V98" s="13">
        <v>1011.85</v>
      </c>
      <c r="W98" s="13">
        <v>1006.77</v>
      </c>
      <c r="X98" s="13">
        <v>0</v>
      </c>
      <c r="Y98" s="13" t="s">
        <v>147</v>
      </c>
      <c r="Z98" s="13" t="s">
        <v>139</v>
      </c>
      <c r="AA98" s="13" t="s">
        <v>26</v>
      </c>
      <c r="AB98" s="13" t="s">
        <v>144</v>
      </c>
      <c r="AC98" s="13" t="s">
        <v>146</v>
      </c>
      <c r="AD98" s="13" t="s">
        <v>137</v>
      </c>
      <c r="AE98" s="13">
        <f>VLOOKUP(Table2[[#This Row],[3_Elephant_ID]],'[1]Attributes(OUTDATED)'!$A$2:$N$19,12,FALSE)</f>
        <v>474</v>
      </c>
      <c r="AF98" s="13">
        <f>VLOOKUP(Table2[[#This Row],[3_Elephant_ID]],'[1]Attributes(OUTDATED)'!$A$2:$N$19,13,FALSE)</f>
        <v>0.121</v>
      </c>
      <c r="AG98" s="13">
        <f>VLOOKUP(Table2[[#This Row],[3_Elephant_ID]],'[1]Attributes(OUTDATED)'!$A$2:$N$19,14,FALSE)</f>
        <v>0.1206993463154281</v>
      </c>
      <c r="AH98" s="13">
        <v>2</v>
      </c>
      <c r="AI98" s="13">
        <v>1</v>
      </c>
      <c r="AJ98" s="13">
        <v>0</v>
      </c>
      <c r="AK98" s="13">
        <v>1</v>
      </c>
      <c r="AL98" s="13">
        <f>VLOOKUP(Table2[[#This Row],[3_Elephant_ID]],'[1]Attributes(OUTDATED)'!$A$2:$P$19,16,FALSE)</f>
        <v>1</v>
      </c>
      <c r="AM98" s="13">
        <f>VLOOKUP(Table2[[#This Row],[3_Elephant_ID]],'[1]Attributes(OUTDATED)'!$A$2:$S$19,17,FALSE)</f>
        <v>16</v>
      </c>
      <c r="AN98" s="13">
        <f>VLOOKUP(Table2[[#This Row],[3_Elephant_ID]],'[1]Attributes(OUTDATED)'!$A$2:$S$19,18,FALSE)</f>
        <v>1</v>
      </c>
    </row>
    <row r="99" spans="1:40" ht="28" x14ac:dyDescent="0.15">
      <c r="A99" s="3">
        <v>173</v>
      </c>
      <c r="B99" s="6">
        <v>2505231717</v>
      </c>
      <c r="C99" s="7">
        <v>25</v>
      </c>
      <c r="D99" s="7">
        <v>5</v>
      </c>
      <c r="E99" s="7">
        <v>2023</v>
      </c>
      <c r="F99" s="5">
        <v>45071</v>
      </c>
      <c r="G99" s="6" t="s">
        <v>13</v>
      </c>
      <c r="H99" s="17">
        <v>0.36966990291262136</v>
      </c>
      <c r="I99" s="20">
        <f>ROUNDUP((Table2[[#This Row],[fGCM_Conc]]*10000),0)</f>
        <v>3697</v>
      </c>
      <c r="J99" s="3" t="str">
        <f>VLOOKUP(G99,'[1]Attributes(OUTDATED)'!$A$2:$C$19,2,FALSE)</f>
        <v>F</v>
      </c>
      <c r="K99" s="3" t="str">
        <f>VLOOKUP(G99,'[1]Attributes(OUTDATED)'!$A$2:$C$19,3,FALSE)</f>
        <v>A</v>
      </c>
      <c r="L99" s="3">
        <f>VLOOKUP(G99,'[1]Attributes(OUTDATED)'!$A$2:$H$19,8,FALSE)</f>
        <v>963</v>
      </c>
      <c r="M99" s="3" t="str">
        <f>K99&amp;J99</f>
        <v>AF</v>
      </c>
      <c r="N99" s="3" t="e">
        <f>VLOOKUP(G99,#REF!,2,FALSE)</f>
        <v>#REF!</v>
      </c>
      <c r="O99" s="11">
        <v>45069</v>
      </c>
      <c r="P99" s="13">
        <v>21.8</v>
      </c>
      <c r="Q99" s="13">
        <v>11.1</v>
      </c>
      <c r="R99" s="13">
        <v>2.9</v>
      </c>
      <c r="S99" s="13">
        <f>Table2[[#This Row],[2_Temp_H]]-Table2[[#This Row],[2_Temp_L]]</f>
        <v>18.900000000000002</v>
      </c>
      <c r="T99" s="13">
        <v>22.5</v>
      </c>
      <c r="U99" s="13">
        <v>4.3</v>
      </c>
      <c r="V99" s="13">
        <v>1011.85</v>
      </c>
      <c r="W99" s="13">
        <v>1006.77</v>
      </c>
      <c r="X99" s="13">
        <v>0</v>
      </c>
      <c r="Y99" s="13" t="s">
        <v>147</v>
      </c>
      <c r="Z99" s="13" t="s">
        <v>139</v>
      </c>
      <c r="AA99" s="13" t="s">
        <v>26</v>
      </c>
      <c r="AB99" s="13" t="s">
        <v>144</v>
      </c>
      <c r="AC99" s="13" t="s">
        <v>146</v>
      </c>
      <c r="AD99" s="13" t="s">
        <v>137</v>
      </c>
      <c r="AE99" s="13">
        <f>VLOOKUP(Table2[[#This Row],[3_Elephant_ID]],'[1]Attributes(OUTDATED)'!$A$2:$N$19,12,FALSE)</f>
        <v>289</v>
      </c>
      <c r="AF99" s="13">
        <f>VLOOKUP(Table2[[#This Row],[3_Elephant_ID]],'[1]Attributes(OUTDATED)'!$A$2:$N$19,13,FALSE)</f>
        <v>0.32400000000000001</v>
      </c>
      <c r="AG99" s="13">
        <f>VLOOKUP(Table2[[#This Row],[3_Elephant_ID]],'[1]Attributes(OUTDATED)'!$A$2:$N$19,14,FALSE)</f>
        <v>0.32380809109629533</v>
      </c>
      <c r="AH99" s="13">
        <v>2</v>
      </c>
      <c r="AI99" s="13">
        <v>0</v>
      </c>
      <c r="AJ99" s="13">
        <v>0</v>
      </c>
      <c r="AK99" s="13">
        <v>0</v>
      </c>
      <c r="AL99" s="13">
        <f>VLOOKUP(Table2[[#This Row],[3_Elephant_ID]],'[1]Attributes(OUTDATED)'!$A$2:$P$19,16,FALSE)</f>
        <v>2</v>
      </c>
      <c r="AM99" s="13">
        <f>VLOOKUP(Table2[[#This Row],[3_Elephant_ID]],'[1]Attributes(OUTDATED)'!$A$2:$S$19,17,FALSE)</f>
        <v>9</v>
      </c>
      <c r="AN99" s="13">
        <f>VLOOKUP(Table2[[#This Row],[3_Elephant_ID]],'[1]Attributes(OUTDATED)'!$A$2:$S$19,18,FALSE)</f>
        <v>9</v>
      </c>
    </row>
    <row r="100" spans="1:40" ht="28" x14ac:dyDescent="0.15">
      <c r="A100" s="3">
        <v>176</v>
      </c>
      <c r="B100" s="6">
        <v>2505231536</v>
      </c>
      <c r="C100" s="7">
        <v>25</v>
      </c>
      <c r="D100" s="7">
        <v>5</v>
      </c>
      <c r="E100" s="7">
        <v>2023</v>
      </c>
      <c r="F100" s="5">
        <v>45071</v>
      </c>
      <c r="G100" s="6" t="s">
        <v>10</v>
      </c>
      <c r="H100" s="17">
        <v>0.2867976424361493</v>
      </c>
      <c r="I100" s="20">
        <f>ROUNDUP((Table2[[#This Row],[fGCM_Conc]]*10000),0)</f>
        <v>2868</v>
      </c>
      <c r="J100" s="3" t="str">
        <f>VLOOKUP(G100,'[1]Attributes(OUTDATED)'!$A$2:$C$19,2,FALSE)</f>
        <v>F</v>
      </c>
      <c r="K100" s="3" t="str">
        <f>VLOOKUP(G100,'[1]Attributes(OUTDATED)'!$A$2:$C$19,3,FALSE)</f>
        <v>A</v>
      </c>
      <c r="L100" s="3">
        <f>VLOOKUP(G100,'[1]Attributes(OUTDATED)'!$A$2:$H$19,8,FALSE)</f>
        <v>1146</v>
      </c>
      <c r="M100" s="3" t="str">
        <f>K100&amp;J100</f>
        <v>AF</v>
      </c>
      <c r="N100" s="3" t="e">
        <f>VLOOKUP(G100,#REF!,2,FALSE)</f>
        <v>#REF!</v>
      </c>
      <c r="O100" s="11">
        <v>45069</v>
      </c>
      <c r="P100" s="13">
        <v>21.8</v>
      </c>
      <c r="Q100" s="13">
        <v>11.1</v>
      </c>
      <c r="R100" s="13">
        <v>2.9</v>
      </c>
      <c r="S100" s="13">
        <f>Table2[[#This Row],[2_Temp_H]]-Table2[[#This Row],[2_Temp_L]]</f>
        <v>18.900000000000002</v>
      </c>
      <c r="T100" s="13">
        <v>22.5</v>
      </c>
      <c r="U100" s="13">
        <v>4.3</v>
      </c>
      <c r="V100" s="13">
        <v>1011.85</v>
      </c>
      <c r="W100" s="13">
        <v>1006.77</v>
      </c>
      <c r="X100" s="13">
        <v>0</v>
      </c>
      <c r="Y100" s="13" t="s">
        <v>147</v>
      </c>
      <c r="Z100" s="13" t="s">
        <v>139</v>
      </c>
      <c r="AA100" s="13" t="s">
        <v>26</v>
      </c>
      <c r="AB100" s="13" t="s">
        <v>144</v>
      </c>
      <c r="AC100" s="13" t="s">
        <v>146</v>
      </c>
      <c r="AD100" s="13" t="s">
        <v>137</v>
      </c>
      <c r="AE100" s="13">
        <f>VLOOKUP(Table2[[#This Row],[3_Elephant_ID]],'[1]Attributes(OUTDATED)'!$A$2:$N$19,12,FALSE)</f>
        <v>424</v>
      </c>
      <c r="AF100" s="13">
        <f>VLOOKUP(Table2[[#This Row],[3_Elephant_ID]],'[1]Attributes(OUTDATED)'!$A$2:$N$19,13,FALSE)</f>
        <v>0.10299999999999999</v>
      </c>
      <c r="AG100" s="13">
        <f>VLOOKUP(Table2[[#This Row],[3_Elephant_ID]],'[1]Attributes(OUTDATED)'!$A$2:$N$19,14,FALSE)</f>
        <v>0.10282190709599449</v>
      </c>
      <c r="AH100" s="13">
        <v>2</v>
      </c>
      <c r="AI100" s="13">
        <v>0</v>
      </c>
      <c r="AJ100" s="13">
        <v>0</v>
      </c>
      <c r="AK100" s="13">
        <v>0</v>
      </c>
      <c r="AL100" s="13">
        <f>VLOOKUP(Table2[[#This Row],[3_Elephant_ID]],'[1]Attributes(OUTDATED)'!$A$2:$P$19,16,FALSE)</f>
        <v>1</v>
      </c>
      <c r="AM100" s="13">
        <f>VLOOKUP(Table2[[#This Row],[3_Elephant_ID]],'[1]Attributes(OUTDATED)'!$A$2:$S$19,17,FALSE)</f>
        <v>9</v>
      </c>
      <c r="AN100" s="13">
        <f>VLOOKUP(Table2[[#This Row],[3_Elephant_ID]],'[1]Attributes(OUTDATED)'!$A$2:$S$19,18,FALSE)</f>
        <v>8</v>
      </c>
    </row>
    <row r="101" spans="1:40" ht="28" x14ac:dyDescent="0.15">
      <c r="A101" s="3">
        <v>175</v>
      </c>
      <c r="B101" s="6">
        <v>2505231602</v>
      </c>
      <c r="C101" s="7">
        <v>25</v>
      </c>
      <c r="D101" s="7">
        <v>5</v>
      </c>
      <c r="E101" s="7">
        <v>2023</v>
      </c>
      <c r="F101" s="5">
        <v>45071</v>
      </c>
      <c r="G101" s="6" t="s">
        <v>2</v>
      </c>
      <c r="H101" s="17">
        <v>0.22644444444444445</v>
      </c>
      <c r="I101" s="20">
        <f>ROUNDUP((Table2[[#This Row],[fGCM_Conc]]*10000),0)</f>
        <v>2265</v>
      </c>
      <c r="J101" s="3" t="str">
        <f>VLOOKUP(G101,'[1]Attributes(OUTDATED)'!$A$2:$C$19,2,FALSE)</f>
        <v>F</v>
      </c>
      <c r="K101" s="3" t="str">
        <f>VLOOKUP(G101,'[1]Attributes(OUTDATED)'!$A$2:$C$19,3,FALSE)</f>
        <v>A</v>
      </c>
      <c r="L101" s="3">
        <f>VLOOKUP(G101,'[1]Attributes(OUTDATED)'!$A$2:$H$19,8,FALSE)</f>
        <v>892</v>
      </c>
      <c r="M101" s="3" t="str">
        <f>K101&amp;J101</f>
        <v>AF</v>
      </c>
      <c r="N101" s="3" t="e">
        <f>VLOOKUP(G101,#REF!,2,FALSE)</f>
        <v>#REF!</v>
      </c>
      <c r="O101" s="11">
        <v>45069</v>
      </c>
      <c r="P101" s="13">
        <v>21.8</v>
      </c>
      <c r="Q101" s="13">
        <v>11.1</v>
      </c>
      <c r="R101" s="13">
        <v>2.9</v>
      </c>
      <c r="S101" s="13">
        <f>Table2[[#This Row],[2_Temp_H]]-Table2[[#This Row],[2_Temp_L]]</f>
        <v>18.900000000000002</v>
      </c>
      <c r="T101" s="13">
        <v>22.5</v>
      </c>
      <c r="U101" s="13">
        <v>4.3</v>
      </c>
      <c r="V101" s="13">
        <v>1011.85</v>
      </c>
      <c r="W101" s="13">
        <v>1006.77</v>
      </c>
      <c r="X101" s="13">
        <v>0</v>
      </c>
      <c r="Y101" s="13" t="s">
        <v>147</v>
      </c>
      <c r="Z101" s="13" t="s">
        <v>139</v>
      </c>
      <c r="AA101" s="13" t="s">
        <v>26</v>
      </c>
      <c r="AB101" s="13" t="s">
        <v>144</v>
      </c>
      <c r="AC101" s="13" t="s">
        <v>146</v>
      </c>
      <c r="AD101" s="13" t="s">
        <v>137</v>
      </c>
      <c r="AE101" s="13">
        <f>VLOOKUP(Table2[[#This Row],[3_Elephant_ID]],'[1]Attributes(OUTDATED)'!$A$2:$N$19,12,FALSE)</f>
        <v>378</v>
      </c>
      <c r="AF101" s="13">
        <f>VLOOKUP(Table2[[#This Row],[3_Elephant_ID]],'[1]Attributes(OUTDATED)'!$A$2:$N$19,13,FALSE)</f>
        <v>8.6999999999999994E-2</v>
      </c>
      <c r="AG101" s="13">
        <f>VLOOKUP(Table2[[#This Row],[3_Elephant_ID]],'[1]Attributes(OUTDATED)'!$A$2:$N$19,14,FALSE)</f>
        <v>8.6599138783086713E-2</v>
      </c>
      <c r="AH101" s="13">
        <v>2</v>
      </c>
      <c r="AI101" s="13">
        <v>0</v>
      </c>
      <c r="AJ101" s="13">
        <v>0</v>
      </c>
      <c r="AK101" s="13">
        <v>0</v>
      </c>
      <c r="AL101" s="13">
        <f>VLOOKUP(Table2[[#This Row],[3_Elephant_ID]],'[1]Attributes(OUTDATED)'!$A$2:$P$19,16,FALSE)</f>
        <v>1</v>
      </c>
      <c r="AM101" s="13">
        <f>VLOOKUP(Table2[[#This Row],[3_Elephant_ID]],'[1]Attributes(OUTDATED)'!$A$2:$S$19,17,FALSE)</f>
        <v>4</v>
      </c>
      <c r="AN101" s="13">
        <f>VLOOKUP(Table2[[#This Row],[3_Elephant_ID]],'[1]Attributes(OUTDATED)'!$A$2:$S$19,18,FALSE)</f>
        <v>20</v>
      </c>
    </row>
    <row r="102" spans="1:40" ht="28" x14ac:dyDescent="0.15">
      <c r="A102" s="3">
        <v>169</v>
      </c>
      <c r="B102" s="6">
        <v>2805231101</v>
      </c>
      <c r="C102" s="7">
        <v>28</v>
      </c>
      <c r="D102" s="7">
        <v>5</v>
      </c>
      <c r="E102" s="7">
        <v>2023</v>
      </c>
      <c r="F102" s="5">
        <v>45074</v>
      </c>
      <c r="G102" s="6" t="s">
        <v>6</v>
      </c>
      <c r="H102" s="17">
        <v>0.78770949720670402</v>
      </c>
      <c r="I102" s="20">
        <f>ROUNDUP((Table2[[#This Row],[fGCM_Conc]]*10000),0)</f>
        <v>7878</v>
      </c>
      <c r="J102" s="3" t="str">
        <f>VLOOKUP(G102,'[1]Attributes(OUTDATED)'!$A$2:$C$19,2,FALSE)</f>
        <v>F</v>
      </c>
      <c r="K102" s="3" t="str">
        <f>VLOOKUP(G102,'[1]Attributes(OUTDATED)'!$A$2:$C$19,3,FALSE)</f>
        <v>A</v>
      </c>
      <c r="L102" s="3">
        <f>VLOOKUP(G102,'[1]Attributes(OUTDATED)'!$A$2:$H$19,8,FALSE)</f>
        <v>1168</v>
      </c>
      <c r="M102" s="3" t="str">
        <f>K102&amp;J102</f>
        <v>AF</v>
      </c>
      <c r="N102" s="3" t="e">
        <f>VLOOKUP(G102,#REF!,2,FALSE)</f>
        <v>#REF!</v>
      </c>
      <c r="O102" s="11">
        <v>45072</v>
      </c>
      <c r="P102" s="13">
        <v>13.5</v>
      </c>
      <c r="Q102" s="13">
        <v>7.3</v>
      </c>
      <c r="R102" s="13">
        <v>0.9</v>
      </c>
      <c r="S102" s="13">
        <f>Table2[[#This Row],[2_Temp_H]]-Table2[[#This Row],[2_Temp_L]]</f>
        <v>12.6</v>
      </c>
      <c r="T102" s="13">
        <v>32.700000000000003</v>
      </c>
      <c r="U102" s="13">
        <v>6.3</v>
      </c>
      <c r="V102" s="13">
        <v>1014.9</v>
      </c>
      <c r="W102" s="13">
        <v>1008.81</v>
      </c>
      <c r="X102" s="13">
        <v>2.79</v>
      </c>
      <c r="Y102" s="13" t="s">
        <v>147</v>
      </c>
      <c r="Z102" s="13" t="s">
        <v>139</v>
      </c>
      <c r="AA102" s="13" t="s">
        <v>26</v>
      </c>
      <c r="AB102" s="13" t="s">
        <v>144</v>
      </c>
      <c r="AC102" s="13" t="s">
        <v>146</v>
      </c>
      <c r="AD102" s="13" t="s">
        <v>137</v>
      </c>
      <c r="AE102" s="13">
        <f>VLOOKUP(Table2[[#This Row],[3_Elephant_ID]],'[1]Attributes(OUTDATED)'!$A$2:$N$19,12,FALSE)</f>
        <v>286</v>
      </c>
      <c r="AF102" s="13">
        <f>VLOOKUP(Table2[[#This Row],[3_Elephant_ID]],'[1]Attributes(OUTDATED)'!$A$2:$N$19,13,FALSE)</f>
        <v>0.26800000000000002</v>
      </c>
      <c r="AG102" s="13">
        <f>VLOOKUP(Table2[[#This Row],[3_Elephant_ID]],'[1]Attributes(OUTDATED)'!$A$2:$N$19,14,FALSE)</f>
        <v>0.26721028245328138</v>
      </c>
      <c r="AH102" s="13">
        <v>0</v>
      </c>
      <c r="AI102" s="13">
        <v>0</v>
      </c>
      <c r="AJ102" s="13">
        <v>0</v>
      </c>
      <c r="AK102" s="13">
        <v>0</v>
      </c>
      <c r="AL102" s="13">
        <f>VLOOKUP(Table2[[#This Row],[3_Elephant_ID]],'[1]Attributes(OUTDATED)'!$A$2:$P$19,16,FALSE)</f>
        <v>2</v>
      </c>
      <c r="AM102" s="13">
        <f>VLOOKUP(Table2[[#This Row],[3_Elephant_ID]],'[1]Attributes(OUTDATED)'!$A$2:$S$19,17,FALSE)</f>
        <v>12</v>
      </c>
      <c r="AN102" s="13">
        <f>VLOOKUP(Table2[[#This Row],[3_Elephant_ID]],'[1]Attributes(OUTDATED)'!$A$2:$S$19,18,FALSE)</f>
        <v>5</v>
      </c>
    </row>
    <row r="103" spans="1:40" ht="28" x14ac:dyDescent="0.15">
      <c r="A103" s="3">
        <v>167</v>
      </c>
      <c r="B103" s="6">
        <v>2805231020</v>
      </c>
      <c r="C103" s="7">
        <v>28</v>
      </c>
      <c r="D103" s="7">
        <v>5</v>
      </c>
      <c r="E103" s="7">
        <v>2023</v>
      </c>
      <c r="F103" s="5">
        <v>45074</v>
      </c>
      <c r="G103" s="6" t="s">
        <v>31</v>
      </c>
      <c r="H103" s="17">
        <v>0.3677735124760077</v>
      </c>
      <c r="I103" s="20">
        <f>ROUNDUP((Table2[[#This Row],[fGCM_Conc]]*10000),0)</f>
        <v>3678</v>
      </c>
      <c r="J103" s="3" t="str">
        <f>VLOOKUP(G103,'[1]Attributes(OUTDATED)'!$A$2:$C$19,2,FALSE)</f>
        <v>F</v>
      </c>
      <c r="K103" s="3" t="str">
        <f>VLOOKUP(G103,'[1]Attributes(OUTDATED)'!$A$2:$C$19,3,FALSE)</f>
        <v>J</v>
      </c>
      <c r="L103" s="3">
        <f>VLOOKUP(G103,'[1]Attributes(OUTDATED)'!$A$2:$H$19,8,FALSE)</f>
        <v>765</v>
      </c>
      <c r="M103" s="3" t="str">
        <f>K103&amp;J103</f>
        <v>JF</v>
      </c>
      <c r="N103" s="3" t="e">
        <f>VLOOKUP(G103,#REF!,2,FALSE)</f>
        <v>#REF!</v>
      </c>
      <c r="O103" s="11">
        <v>45072</v>
      </c>
      <c r="P103" s="13">
        <v>13.5</v>
      </c>
      <c r="Q103" s="13">
        <v>7.3</v>
      </c>
      <c r="R103" s="13">
        <v>0.9</v>
      </c>
      <c r="S103" s="13">
        <f>Table2[[#This Row],[2_Temp_H]]-Table2[[#This Row],[2_Temp_L]]</f>
        <v>12.6</v>
      </c>
      <c r="T103" s="13">
        <v>32.700000000000003</v>
      </c>
      <c r="U103" s="13">
        <v>6.3</v>
      </c>
      <c r="V103" s="13">
        <v>1014.9</v>
      </c>
      <c r="W103" s="13">
        <v>1008.81</v>
      </c>
      <c r="X103" s="13">
        <v>2.79</v>
      </c>
      <c r="Y103" s="13" t="s">
        <v>147</v>
      </c>
      <c r="Z103" s="13" t="s">
        <v>139</v>
      </c>
      <c r="AA103" s="13" t="s">
        <v>26</v>
      </c>
      <c r="AB103" s="13" t="s">
        <v>144</v>
      </c>
      <c r="AC103" s="13" t="s">
        <v>146</v>
      </c>
      <c r="AD103" s="13" t="s">
        <v>137</v>
      </c>
      <c r="AE103" s="13">
        <f>VLOOKUP(Table2[[#This Row],[3_Elephant_ID]],'[1]Attributes(OUTDATED)'!$A$2:$N$19,12,FALSE)</f>
        <v>258</v>
      </c>
      <c r="AF103" s="13">
        <f>VLOOKUP(Table2[[#This Row],[3_Elephant_ID]],'[1]Attributes(OUTDATED)'!$A$2:$N$19,13,FALSE)</f>
        <v>0.25700000000000001</v>
      </c>
      <c r="AG103" s="13">
        <f>VLOOKUP(Table2[[#This Row],[3_Elephant_ID]],'[1]Attributes(OUTDATED)'!$A$2:$N$19,14,FALSE)</f>
        <v>0.25665547185998128</v>
      </c>
      <c r="AH103" s="13">
        <v>0</v>
      </c>
      <c r="AI103" s="13">
        <v>0</v>
      </c>
      <c r="AJ103" s="13">
        <v>0</v>
      </c>
      <c r="AK103" s="13">
        <v>0</v>
      </c>
      <c r="AL103" s="13">
        <f>VLOOKUP(Table2[[#This Row],[3_Elephant_ID]],'[1]Attributes(OUTDATED)'!$A$2:$P$19,16,FALSE)</f>
        <v>2</v>
      </c>
      <c r="AM103" s="13">
        <f>VLOOKUP(Table2[[#This Row],[3_Elephant_ID]],'[1]Attributes(OUTDATED)'!$A$2:$S$19,17,FALSE)</f>
        <v>1</v>
      </c>
      <c r="AN103" s="13">
        <f>VLOOKUP(Table2[[#This Row],[3_Elephant_ID]],'[1]Attributes(OUTDATED)'!$A$2:$S$19,18,FALSE)</f>
        <v>10</v>
      </c>
    </row>
    <row r="104" spans="1:40" ht="28" x14ac:dyDescent="0.15">
      <c r="A104" s="3">
        <v>168</v>
      </c>
      <c r="B104" s="6">
        <v>2805231058</v>
      </c>
      <c r="C104" s="7">
        <v>28</v>
      </c>
      <c r="D104" s="7">
        <v>5</v>
      </c>
      <c r="E104" s="7">
        <v>2023</v>
      </c>
      <c r="F104" s="5">
        <v>45074</v>
      </c>
      <c r="G104" s="6" t="s">
        <v>11</v>
      </c>
      <c r="H104" s="17">
        <v>0.33807909604519776</v>
      </c>
      <c r="I104" s="20">
        <f>ROUNDUP((Table2[[#This Row],[fGCM_Conc]]*10000),0)</f>
        <v>3381</v>
      </c>
      <c r="J104" s="3" t="str">
        <f>VLOOKUP(G104,'[1]Attributes(OUTDATED)'!$A$2:$C$19,2,FALSE)</f>
        <v>M</v>
      </c>
      <c r="K104" s="3" t="str">
        <f>VLOOKUP(G104,'[1]Attributes(OUTDATED)'!$A$2:$C$19,3,FALSE)</f>
        <v>A</v>
      </c>
      <c r="L104" s="3">
        <f>VLOOKUP(G104,'[1]Attributes(OUTDATED)'!$A$2:$H$19,8,FALSE)</f>
        <v>1223</v>
      </c>
      <c r="M104" s="3" t="str">
        <f>K104&amp;J104</f>
        <v>AM</v>
      </c>
      <c r="N104" s="3" t="e">
        <f>VLOOKUP(G104,#REF!,2,FALSE)</f>
        <v>#REF!</v>
      </c>
      <c r="O104" s="11">
        <v>45072</v>
      </c>
      <c r="P104" s="13">
        <v>13.5</v>
      </c>
      <c r="Q104" s="13">
        <v>7.3</v>
      </c>
      <c r="R104" s="13">
        <v>0.9</v>
      </c>
      <c r="S104" s="13">
        <f>Table2[[#This Row],[2_Temp_H]]-Table2[[#This Row],[2_Temp_L]]</f>
        <v>12.6</v>
      </c>
      <c r="T104" s="13">
        <v>32.700000000000003</v>
      </c>
      <c r="U104" s="13">
        <v>6.3</v>
      </c>
      <c r="V104" s="13">
        <v>1014.9</v>
      </c>
      <c r="W104" s="13">
        <v>1008.81</v>
      </c>
      <c r="X104" s="13">
        <v>2.79</v>
      </c>
      <c r="Y104" s="13" t="s">
        <v>147</v>
      </c>
      <c r="Z104" s="13" t="s">
        <v>139</v>
      </c>
      <c r="AA104" s="13" t="s">
        <v>26</v>
      </c>
      <c r="AB104" s="13" t="s">
        <v>144</v>
      </c>
      <c r="AC104" s="13" t="s">
        <v>146</v>
      </c>
      <c r="AD104" s="13" t="s">
        <v>137</v>
      </c>
      <c r="AE104" s="13">
        <f>VLOOKUP(Table2[[#This Row],[3_Elephant_ID]],'[1]Attributes(OUTDATED)'!$A$2:$N$19,12,FALSE)</f>
        <v>404</v>
      </c>
      <c r="AF104" s="13">
        <f>VLOOKUP(Table2[[#This Row],[3_Elephant_ID]],'[1]Attributes(OUTDATED)'!$A$2:$N$19,13,FALSE)</f>
        <v>0.91700000000000004</v>
      </c>
      <c r="AG104" s="13">
        <f>VLOOKUP(Table2[[#This Row],[3_Elephant_ID]],'[1]Attributes(OUTDATED)'!$A$2:$N$19,14,FALSE)</f>
        <v>0.91664628583929353</v>
      </c>
      <c r="AH104" s="13">
        <v>0</v>
      </c>
      <c r="AI104" s="13">
        <v>0</v>
      </c>
      <c r="AJ104" s="13">
        <v>0</v>
      </c>
      <c r="AK104" s="13">
        <v>0</v>
      </c>
      <c r="AL104" s="13">
        <f>VLOOKUP(Table2[[#This Row],[3_Elephant_ID]],'[1]Attributes(OUTDATED)'!$A$2:$P$19,16,FALSE)</f>
        <v>1</v>
      </c>
      <c r="AM104" s="13">
        <f>VLOOKUP(Table2[[#This Row],[3_Elephant_ID]],'[1]Attributes(OUTDATED)'!$A$2:$S$19,17,FALSE)</f>
        <v>14</v>
      </c>
      <c r="AN104" s="13">
        <f>VLOOKUP(Table2[[#This Row],[3_Elephant_ID]],'[1]Attributes(OUTDATED)'!$A$2:$S$19,18,FALSE)</f>
        <v>17</v>
      </c>
    </row>
    <row r="105" spans="1:40" ht="28" x14ac:dyDescent="0.15">
      <c r="A105" s="3">
        <v>171</v>
      </c>
      <c r="B105" s="6">
        <v>2805231112</v>
      </c>
      <c r="C105" s="7">
        <v>28</v>
      </c>
      <c r="D105" s="7">
        <v>5</v>
      </c>
      <c r="E105" s="7">
        <v>2023</v>
      </c>
      <c r="F105" s="5">
        <v>45074</v>
      </c>
      <c r="G105" s="6" t="s">
        <v>13</v>
      </c>
      <c r="H105" s="17">
        <v>0.32697142857142864</v>
      </c>
      <c r="I105" s="20">
        <f>ROUNDUP((Table2[[#This Row],[fGCM_Conc]]*10000),0)</f>
        <v>3270</v>
      </c>
      <c r="J105" s="3" t="str">
        <f>VLOOKUP(G105,'[1]Attributes(OUTDATED)'!$A$2:$C$19,2,FALSE)</f>
        <v>F</v>
      </c>
      <c r="K105" s="3" t="str">
        <f>VLOOKUP(G105,'[1]Attributes(OUTDATED)'!$A$2:$C$19,3,FALSE)</f>
        <v>A</v>
      </c>
      <c r="L105" s="3">
        <f>VLOOKUP(G105,'[1]Attributes(OUTDATED)'!$A$2:$H$19,8,FALSE)</f>
        <v>963</v>
      </c>
      <c r="M105" s="3" t="str">
        <f>K105&amp;J105</f>
        <v>AF</v>
      </c>
      <c r="N105" s="3" t="e">
        <f>VLOOKUP(G105,#REF!,2,FALSE)</f>
        <v>#REF!</v>
      </c>
      <c r="O105" s="11">
        <v>45072</v>
      </c>
      <c r="P105" s="13">
        <v>13.5</v>
      </c>
      <c r="Q105" s="13">
        <v>7.3</v>
      </c>
      <c r="R105" s="13">
        <v>0.9</v>
      </c>
      <c r="S105" s="13">
        <f>Table2[[#This Row],[2_Temp_H]]-Table2[[#This Row],[2_Temp_L]]</f>
        <v>12.6</v>
      </c>
      <c r="T105" s="13">
        <v>32.700000000000003</v>
      </c>
      <c r="U105" s="13">
        <v>6.3</v>
      </c>
      <c r="V105" s="13">
        <v>1014.9</v>
      </c>
      <c r="W105" s="13">
        <v>1008.81</v>
      </c>
      <c r="X105" s="13">
        <v>2.79</v>
      </c>
      <c r="Y105" s="13" t="s">
        <v>147</v>
      </c>
      <c r="Z105" s="13" t="s">
        <v>139</v>
      </c>
      <c r="AA105" s="13" t="s">
        <v>26</v>
      </c>
      <c r="AB105" s="13" t="s">
        <v>144</v>
      </c>
      <c r="AC105" s="13" t="s">
        <v>146</v>
      </c>
      <c r="AD105" s="13" t="s">
        <v>137</v>
      </c>
      <c r="AE105" s="13">
        <f>VLOOKUP(Table2[[#This Row],[3_Elephant_ID]],'[1]Attributes(OUTDATED)'!$A$2:$N$19,12,FALSE)</f>
        <v>289</v>
      </c>
      <c r="AF105" s="13">
        <f>VLOOKUP(Table2[[#This Row],[3_Elephant_ID]],'[1]Attributes(OUTDATED)'!$A$2:$N$19,13,FALSE)</f>
        <v>0.32400000000000001</v>
      </c>
      <c r="AG105" s="13">
        <f>VLOOKUP(Table2[[#This Row],[3_Elephant_ID]],'[1]Attributes(OUTDATED)'!$A$2:$N$19,14,FALSE)</f>
        <v>0.32380809109629533</v>
      </c>
      <c r="AH105" s="13">
        <v>0</v>
      </c>
      <c r="AI105" s="13">
        <v>0</v>
      </c>
      <c r="AJ105" s="13">
        <v>0</v>
      </c>
      <c r="AK105" s="13">
        <v>0</v>
      </c>
      <c r="AL105" s="13">
        <f>VLOOKUP(Table2[[#This Row],[3_Elephant_ID]],'[1]Attributes(OUTDATED)'!$A$2:$P$19,16,FALSE)</f>
        <v>2</v>
      </c>
      <c r="AM105" s="13">
        <f>VLOOKUP(Table2[[#This Row],[3_Elephant_ID]],'[1]Attributes(OUTDATED)'!$A$2:$S$19,17,FALSE)</f>
        <v>9</v>
      </c>
      <c r="AN105" s="13">
        <f>VLOOKUP(Table2[[#This Row],[3_Elephant_ID]],'[1]Attributes(OUTDATED)'!$A$2:$S$19,18,FALSE)</f>
        <v>9</v>
      </c>
    </row>
    <row r="106" spans="1:40" ht="28" x14ac:dyDescent="0.15">
      <c r="A106" s="3">
        <v>170</v>
      </c>
      <c r="B106" s="6">
        <v>2805231103</v>
      </c>
      <c r="C106" s="7">
        <v>28</v>
      </c>
      <c r="D106" s="7">
        <v>5</v>
      </c>
      <c r="E106" s="7">
        <v>2023</v>
      </c>
      <c r="F106" s="5">
        <v>45074</v>
      </c>
      <c r="G106" s="6" t="s">
        <v>15</v>
      </c>
      <c r="H106" s="17">
        <v>0.29660919540229885</v>
      </c>
      <c r="I106" s="20">
        <f>ROUNDUP((Table2[[#This Row],[fGCM_Conc]]*10000),0)</f>
        <v>2967</v>
      </c>
      <c r="J106" s="3" t="str">
        <f>VLOOKUP(G106,'[1]Attributes(OUTDATED)'!$A$2:$C$19,2,FALSE)</f>
        <v>M</v>
      </c>
      <c r="K106" s="3" t="str">
        <f>VLOOKUP(G106,'[1]Attributes(OUTDATED)'!$A$2:$C$19,3,FALSE)</f>
        <v>J</v>
      </c>
      <c r="L106" s="3">
        <f>VLOOKUP(G106,'[1]Attributes(OUTDATED)'!$A$2:$H$19,8,FALSE)</f>
        <v>828</v>
      </c>
      <c r="M106" s="3" t="str">
        <f>K106&amp;J106</f>
        <v>JM</v>
      </c>
      <c r="N106" s="3" t="e">
        <f>VLOOKUP(G106,#REF!,2,FALSE)</f>
        <v>#REF!</v>
      </c>
      <c r="O106" s="11">
        <v>45072</v>
      </c>
      <c r="P106" s="13">
        <v>13.5</v>
      </c>
      <c r="Q106" s="13">
        <v>7.3</v>
      </c>
      <c r="R106" s="13">
        <v>0.9</v>
      </c>
      <c r="S106" s="13">
        <f>Table2[[#This Row],[2_Temp_H]]-Table2[[#This Row],[2_Temp_L]]</f>
        <v>12.6</v>
      </c>
      <c r="T106" s="13">
        <v>32.700000000000003</v>
      </c>
      <c r="U106" s="13">
        <v>6.3</v>
      </c>
      <c r="V106" s="13">
        <v>1014.9</v>
      </c>
      <c r="W106" s="13">
        <v>1008.81</v>
      </c>
      <c r="X106" s="13">
        <v>2.79</v>
      </c>
      <c r="Y106" s="13" t="s">
        <v>147</v>
      </c>
      <c r="Z106" s="13" t="s">
        <v>139</v>
      </c>
      <c r="AA106" s="13" t="s">
        <v>26</v>
      </c>
      <c r="AB106" s="13" t="s">
        <v>144</v>
      </c>
      <c r="AC106" s="13" t="s">
        <v>146</v>
      </c>
      <c r="AD106" s="13" t="s">
        <v>137</v>
      </c>
      <c r="AE106" s="13">
        <f>VLOOKUP(Table2[[#This Row],[3_Elephant_ID]],'[1]Attributes(OUTDATED)'!$A$2:$N$19,12,FALSE)</f>
        <v>219</v>
      </c>
      <c r="AF106" s="13">
        <f>VLOOKUP(Table2[[#This Row],[3_Elephant_ID]],'[1]Attributes(OUTDATED)'!$A$2:$N$19,13,FALSE)</f>
        <v>0.32300000000000001</v>
      </c>
      <c r="AG106" s="13">
        <f>VLOOKUP(Table2[[#This Row],[3_Elephant_ID]],'[1]Attributes(OUTDATED)'!$A$2:$N$19,14,FALSE)</f>
        <v>0.32257531484312868</v>
      </c>
      <c r="AH106" s="13">
        <v>0</v>
      </c>
      <c r="AI106" s="13">
        <v>0</v>
      </c>
      <c r="AJ106" s="13">
        <v>0</v>
      </c>
      <c r="AK106" s="13">
        <v>0</v>
      </c>
      <c r="AL106" s="13">
        <f>VLOOKUP(Table2[[#This Row],[3_Elephant_ID]],'[1]Attributes(OUTDATED)'!$A$2:$P$19,16,FALSE)</f>
        <v>2</v>
      </c>
      <c r="AM106" s="13">
        <f>VLOOKUP(Table2[[#This Row],[3_Elephant_ID]],'[1]Attributes(OUTDATED)'!$A$2:$S$19,17,FALSE)</f>
        <v>1</v>
      </c>
      <c r="AN106" s="13">
        <f>VLOOKUP(Table2[[#This Row],[3_Elephant_ID]],'[1]Attributes(OUTDATED)'!$A$2:$S$19,18,FALSE)</f>
        <v>6</v>
      </c>
    </row>
    <row r="107" spans="1:40" ht="28" x14ac:dyDescent="0.15">
      <c r="A107" s="3">
        <v>172</v>
      </c>
      <c r="B107" s="6">
        <v>2805230858</v>
      </c>
      <c r="C107" s="7">
        <v>28</v>
      </c>
      <c r="D107" s="7">
        <v>5</v>
      </c>
      <c r="E107" s="7">
        <v>2023</v>
      </c>
      <c r="F107" s="5">
        <v>45074</v>
      </c>
      <c r="G107" s="6" t="s">
        <v>7</v>
      </c>
      <c r="H107" s="17">
        <v>0.28318014705882344</v>
      </c>
      <c r="I107" s="20">
        <f>ROUNDUP((Table2[[#This Row],[fGCM_Conc]]*10000),0)</f>
        <v>2832</v>
      </c>
      <c r="J107" s="3" t="str">
        <f>VLOOKUP(G107,'[1]Attributes(OUTDATED)'!$A$2:$C$19,2,FALSE)</f>
        <v>F</v>
      </c>
      <c r="K107" s="3" t="str">
        <f>VLOOKUP(G107,'[1]Attributes(OUTDATED)'!$A$2:$C$19,3,FALSE)</f>
        <v>J</v>
      </c>
      <c r="L107" s="3">
        <f>VLOOKUP(G107,'[1]Attributes(OUTDATED)'!$A$2:$H$19,8,FALSE)</f>
        <v>711</v>
      </c>
      <c r="M107" s="3" t="str">
        <f>K107&amp;J107</f>
        <v>JF</v>
      </c>
      <c r="N107" s="3" t="e">
        <f>VLOOKUP(G107,#REF!,2,FALSE)</f>
        <v>#REF!</v>
      </c>
      <c r="O107" s="11">
        <v>45072</v>
      </c>
      <c r="P107" s="13">
        <v>13.5</v>
      </c>
      <c r="Q107" s="13">
        <v>7.3</v>
      </c>
      <c r="R107" s="13">
        <v>0.9</v>
      </c>
      <c r="S107" s="13">
        <f>Table2[[#This Row],[2_Temp_H]]-Table2[[#This Row],[2_Temp_L]]</f>
        <v>12.6</v>
      </c>
      <c r="T107" s="13">
        <v>32.700000000000003</v>
      </c>
      <c r="U107" s="13">
        <v>6.3</v>
      </c>
      <c r="V107" s="13">
        <v>1014.9</v>
      </c>
      <c r="W107" s="13">
        <v>1008.81</v>
      </c>
      <c r="X107" s="13">
        <v>2.79</v>
      </c>
      <c r="Y107" s="13" t="s">
        <v>147</v>
      </c>
      <c r="Z107" s="13" t="s">
        <v>139</v>
      </c>
      <c r="AA107" s="13" t="s">
        <v>26</v>
      </c>
      <c r="AB107" s="13" t="s">
        <v>144</v>
      </c>
      <c r="AC107" s="13" t="s">
        <v>146</v>
      </c>
      <c r="AD107" s="13" t="s">
        <v>137</v>
      </c>
      <c r="AE107" s="13">
        <f>VLOOKUP(Table2[[#This Row],[3_Elephant_ID]],'[1]Attributes(OUTDATED)'!$A$2:$N$19,12,FALSE)</f>
        <v>398</v>
      </c>
      <c r="AF107" s="13">
        <f>VLOOKUP(Table2[[#This Row],[3_Elephant_ID]],'[1]Attributes(OUTDATED)'!$A$2:$N$19,13,FALSE)</f>
        <v>0.47899999999999998</v>
      </c>
      <c r="AG107" s="13">
        <f>VLOOKUP(Table2[[#This Row],[3_Elephant_ID]],'[1]Attributes(OUTDATED)'!$A$2:$N$19,14,FALSE)</f>
        <v>0.47820662037086947</v>
      </c>
      <c r="AH107" s="13">
        <v>0</v>
      </c>
      <c r="AI107" s="13">
        <v>0</v>
      </c>
      <c r="AJ107" s="13">
        <v>0</v>
      </c>
      <c r="AK107" s="13">
        <v>0</v>
      </c>
      <c r="AL107" s="13">
        <f>VLOOKUP(Table2[[#This Row],[3_Elephant_ID]],'[1]Attributes(OUTDATED)'!$A$2:$P$19,16,FALSE)</f>
        <v>1</v>
      </c>
      <c r="AM107" s="13">
        <f>VLOOKUP(Table2[[#This Row],[3_Elephant_ID]],'[1]Attributes(OUTDATED)'!$A$2:$S$19,17,FALSE)</f>
        <v>0</v>
      </c>
      <c r="AN107" s="13">
        <f>VLOOKUP(Table2[[#This Row],[3_Elephant_ID]],'[1]Attributes(OUTDATED)'!$A$2:$S$19,18,FALSE)</f>
        <v>12</v>
      </c>
    </row>
    <row r="108" spans="1:40" ht="28" x14ac:dyDescent="0.15">
      <c r="A108" s="3">
        <v>166</v>
      </c>
      <c r="B108" s="6" t="s">
        <v>79</v>
      </c>
      <c r="C108" s="7">
        <v>1</v>
      </c>
      <c r="D108" s="7">
        <v>6</v>
      </c>
      <c r="E108" s="7">
        <v>2023</v>
      </c>
      <c r="F108" s="5">
        <v>45078</v>
      </c>
      <c r="G108" s="6" t="s">
        <v>11</v>
      </c>
      <c r="H108" s="17">
        <v>0.44108737864077668</v>
      </c>
      <c r="I108" s="20">
        <f>ROUNDUP((Table2[[#This Row],[fGCM_Conc]]*10000),0)</f>
        <v>4411</v>
      </c>
      <c r="J108" s="3" t="str">
        <f>VLOOKUP(G108,'[1]Attributes(OUTDATED)'!$A$2:$C$19,2,FALSE)</f>
        <v>M</v>
      </c>
      <c r="K108" s="3" t="str">
        <f>VLOOKUP(G108,'[1]Attributes(OUTDATED)'!$A$2:$C$19,3,FALSE)</f>
        <v>A</v>
      </c>
      <c r="L108" s="3">
        <f>VLOOKUP(G108,'[1]Attributes(OUTDATED)'!$A$2:$H$19,8,FALSE)</f>
        <v>1223</v>
      </c>
      <c r="M108" s="3" t="str">
        <f>K108&amp;J108</f>
        <v>AM</v>
      </c>
      <c r="N108" s="3" t="e">
        <f>VLOOKUP(G108,#REF!,2,FALSE)</f>
        <v>#REF!</v>
      </c>
      <c r="O108" s="11">
        <v>45076</v>
      </c>
      <c r="P108" s="13">
        <v>17.7</v>
      </c>
      <c r="Q108" s="13">
        <v>11.9</v>
      </c>
      <c r="R108" s="13">
        <v>6.5</v>
      </c>
      <c r="S108" s="13">
        <f>Table2[[#This Row],[2_Temp_H]]-Table2[[#This Row],[2_Temp_L]]</f>
        <v>11.2</v>
      </c>
      <c r="T108" s="13">
        <v>41</v>
      </c>
      <c r="U108" s="13">
        <v>6.5</v>
      </c>
      <c r="V108" s="13">
        <v>1011.85</v>
      </c>
      <c r="W108" s="13">
        <v>1007.79</v>
      </c>
      <c r="X108" s="13">
        <v>30.23</v>
      </c>
      <c r="Y108" s="13" t="s">
        <v>147</v>
      </c>
      <c r="Z108" s="16" t="s">
        <v>171</v>
      </c>
      <c r="AA108" s="13" t="s">
        <v>137</v>
      </c>
      <c r="AB108" s="13" t="s">
        <v>144</v>
      </c>
      <c r="AC108" s="13" t="s">
        <v>146</v>
      </c>
      <c r="AD108" s="13" t="s">
        <v>137</v>
      </c>
      <c r="AE108" s="13">
        <f>VLOOKUP(Table2[[#This Row],[3_Elephant_ID]],'[1]Attributes(OUTDATED)'!$A$2:$N$19,12,FALSE)</f>
        <v>404</v>
      </c>
      <c r="AF108" s="13">
        <f>VLOOKUP(Table2[[#This Row],[3_Elephant_ID]],'[1]Attributes(OUTDATED)'!$A$2:$N$19,13,FALSE)</f>
        <v>0.91700000000000004</v>
      </c>
      <c r="AG108" s="13">
        <f>VLOOKUP(Table2[[#This Row],[3_Elephant_ID]],'[1]Attributes(OUTDATED)'!$A$2:$N$19,14,FALSE)</f>
        <v>0.91664628583929353</v>
      </c>
      <c r="AH108" s="13">
        <v>0</v>
      </c>
      <c r="AI108" s="13">
        <v>0</v>
      </c>
      <c r="AJ108" s="13">
        <v>0</v>
      </c>
      <c r="AK108" s="13">
        <v>0</v>
      </c>
      <c r="AL108" s="13">
        <f>VLOOKUP(Table2[[#This Row],[3_Elephant_ID]],'[1]Attributes(OUTDATED)'!$A$2:$P$19,16,FALSE)</f>
        <v>1</v>
      </c>
      <c r="AM108" s="13">
        <f>VLOOKUP(Table2[[#This Row],[3_Elephant_ID]],'[1]Attributes(OUTDATED)'!$A$2:$S$19,17,FALSE)</f>
        <v>14</v>
      </c>
      <c r="AN108" s="13">
        <f>VLOOKUP(Table2[[#This Row],[3_Elephant_ID]],'[1]Attributes(OUTDATED)'!$A$2:$S$19,18,FALSE)</f>
        <v>17</v>
      </c>
    </row>
    <row r="109" spans="1:40" ht="28" x14ac:dyDescent="0.15">
      <c r="A109" s="3">
        <v>165</v>
      </c>
      <c r="B109" s="6" t="s">
        <v>78</v>
      </c>
      <c r="C109" s="7">
        <v>1</v>
      </c>
      <c r="D109" s="7">
        <v>6</v>
      </c>
      <c r="E109" s="7">
        <v>2023</v>
      </c>
      <c r="F109" s="5">
        <v>45078</v>
      </c>
      <c r="G109" s="6" t="s">
        <v>3</v>
      </c>
      <c r="H109" s="17">
        <v>0.41218348623853218</v>
      </c>
      <c r="I109" s="20">
        <f>ROUNDUP((Table2[[#This Row],[fGCM_Conc]]*10000),0)</f>
        <v>4122</v>
      </c>
      <c r="J109" s="3" t="str">
        <f>VLOOKUP(G109,'[1]Attributes(OUTDATED)'!$A$2:$C$19,2,FALSE)</f>
        <v>M</v>
      </c>
      <c r="K109" s="3" t="str">
        <f>VLOOKUP(G109,'[1]Attributes(OUTDATED)'!$A$2:$C$19,3,FALSE)</f>
        <v>J</v>
      </c>
      <c r="L109" s="3">
        <f>VLOOKUP(G109,'[1]Attributes(OUTDATED)'!$A$2:$H$19,8,FALSE)</f>
        <v>1031</v>
      </c>
      <c r="M109" s="3" t="str">
        <f>K109&amp;J109</f>
        <v>JM</v>
      </c>
      <c r="N109" s="3" t="e">
        <f>VLOOKUP(G109,#REF!,2,FALSE)</f>
        <v>#REF!</v>
      </c>
      <c r="O109" s="11">
        <v>45076</v>
      </c>
      <c r="P109" s="13">
        <v>17.7</v>
      </c>
      <c r="Q109" s="13">
        <v>11.9</v>
      </c>
      <c r="R109" s="13">
        <v>6.5</v>
      </c>
      <c r="S109" s="13">
        <f>Table2[[#This Row],[2_Temp_H]]-Table2[[#This Row],[2_Temp_L]]</f>
        <v>11.2</v>
      </c>
      <c r="T109" s="13">
        <v>41</v>
      </c>
      <c r="U109" s="13">
        <v>6.5</v>
      </c>
      <c r="V109" s="13">
        <v>1011.85</v>
      </c>
      <c r="W109" s="13">
        <v>1007.79</v>
      </c>
      <c r="X109" s="13">
        <v>30.23</v>
      </c>
      <c r="Y109" s="13" t="s">
        <v>147</v>
      </c>
      <c r="Z109" s="16" t="s">
        <v>171</v>
      </c>
      <c r="AA109" s="13" t="s">
        <v>137</v>
      </c>
      <c r="AB109" s="13" t="s">
        <v>144</v>
      </c>
      <c r="AC109" s="13" t="s">
        <v>146</v>
      </c>
      <c r="AD109" s="13" t="s">
        <v>137</v>
      </c>
      <c r="AE109" s="13">
        <f>VLOOKUP(Table2[[#This Row],[3_Elephant_ID]],'[1]Attributes(OUTDATED)'!$A$2:$N$19,12,FALSE)</f>
        <v>234</v>
      </c>
      <c r="AF109" s="13">
        <f>VLOOKUP(Table2[[#This Row],[3_Elephant_ID]],'[1]Attributes(OUTDATED)'!$A$2:$N$19,13,FALSE)</f>
        <v>0.16500000000000001</v>
      </c>
      <c r="AG109" s="13">
        <f>VLOOKUP(Table2[[#This Row],[3_Elephant_ID]],'[1]Attributes(OUTDATED)'!$A$2:$N$19,14,FALSE)</f>
        <v>0.16420161303383449</v>
      </c>
      <c r="AH109" s="13">
        <v>0</v>
      </c>
      <c r="AI109" s="13">
        <v>0</v>
      </c>
      <c r="AJ109" s="13">
        <v>0</v>
      </c>
      <c r="AK109" s="13">
        <v>0</v>
      </c>
      <c r="AL109" s="13">
        <f>VLOOKUP(Table2[[#This Row],[3_Elephant_ID]],'[1]Attributes(OUTDATED)'!$A$2:$P$19,16,FALSE)</f>
        <v>1</v>
      </c>
      <c r="AM109" s="13">
        <f>VLOOKUP(Table2[[#This Row],[3_Elephant_ID]],'[1]Attributes(OUTDATED)'!$A$2:$S$19,17,FALSE)</f>
        <v>9</v>
      </c>
      <c r="AN109" s="13">
        <f>VLOOKUP(Table2[[#This Row],[3_Elephant_ID]],'[1]Attributes(OUTDATED)'!$A$2:$S$19,18,FALSE)</f>
        <v>9</v>
      </c>
    </row>
    <row r="110" spans="1:40" ht="28" x14ac:dyDescent="0.15">
      <c r="A110" s="3">
        <v>164</v>
      </c>
      <c r="B110" s="6" t="s">
        <v>77</v>
      </c>
      <c r="C110" s="7">
        <v>2</v>
      </c>
      <c r="D110" s="7">
        <v>6</v>
      </c>
      <c r="E110" s="7">
        <v>2023</v>
      </c>
      <c r="F110" s="5">
        <v>45079</v>
      </c>
      <c r="G110" s="6" t="s">
        <v>14</v>
      </c>
      <c r="H110" s="17">
        <v>0.43198852772466539</v>
      </c>
      <c r="I110" s="20">
        <f>ROUNDUP((Table2[[#This Row],[fGCM_Conc]]*10000),0)</f>
        <v>4320</v>
      </c>
      <c r="J110" s="3" t="str">
        <f>VLOOKUP(G110,'[1]Attributes(OUTDATED)'!$A$2:$C$19,2,FALSE)</f>
        <v>F</v>
      </c>
      <c r="K110" s="3" t="str">
        <f>VLOOKUP(G110,'[1]Attributes(OUTDATED)'!$A$2:$C$19,3,FALSE)</f>
        <v>J</v>
      </c>
      <c r="L110" s="3">
        <f>VLOOKUP(G110,'[1]Attributes(OUTDATED)'!$A$2:$H$19,8,FALSE)</f>
        <v>879</v>
      </c>
      <c r="M110" s="3" t="str">
        <f>K110&amp;J110</f>
        <v>JF</v>
      </c>
      <c r="N110" s="3" t="e">
        <f>VLOOKUP(G110,#REF!,2,FALSE)</f>
        <v>#REF!</v>
      </c>
      <c r="O110" s="11">
        <v>45077</v>
      </c>
      <c r="P110" s="13">
        <v>14.1</v>
      </c>
      <c r="Q110" s="13">
        <v>8.8000000000000007</v>
      </c>
      <c r="R110" s="13">
        <v>2.7</v>
      </c>
      <c r="S110" s="13">
        <f>Table2[[#This Row],[2_Temp_H]]-Table2[[#This Row],[2_Temp_L]]</f>
        <v>11.399999999999999</v>
      </c>
      <c r="T110" s="13">
        <v>20.8</v>
      </c>
      <c r="U110" s="13">
        <v>2.2000000000000002</v>
      </c>
      <c r="V110" s="13">
        <v>1013.88</v>
      </c>
      <c r="W110" s="13">
        <v>1010.84</v>
      </c>
      <c r="X110" s="13">
        <v>0</v>
      </c>
      <c r="Y110" s="13" t="s">
        <v>147</v>
      </c>
      <c r="Z110" s="16" t="s">
        <v>171</v>
      </c>
      <c r="AA110" s="13" t="s">
        <v>137</v>
      </c>
      <c r="AB110" s="13" t="s">
        <v>144</v>
      </c>
      <c r="AC110" s="13" t="s">
        <v>146</v>
      </c>
      <c r="AD110" s="13" t="s">
        <v>137</v>
      </c>
      <c r="AE110" s="13">
        <f>VLOOKUP(Table2[[#This Row],[3_Elephant_ID]],'[1]Attributes(OUTDATED)'!$A$2:$N$19,12,FALSE)</f>
        <v>269</v>
      </c>
      <c r="AF110" s="13">
        <f>VLOOKUP(Table2[[#This Row],[3_Elephant_ID]],'[1]Attributes(OUTDATED)'!$A$2:$N$19,13,FALSE)</f>
        <v>0.65800000000000003</v>
      </c>
      <c r="AG110" s="13">
        <f>VLOOKUP(Table2[[#This Row],[3_Elephant_ID]],'[1]Attributes(OUTDATED)'!$A$2:$N$19,14,FALSE)</f>
        <v>0.65767064449315993</v>
      </c>
      <c r="AH110" s="13">
        <v>0</v>
      </c>
      <c r="AI110" s="13">
        <v>0</v>
      </c>
      <c r="AJ110" s="13">
        <v>0</v>
      </c>
      <c r="AK110" s="13">
        <v>0</v>
      </c>
      <c r="AL110" s="13">
        <f>VLOOKUP(Table2[[#This Row],[3_Elephant_ID]],'[1]Attributes(OUTDATED)'!$A$2:$P$19,16,FALSE)</f>
        <v>1</v>
      </c>
      <c r="AM110" s="13">
        <f>VLOOKUP(Table2[[#This Row],[3_Elephant_ID]],'[1]Attributes(OUTDATED)'!$A$2:$S$19,17,FALSE)</f>
        <v>3</v>
      </c>
      <c r="AN110" s="13">
        <f>VLOOKUP(Table2[[#This Row],[3_Elephant_ID]],'[1]Attributes(OUTDATED)'!$A$2:$S$19,18,FALSE)</f>
        <v>9</v>
      </c>
    </row>
    <row r="111" spans="1:40" ht="28" x14ac:dyDescent="0.15">
      <c r="A111" s="3">
        <v>162</v>
      </c>
      <c r="B111" s="6" t="s">
        <v>75</v>
      </c>
      <c r="C111" s="7">
        <v>5</v>
      </c>
      <c r="D111" s="7">
        <v>6</v>
      </c>
      <c r="E111" s="7">
        <v>2023</v>
      </c>
      <c r="F111" s="5">
        <v>45082</v>
      </c>
      <c r="G111" s="6" t="s">
        <v>2</v>
      </c>
      <c r="H111" s="17">
        <v>0.39080769230769224</v>
      </c>
      <c r="I111" s="20">
        <f>ROUNDUP((Table2[[#This Row],[fGCM_Conc]]*10000),0)</f>
        <v>3909</v>
      </c>
      <c r="J111" s="3" t="str">
        <f>VLOOKUP(G111,'[1]Attributes(OUTDATED)'!$A$2:$C$19,2,FALSE)</f>
        <v>F</v>
      </c>
      <c r="K111" s="3" t="str">
        <f>VLOOKUP(G111,'[1]Attributes(OUTDATED)'!$A$2:$C$19,3,FALSE)</f>
        <v>A</v>
      </c>
      <c r="L111" s="3">
        <f>VLOOKUP(G111,'[1]Attributes(OUTDATED)'!$A$2:$H$19,8,FALSE)</f>
        <v>892</v>
      </c>
      <c r="M111" s="3" t="str">
        <f>K111&amp;J111</f>
        <v>AF</v>
      </c>
      <c r="N111" s="3" t="e">
        <f>VLOOKUP(G111,#REF!,2,FALSE)</f>
        <v>#REF!</v>
      </c>
      <c r="O111" s="11">
        <v>45080</v>
      </c>
      <c r="P111" s="13">
        <v>20.399999999999999</v>
      </c>
      <c r="Q111" s="13">
        <v>16</v>
      </c>
      <c r="R111" s="13">
        <v>8.9</v>
      </c>
      <c r="S111" s="13">
        <f>Table2[[#This Row],[2_Temp_H]]-Table2[[#This Row],[2_Temp_L]]</f>
        <v>11.499999999999998</v>
      </c>
      <c r="T111" s="13">
        <v>52.1</v>
      </c>
      <c r="U111" s="13">
        <v>12.3</v>
      </c>
      <c r="V111" s="13">
        <v>1008.81</v>
      </c>
      <c r="W111" s="13">
        <v>1003.05</v>
      </c>
      <c r="X111" s="13">
        <v>0.76</v>
      </c>
      <c r="Y111" s="13" t="s">
        <v>147</v>
      </c>
      <c r="Z111" s="13" t="s">
        <v>139</v>
      </c>
      <c r="AA111" s="13" t="s">
        <v>26</v>
      </c>
      <c r="AB111" s="13" t="s">
        <v>144</v>
      </c>
      <c r="AC111" s="13" t="s">
        <v>146</v>
      </c>
      <c r="AD111" s="13" t="s">
        <v>137</v>
      </c>
      <c r="AE111" s="13">
        <f>VLOOKUP(Table2[[#This Row],[3_Elephant_ID]],'[1]Attributes(OUTDATED)'!$A$2:$N$19,12,FALSE)</f>
        <v>378</v>
      </c>
      <c r="AF111" s="13">
        <f>VLOOKUP(Table2[[#This Row],[3_Elephant_ID]],'[1]Attributes(OUTDATED)'!$A$2:$N$19,13,FALSE)</f>
        <v>8.6999999999999994E-2</v>
      </c>
      <c r="AG111" s="13">
        <f>VLOOKUP(Table2[[#This Row],[3_Elephant_ID]],'[1]Attributes(OUTDATED)'!$A$2:$N$19,14,FALSE)</f>
        <v>8.6599138783086713E-2</v>
      </c>
      <c r="AH111" s="13">
        <v>0</v>
      </c>
      <c r="AI111" s="13">
        <v>0</v>
      </c>
      <c r="AJ111" s="13">
        <v>0</v>
      </c>
      <c r="AK111" s="13">
        <v>0</v>
      </c>
      <c r="AL111" s="13">
        <f>VLOOKUP(Table2[[#This Row],[3_Elephant_ID]],'[1]Attributes(OUTDATED)'!$A$2:$P$19,16,FALSE)</f>
        <v>1</v>
      </c>
      <c r="AM111" s="13">
        <f>VLOOKUP(Table2[[#This Row],[3_Elephant_ID]],'[1]Attributes(OUTDATED)'!$A$2:$S$19,17,FALSE)</f>
        <v>4</v>
      </c>
      <c r="AN111" s="13">
        <f>VLOOKUP(Table2[[#This Row],[3_Elephant_ID]],'[1]Attributes(OUTDATED)'!$A$2:$S$19,18,FALSE)</f>
        <v>20</v>
      </c>
    </row>
    <row r="112" spans="1:40" ht="28" x14ac:dyDescent="0.15">
      <c r="A112" s="3">
        <v>160</v>
      </c>
      <c r="B112" s="6" t="s">
        <v>73</v>
      </c>
      <c r="C112" s="7">
        <v>5</v>
      </c>
      <c r="D112" s="7">
        <v>6</v>
      </c>
      <c r="E112" s="7">
        <v>2023</v>
      </c>
      <c r="F112" s="5">
        <v>45082</v>
      </c>
      <c r="G112" s="6" t="s">
        <v>10</v>
      </c>
      <c r="H112" s="17">
        <v>0.33726256983240227</v>
      </c>
      <c r="I112" s="20">
        <f>ROUNDUP((Table2[[#This Row],[fGCM_Conc]]*10000),0)</f>
        <v>3373</v>
      </c>
      <c r="J112" s="3" t="str">
        <f>VLOOKUP(G112,'[1]Attributes(OUTDATED)'!$A$2:$C$19,2,FALSE)</f>
        <v>F</v>
      </c>
      <c r="K112" s="3" t="str">
        <f>VLOOKUP(G112,'[1]Attributes(OUTDATED)'!$A$2:$C$19,3,FALSE)</f>
        <v>A</v>
      </c>
      <c r="L112" s="3">
        <f>VLOOKUP(G112,'[1]Attributes(OUTDATED)'!$A$2:$H$19,8,FALSE)</f>
        <v>1146</v>
      </c>
      <c r="M112" s="3" t="str">
        <f>K112&amp;J112</f>
        <v>AF</v>
      </c>
      <c r="N112" s="3" t="e">
        <f>VLOOKUP(G112,#REF!,2,FALSE)</f>
        <v>#REF!</v>
      </c>
      <c r="O112" s="11">
        <v>45080</v>
      </c>
      <c r="P112" s="13">
        <v>20.399999999999999</v>
      </c>
      <c r="Q112" s="13">
        <v>16</v>
      </c>
      <c r="R112" s="13">
        <v>8.9</v>
      </c>
      <c r="S112" s="13">
        <f>Table2[[#This Row],[2_Temp_H]]-Table2[[#This Row],[2_Temp_L]]</f>
        <v>11.499999999999998</v>
      </c>
      <c r="T112" s="13">
        <v>52.1</v>
      </c>
      <c r="U112" s="13">
        <v>12.3</v>
      </c>
      <c r="V112" s="13">
        <v>1008.81</v>
      </c>
      <c r="W112" s="13">
        <v>1003.05</v>
      </c>
      <c r="X112" s="13">
        <v>0.76</v>
      </c>
      <c r="Y112" s="13" t="s">
        <v>147</v>
      </c>
      <c r="Z112" s="13" t="s">
        <v>139</v>
      </c>
      <c r="AA112" s="13" t="s">
        <v>26</v>
      </c>
      <c r="AB112" s="13" t="s">
        <v>144</v>
      </c>
      <c r="AC112" s="13" t="s">
        <v>146</v>
      </c>
      <c r="AD112" s="13" t="s">
        <v>137</v>
      </c>
      <c r="AE112" s="13">
        <f>VLOOKUP(Table2[[#This Row],[3_Elephant_ID]],'[1]Attributes(OUTDATED)'!$A$2:$N$19,12,FALSE)</f>
        <v>424</v>
      </c>
      <c r="AF112" s="13">
        <f>VLOOKUP(Table2[[#This Row],[3_Elephant_ID]],'[1]Attributes(OUTDATED)'!$A$2:$N$19,13,FALSE)</f>
        <v>0.10299999999999999</v>
      </c>
      <c r="AG112" s="13">
        <f>VLOOKUP(Table2[[#This Row],[3_Elephant_ID]],'[1]Attributes(OUTDATED)'!$A$2:$N$19,14,FALSE)</f>
        <v>0.10282190709599449</v>
      </c>
      <c r="AH112" s="13">
        <v>0</v>
      </c>
      <c r="AI112" s="13">
        <v>0</v>
      </c>
      <c r="AJ112" s="13">
        <v>0</v>
      </c>
      <c r="AK112" s="13">
        <v>0</v>
      </c>
      <c r="AL112" s="13">
        <f>VLOOKUP(Table2[[#This Row],[3_Elephant_ID]],'[1]Attributes(OUTDATED)'!$A$2:$P$19,16,FALSE)</f>
        <v>1</v>
      </c>
      <c r="AM112" s="13">
        <f>VLOOKUP(Table2[[#This Row],[3_Elephant_ID]],'[1]Attributes(OUTDATED)'!$A$2:$S$19,17,FALSE)</f>
        <v>9</v>
      </c>
      <c r="AN112" s="13">
        <f>VLOOKUP(Table2[[#This Row],[3_Elephant_ID]],'[1]Attributes(OUTDATED)'!$A$2:$S$19,18,FALSE)</f>
        <v>8</v>
      </c>
    </row>
    <row r="113" spans="1:40" ht="28" x14ac:dyDescent="0.15">
      <c r="A113" s="3">
        <v>161</v>
      </c>
      <c r="B113" s="6" t="s">
        <v>74</v>
      </c>
      <c r="C113" s="7">
        <v>5</v>
      </c>
      <c r="D113" s="7">
        <v>6</v>
      </c>
      <c r="E113" s="7">
        <v>2023</v>
      </c>
      <c r="F113" s="5">
        <v>45082</v>
      </c>
      <c r="G113" s="6" t="s">
        <v>9</v>
      </c>
      <c r="H113" s="17">
        <v>0.31813186813186811</v>
      </c>
      <c r="I113" s="20">
        <f>ROUNDUP((Table2[[#This Row],[fGCM_Conc]]*10000),0)</f>
        <v>3182</v>
      </c>
      <c r="J113" s="3" t="str">
        <f>VLOOKUP(G113,'[1]Attributes(OUTDATED)'!$A$2:$C$19,2,FALSE)</f>
        <v>F</v>
      </c>
      <c r="K113" s="3" t="str">
        <f>VLOOKUP(G113,'[1]Attributes(OUTDATED)'!$A$2:$C$19,3,FALSE)</f>
        <v>J</v>
      </c>
      <c r="L113" s="3">
        <f>VLOOKUP(G113,'[1]Attributes(OUTDATED)'!$A$2:$H$19,8,FALSE)</f>
        <v>820</v>
      </c>
      <c r="M113" s="3" t="str">
        <f>K113&amp;J113</f>
        <v>JF</v>
      </c>
      <c r="N113" s="3" t="e">
        <f>VLOOKUP(G113,#REF!,2,FALSE)</f>
        <v>#REF!</v>
      </c>
      <c r="O113" s="11">
        <v>45080</v>
      </c>
      <c r="P113" s="13">
        <v>20.399999999999999</v>
      </c>
      <c r="Q113" s="13">
        <v>16</v>
      </c>
      <c r="R113" s="13">
        <v>8.9</v>
      </c>
      <c r="S113" s="13">
        <f>Table2[[#This Row],[2_Temp_H]]-Table2[[#This Row],[2_Temp_L]]</f>
        <v>11.499999999999998</v>
      </c>
      <c r="T113" s="13">
        <v>52.1</v>
      </c>
      <c r="U113" s="13">
        <v>12.3</v>
      </c>
      <c r="V113" s="13">
        <v>1008.81</v>
      </c>
      <c r="W113" s="13">
        <v>1003.05</v>
      </c>
      <c r="X113" s="13">
        <v>0.76</v>
      </c>
      <c r="Y113" s="13" t="s">
        <v>147</v>
      </c>
      <c r="Z113" s="13" t="s">
        <v>139</v>
      </c>
      <c r="AA113" s="13" t="s">
        <v>26</v>
      </c>
      <c r="AB113" s="13" t="s">
        <v>144</v>
      </c>
      <c r="AC113" s="13" t="s">
        <v>146</v>
      </c>
      <c r="AD113" s="13" t="s">
        <v>137</v>
      </c>
      <c r="AE113" s="13">
        <f>VLOOKUP(Table2[[#This Row],[3_Elephant_ID]],'[1]Attributes(OUTDATED)'!$A$2:$N$19,12,FALSE)</f>
        <v>305</v>
      </c>
      <c r="AF113" s="13">
        <f>VLOOKUP(Table2[[#This Row],[3_Elephant_ID]],'[1]Attributes(OUTDATED)'!$A$2:$N$19,13,FALSE)</f>
        <v>0.17499999999999999</v>
      </c>
      <c r="AG113" s="13">
        <f>VLOOKUP(Table2[[#This Row],[3_Elephant_ID]],'[1]Attributes(OUTDATED)'!$A$2:$N$19,14,FALSE)</f>
        <v>0.17467336145108631</v>
      </c>
      <c r="AH113" s="13">
        <v>0</v>
      </c>
      <c r="AI113" s="13">
        <v>0</v>
      </c>
      <c r="AJ113" s="13">
        <v>0</v>
      </c>
      <c r="AK113" s="13">
        <v>0</v>
      </c>
      <c r="AL113" s="13">
        <f>VLOOKUP(Table2[[#This Row],[3_Elephant_ID]],'[1]Attributes(OUTDATED)'!$A$2:$P$19,16,FALSE)</f>
        <v>2</v>
      </c>
      <c r="AM113" s="13">
        <f>VLOOKUP(Table2[[#This Row],[3_Elephant_ID]],'[1]Attributes(OUTDATED)'!$A$2:$S$19,17,FALSE)</f>
        <v>0</v>
      </c>
      <c r="AN113" s="13">
        <f>VLOOKUP(Table2[[#This Row],[3_Elephant_ID]],'[1]Attributes(OUTDATED)'!$A$2:$S$19,18,FALSE)</f>
        <v>4</v>
      </c>
    </row>
    <row r="114" spans="1:40" ht="28" x14ac:dyDescent="0.15">
      <c r="A114" s="3">
        <v>163</v>
      </c>
      <c r="B114" s="6" t="s">
        <v>76</v>
      </c>
      <c r="C114" s="7">
        <v>5</v>
      </c>
      <c r="D114" s="7">
        <v>6</v>
      </c>
      <c r="E114" s="7">
        <v>2023</v>
      </c>
      <c r="F114" s="5">
        <v>45082</v>
      </c>
      <c r="G114" s="6" t="s">
        <v>3</v>
      </c>
      <c r="H114" s="17">
        <v>0.26359168241965969</v>
      </c>
      <c r="I114" s="20">
        <f>ROUNDUP((Table2[[#This Row],[fGCM_Conc]]*10000),0)</f>
        <v>2636</v>
      </c>
      <c r="J114" s="3" t="str">
        <f>VLOOKUP(G114,'[1]Attributes(OUTDATED)'!$A$2:$C$19,2,FALSE)</f>
        <v>M</v>
      </c>
      <c r="K114" s="3" t="str">
        <f>VLOOKUP(G114,'[1]Attributes(OUTDATED)'!$A$2:$C$19,3,FALSE)</f>
        <v>J</v>
      </c>
      <c r="L114" s="3">
        <f>VLOOKUP(G114,'[1]Attributes(OUTDATED)'!$A$2:$H$19,8,FALSE)</f>
        <v>1031</v>
      </c>
      <c r="M114" s="3" t="str">
        <f>K114&amp;J114</f>
        <v>JM</v>
      </c>
      <c r="N114" s="3" t="e">
        <f>VLOOKUP(G114,#REF!,2,FALSE)</f>
        <v>#REF!</v>
      </c>
      <c r="O114" s="11">
        <v>45080</v>
      </c>
      <c r="P114" s="13">
        <v>20.399999999999999</v>
      </c>
      <c r="Q114" s="13">
        <v>16</v>
      </c>
      <c r="R114" s="13">
        <v>8.9</v>
      </c>
      <c r="S114" s="13">
        <f>Table2[[#This Row],[2_Temp_H]]-Table2[[#This Row],[2_Temp_L]]</f>
        <v>11.499999999999998</v>
      </c>
      <c r="T114" s="13">
        <v>52.1</v>
      </c>
      <c r="U114" s="13">
        <v>12.3</v>
      </c>
      <c r="V114" s="13">
        <v>1008.81</v>
      </c>
      <c r="W114" s="13">
        <v>1003.05</v>
      </c>
      <c r="X114" s="13">
        <v>0.76</v>
      </c>
      <c r="Y114" s="13" t="s">
        <v>147</v>
      </c>
      <c r="Z114" s="13" t="s">
        <v>139</v>
      </c>
      <c r="AA114" s="13" t="s">
        <v>26</v>
      </c>
      <c r="AB114" s="13" t="s">
        <v>144</v>
      </c>
      <c r="AC114" s="13" t="s">
        <v>146</v>
      </c>
      <c r="AD114" s="13" t="s">
        <v>137</v>
      </c>
      <c r="AE114" s="13">
        <f>VLOOKUP(Table2[[#This Row],[3_Elephant_ID]],'[1]Attributes(OUTDATED)'!$A$2:$N$19,12,FALSE)</f>
        <v>234</v>
      </c>
      <c r="AF114" s="13">
        <f>VLOOKUP(Table2[[#This Row],[3_Elephant_ID]],'[1]Attributes(OUTDATED)'!$A$2:$N$19,13,FALSE)</f>
        <v>0.16500000000000001</v>
      </c>
      <c r="AG114" s="13">
        <f>VLOOKUP(Table2[[#This Row],[3_Elephant_ID]],'[1]Attributes(OUTDATED)'!$A$2:$N$19,14,FALSE)</f>
        <v>0.16420161303383449</v>
      </c>
      <c r="AH114" s="13">
        <v>0</v>
      </c>
      <c r="AI114" s="13">
        <v>0</v>
      </c>
      <c r="AJ114" s="13">
        <v>0</v>
      </c>
      <c r="AK114" s="13">
        <v>0</v>
      </c>
      <c r="AL114" s="13">
        <f>VLOOKUP(Table2[[#This Row],[3_Elephant_ID]],'[1]Attributes(OUTDATED)'!$A$2:$P$19,16,FALSE)</f>
        <v>1</v>
      </c>
      <c r="AM114" s="13">
        <f>VLOOKUP(Table2[[#This Row],[3_Elephant_ID]],'[1]Attributes(OUTDATED)'!$A$2:$S$19,17,FALSE)</f>
        <v>9</v>
      </c>
      <c r="AN114" s="13">
        <f>VLOOKUP(Table2[[#This Row],[3_Elephant_ID]],'[1]Attributes(OUTDATED)'!$A$2:$S$19,18,FALSE)</f>
        <v>9</v>
      </c>
    </row>
    <row r="115" spans="1:40" ht="28" x14ac:dyDescent="0.15">
      <c r="A115" s="3">
        <v>158</v>
      </c>
      <c r="B115" s="6" t="s">
        <v>71</v>
      </c>
      <c r="C115" s="7">
        <v>6</v>
      </c>
      <c r="D115" s="7">
        <v>6</v>
      </c>
      <c r="E115" s="7">
        <v>2023</v>
      </c>
      <c r="F115" s="5">
        <v>45083</v>
      </c>
      <c r="G115" s="6" t="s">
        <v>8</v>
      </c>
      <c r="H115" s="17">
        <v>0.51823863636363632</v>
      </c>
      <c r="I115" s="20">
        <f>ROUNDUP((Table2[[#This Row],[fGCM_Conc]]*10000),0)</f>
        <v>5183</v>
      </c>
      <c r="J115" s="3" t="str">
        <f>VLOOKUP(G115,'[1]Attributes(OUTDATED)'!$A$2:$C$19,2,FALSE)</f>
        <v>F</v>
      </c>
      <c r="K115" s="3" t="str">
        <f>VLOOKUP(G115,'[1]Attributes(OUTDATED)'!$A$2:$C$19,3,FALSE)</f>
        <v>A</v>
      </c>
      <c r="L115" s="3">
        <f>VLOOKUP(G115,'[1]Attributes(OUTDATED)'!$A$2:$H$19,8,FALSE)</f>
        <v>1096</v>
      </c>
      <c r="M115" s="3" t="str">
        <f>K115&amp;J115</f>
        <v>AF</v>
      </c>
      <c r="N115" s="3" t="e">
        <f>VLOOKUP(G115,#REF!,2,FALSE)</f>
        <v>#REF!</v>
      </c>
      <c r="O115" s="11">
        <v>45081</v>
      </c>
      <c r="P115" s="13">
        <v>10.8</v>
      </c>
      <c r="Q115" s="13">
        <v>7.7</v>
      </c>
      <c r="R115" s="13">
        <v>5.9</v>
      </c>
      <c r="S115" s="13">
        <f>Table2[[#This Row],[2_Temp_H]]-Table2[[#This Row],[2_Temp_L]]</f>
        <v>4.9000000000000004</v>
      </c>
      <c r="T115" s="13">
        <v>21.1</v>
      </c>
      <c r="U115" s="13">
        <v>2</v>
      </c>
      <c r="V115" s="13">
        <v>1008.81</v>
      </c>
      <c r="W115" s="13">
        <v>1007.79</v>
      </c>
      <c r="X115" s="13">
        <v>0</v>
      </c>
      <c r="Y115" s="13" t="s">
        <v>147</v>
      </c>
      <c r="Z115" s="13" t="s">
        <v>139</v>
      </c>
      <c r="AA115" s="13" t="s">
        <v>26</v>
      </c>
      <c r="AB115" s="13" t="s">
        <v>144</v>
      </c>
      <c r="AC115" s="13" t="s">
        <v>146</v>
      </c>
      <c r="AD115" s="13" t="s">
        <v>137</v>
      </c>
      <c r="AE115" s="13">
        <f>VLOOKUP(Table2[[#This Row],[3_Elephant_ID]],'[1]Attributes(OUTDATED)'!$A$2:$N$19,12,FALSE)</f>
        <v>346</v>
      </c>
      <c r="AF115" s="13">
        <f>VLOOKUP(Table2[[#This Row],[3_Elephant_ID]],'[1]Attributes(OUTDATED)'!$A$2:$N$19,13,FALSE)</f>
        <v>0.28999999999999998</v>
      </c>
      <c r="AG115" s="13">
        <f>VLOOKUP(Table2[[#This Row],[3_Elephant_ID]],'[1]Attributes(OUTDATED)'!$A$2:$N$19,14,FALSE)</f>
        <v>0.28929989906834258</v>
      </c>
      <c r="AH115" s="13">
        <v>0</v>
      </c>
      <c r="AI115" s="13">
        <v>0</v>
      </c>
      <c r="AJ115" s="13">
        <v>0</v>
      </c>
      <c r="AK115" s="13">
        <v>0</v>
      </c>
      <c r="AL115" s="13">
        <f>VLOOKUP(Table2[[#This Row],[3_Elephant_ID]],'[1]Attributes(OUTDATED)'!$A$2:$P$19,16,FALSE)</f>
        <v>1</v>
      </c>
      <c r="AM115" s="13">
        <f>VLOOKUP(Table2[[#This Row],[3_Elephant_ID]],'[1]Attributes(OUTDATED)'!$A$2:$S$19,17,FALSE)</f>
        <v>11</v>
      </c>
      <c r="AN115" s="13">
        <f>VLOOKUP(Table2[[#This Row],[3_Elephant_ID]],'[1]Attributes(OUTDATED)'!$A$2:$S$19,18,FALSE)</f>
        <v>7</v>
      </c>
    </row>
    <row r="116" spans="1:40" ht="28" x14ac:dyDescent="0.15">
      <c r="A116" s="3">
        <v>153</v>
      </c>
      <c r="B116" s="6" t="s">
        <v>66</v>
      </c>
      <c r="C116" s="7">
        <v>6</v>
      </c>
      <c r="D116" s="7">
        <v>6</v>
      </c>
      <c r="E116" s="7">
        <v>2023</v>
      </c>
      <c r="F116" s="5">
        <v>45083</v>
      </c>
      <c r="G116" s="6" t="s">
        <v>4</v>
      </c>
      <c r="H116" s="17">
        <v>0.38180811808118081</v>
      </c>
      <c r="I116" s="20">
        <f>ROUNDUP((Table2[[#This Row],[fGCM_Conc]]*10000),0)</f>
        <v>3819</v>
      </c>
      <c r="J116" s="3" t="str">
        <f>VLOOKUP(G116,'[1]Attributes(OUTDATED)'!$A$2:$C$19,2,FALSE)</f>
        <v>M</v>
      </c>
      <c r="K116" s="3" t="str">
        <f>VLOOKUP(G116,'[1]Attributes(OUTDATED)'!$A$2:$C$19,3,FALSE)</f>
        <v>J</v>
      </c>
      <c r="L116" s="3">
        <f>VLOOKUP(G116,'[1]Attributes(OUTDATED)'!$A$2:$H$19,8,FALSE)</f>
        <v>1055</v>
      </c>
      <c r="M116" s="3" t="str">
        <f>K116&amp;J116</f>
        <v>JM</v>
      </c>
      <c r="N116" s="3" t="e">
        <f>VLOOKUP(G116,#REF!,2,FALSE)</f>
        <v>#REF!</v>
      </c>
      <c r="O116" s="11">
        <v>45081</v>
      </c>
      <c r="P116" s="13">
        <v>10.8</v>
      </c>
      <c r="Q116" s="13">
        <v>7.7</v>
      </c>
      <c r="R116" s="13">
        <v>5.9</v>
      </c>
      <c r="S116" s="13">
        <f>Table2[[#This Row],[2_Temp_H]]-Table2[[#This Row],[2_Temp_L]]</f>
        <v>4.9000000000000004</v>
      </c>
      <c r="T116" s="13">
        <v>21.1</v>
      </c>
      <c r="U116" s="13">
        <v>2</v>
      </c>
      <c r="V116" s="13">
        <v>1008.81</v>
      </c>
      <c r="W116" s="13">
        <v>1007.79</v>
      </c>
      <c r="X116" s="13">
        <v>0</v>
      </c>
      <c r="Y116" s="13" t="s">
        <v>147</v>
      </c>
      <c r="Z116" s="13" t="s">
        <v>139</v>
      </c>
      <c r="AA116" s="13" t="s">
        <v>26</v>
      </c>
      <c r="AB116" s="13" t="s">
        <v>144</v>
      </c>
      <c r="AC116" s="13" t="s">
        <v>146</v>
      </c>
      <c r="AD116" s="13" t="s">
        <v>137</v>
      </c>
      <c r="AE116" s="13">
        <f>VLOOKUP(Table2[[#This Row],[3_Elephant_ID]],'[1]Attributes(OUTDATED)'!$A$2:$N$19,12,FALSE)</f>
        <v>181</v>
      </c>
      <c r="AF116" s="13">
        <f>VLOOKUP(Table2[[#This Row],[3_Elephant_ID]],'[1]Attributes(OUTDATED)'!$A$2:$N$19,13,FALSE)</f>
        <v>7.3999999999999996E-2</v>
      </c>
      <c r="AG116" s="13">
        <f>VLOOKUP(Table2[[#This Row],[3_Elephant_ID]],'[1]Attributes(OUTDATED)'!$A$2:$N$19,14,FALSE)</f>
        <v>7.3914663535330896E-2</v>
      </c>
      <c r="AH116" s="13">
        <v>0</v>
      </c>
      <c r="AI116" s="13">
        <v>0</v>
      </c>
      <c r="AJ116" s="13">
        <v>0</v>
      </c>
      <c r="AK116" s="13">
        <v>0</v>
      </c>
      <c r="AL116" s="13">
        <f>VLOOKUP(Table2[[#This Row],[3_Elephant_ID]],'[1]Attributes(OUTDATED)'!$A$2:$P$19,16,FALSE)</f>
        <v>1</v>
      </c>
      <c r="AM116" s="13">
        <f>VLOOKUP(Table2[[#This Row],[3_Elephant_ID]],'[1]Attributes(OUTDATED)'!$A$2:$S$19,17,FALSE)</f>
        <v>7</v>
      </c>
      <c r="AN116" s="13">
        <f>VLOOKUP(Table2[[#This Row],[3_Elephant_ID]],'[1]Attributes(OUTDATED)'!$A$2:$S$19,18,FALSE)</f>
        <v>9</v>
      </c>
    </row>
    <row r="117" spans="1:40" ht="28" x14ac:dyDescent="0.15">
      <c r="A117" s="3">
        <v>155</v>
      </c>
      <c r="B117" s="6" t="s">
        <v>68</v>
      </c>
      <c r="C117" s="7">
        <v>6</v>
      </c>
      <c r="D117" s="7">
        <v>6</v>
      </c>
      <c r="E117" s="7">
        <v>2023</v>
      </c>
      <c r="F117" s="5">
        <v>45083</v>
      </c>
      <c r="G117" s="6" t="s">
        <v>10</v>
      </c>
      <c r="H117" s="17">
        <v>0.36168604651162789</v>
      </c>
      <c r="I117" s="20">
        <f>ROUNDUP((Table2[[#This Row],[fGCM_Conc]]*10000),0)</f>
        <v>3617</v>
      </c>
      <c r="J117" s="3" t="str">
        <f>VLOOKUP(G117,'[1]Attributes(OUTDATED)'!$A$2:$C$19,2,FALSE)</f>
        <v>F</v>
      </c>
      <c r="K117" s="3" t="str">
        <f>VLOOKUP(G117,'[1]Attributes(OUTDATED)'!$A$2:$C$19,3,FALSE)</f>
        <v>A</v>
      </c>
      <c r="L117" s="3">
        <f>VLOOKUP(G117,'[1]Attributes(OUTDATED)'!$A$2:$H$19,8,FALSE)</f>
        <v>1146</v>
      </c>
      <c r="M117" s="3" t="str">
        <f>K117&amp;J117</f>
        <v>AF</v>
      </c>
      <c r="N117" s="3" t="e">
        <f>VLOOKUP(G117,#REF!,2,FALSE)</f>
        <v>#REF!</v>
      </c>
      <c r="O117" s="11">
        <v>45081</v>
      </c>
      <c r="P117" s="13">
        <v>10.8</v>
      </c>
      <c r="Q117" s="13">
        <v>7.7</v>
      </c>
      <c r="R117" s="13">
        <v>5.9</v>
      </c>
      <c r="S117" s="13">
        <f>Table2[[#This Row],[2_Temp_H]]-Table2[[#This Row],[2_Temp_L]]</f>
        <v>4.9000000000000004</v>
      </c>
      <c r="T117" s="13">
        <v>21.1</v>
      </c>
      <c r="U117" s="13">
        <v>2</v>
      </c>
      <c r="V117" s="13">
        <v>1008.81</v>
      </c>
      <c r="W117" s="13">
        <v>1007.79</v>
      </c>
      <c r="X117" s="13">
        <v>0</v>
      </c>
      <c r="Y117" s="13" t="s">
        <v>147</v>
      </c>
      <c r="Z117" s="13" t="s">
        <v>139</v>
      </c>
      <c r="AA117" s="13" t="s">
        <v>26</v>
      </c>
      <c r="AB117" s="13" t="s">
        <v>144</v>
      </c>
      <c r="AC117" s="13" t="s">
        <v>146</v>
      </c>
      <c r="AD117" s="13" t="s">
        <v>137</v>
      </c>
      <c r="AE117" s="13">
        <f>VLOOKUP(Table2[[#This Row],[3_Elephant_ID]],'[1]Attributes(OUTDATED)'!$A$2:$N$19,12,FALSE)</f>
        <v>424</v>
      </c>
      <c r="AF117" s="13">
        <f>VLOOKUP(Table2[[#This Row],[3_Elephant_ID]],'[1]Attributes(OUTDATED)'!$A$2:$N$19,13,FALSE)</f>
        <v>0.10299999999999999</v>
      </c>
      <c r="AG117" s="13">
        <f>VLOOKUP(Table2[[#This Row],[3_Elephant_ID]],'[1]Attributes(OUTDATED)'!$A$2:$N$19,14,FALSE)</f>
        <v>0.10282190709599449</v>
      </c>
      <c r="AH117" s="13">
        <v>0</v>
      </c>
      <c r="AI117" s="13">
        <v>0</v>
      </c>
      <c r="AJ117" s="13">
        <v>0</v>
      </c>
      <c r="AK117" s="13">
        <v>0</v>
      </c>
      <c r="AL117" s="13">
        <f>VLOOKUP(Table2[[#This Row],[3_Elephant_ID]],'[1]Attributes(OUTDATED)'!$A$2:$P$19,16,FALSE)</f>
        <v>1</v>
      </c>
      <c r="AM117" s="13">
        <f>VLOOKUP(Table2[[#This Row],[3_Elephant_ID]],'[1]Attributes(OUTDATED)'!$A$2:$S$19,17,FALSE)</f>
        <v>9</v>
      </c>
      <c r="AN117" s="13">
        <f>VLOOKUP(Table2[[#This Row],[3_Elephant_ID]],'[1]Attributes(OUTDATED)'!$A$2:$S$19,18,FALSE)</f>
        <v>8</v>
      </c>
    </row>
    <row r="118" spans="1:40" ht="28" x14ac:dyDescent="0.15">
      <c r="A118" s="3">
        <v>156</v>
      </c>
      <c r="B118" s="6" t="s">
        <v>69</v>
      </c>
      <c r="C118" s="7">
        <v>6</v>
      </c>
      <c r="D118" s="7">
        <v>6</v>
      </c>
      <c r="E118" s="7">
        <v>2023</v>
      </c>
      <c r="F118" s="5">
        <v>45083</v>
      </c>
      <c r="G118" s="6" t="s">
        <v>11</v>
      </c>
      <c r="H118" s="17">
        <v>0.35335968379446642</v>
      </c>
      <c r="I118" s="20">
        <f>ROUNDUP((Table2[[#This Row],[fGCM_Conc]]*10000),0)</f>
        <v>3534</v>
      </c>
      <c r="J118" s="3" t="str">
        <f>VLOOKUP(G118,'[1]Attributes(OUTDATED)'!$A$2:$C$19,2,FALSE)</f>
        <v>M</v>
      </c>
      <c r="K118" s="3" t="str">
        <f>VLOOKUP(G118,'[1]Attributes(OUTDATED)'!$A$2:$C$19,3,FALSE)</f>
        <v>A</v>
      </c>
      <c r="L118" s="3">
        <f>VLOOKUP(G118,'[1]Attributes(OUTDATED)'!$A$2:$H$19,8,FALSE)</f>
        <v>1223</v>
      </c>
      <c r="M118" s="3" t="str">
        <f>K118&amp;J118</f>
        <v>AM</v>
      </c>
      <c r="N118" s="3" t="e">
        <f>VLOOKUP(G118,#REF!,2,FALSE)</f>
        <v>#REF!</v>
      </c>
      <c r="O118" s="11">
        <v>45081</v>
      </c>
      <c r="P118" s="13">
        <v>10.8</v>
      </c>
      <c r="Q118" s="13">
        <v>7.7</v>
      </c>
      <c r="R118" s="13">
        <v>5.9</v>
      </c>
      <c r="S118" s="13">
        <f>Table2[[#This Row],[2_Temp_H]]-Table2[[#This Row],[2_Temp_L]]</f>
        <v>4.9000000000000004</v>
      </c>
      <c r="T118" s="13">
        <v>21.1</v>
      </c>
      <c r="U118" s="13">
        <v>2</v>
      </c>
      <c r="V118" s="13">
        <v>1008.81</v>
      </c>
      <c r="W118" s="13">
        <v>1007.79</v>
      </c>
      <c r="X118" s="13">
        <v>0</v>
      </c>
      <c r="Y118" s="13" t="s">
        <v>147</v>
      </c>
      <c r="Z118" s="13" t="s">
        <v>139</v>
      </c>
      <c r="AA118" s="13" t="s">
        <v>26</v>
      </c>
      <c r="AB118" s="13" t="s">
        <v>144</v>
      </c>
      <c r="AC118" s="13" t="s">
        <v>146</v>
      </c>
      <c r="AD118" s="13" t="s">
        <v>137</v>
      </c>
      <c r="AE118" s="13">
        <f>VLOOKUP(Table2[[#This Row],[3_Elephant_ID]],'[1]Attributes(OUTDATED)'!$A$2:$N$19,12,FALSE)</f>
        <v>404</v>
      </c>
      <c r="AF118" s="13">
        <f>VLOOKUP(Table2[[#This Row],[3_Elephant_ID]],'[1]Attributes(OUTDATED)'!$A$2:$N$19,13,FALSE)</f>
        <v>0.91700000000000004</v>
      </c>
      <c r="AG118" s="13">
        <f>VLOOKUP(Table2[[#This Row],[3_Elephant_ID]],'[1]Attributes(OUTDATED)'!$A$2:$N$19,14,FALSE)</f>
        <v>0.91664628583929353</v>
      </c>
      <c r="AH118" s="13">
        <v>0</v>
      </c>
      <c r="AI118" s="13">
        <v>0</v>
      </c>
      <c r="AJ118" s="13">
        <v>0</v>
      </c>
      <c r="AK118" s="13">
        <v>0</v>
      </c>
      <c r="AL118" s="13">
        <f>VLOOKUP(Table2[[#This Row],[3_Elephant_ID]],'[1]Attributes(OUTDATED)'!$A$2:$P$19,16,FALSE)</f>
        <v>1</v>
      </c>
      <c r="AM118" s="13">
        <f>VLOOKUP(Table2[[#This Row],[3_Elephant_ID]],'[1]Attributes(OUTDATED)'!$A$2:$S$19,17,FALSE)</f>
        <v>14</v>
      </c>
      <c r="AN118" s="13">
        <f>VLOOKUP(Table2[[#This Row],[3_Elephant_ID]],'[1]Attributes(OUTDATED)'!$A$2:$S$19,18,FALSE)</f>
        <v>17</v>
      </c>
    </row>
    <row r="119" spans="1:40" ht="28" x14ac:dyDescent="0.15">
      <c r="A119" s="3">
        <v>159</v>
      </c>
      <c r="B119" s="6" t="s">
        <v>72</v>
      </c>
      <c r="C119" s="7">
        <v>6</v>
      </c>
      <c r="D119" s="7">
        <v>6</v>
      </c>
      <c r="E119" s="7">
        <v>2023</v>
      </c>
      <c r="F119" s="5">
        <v>45083</v>
      </c>
      <c r="G119" s="6" t="s">
        <v>5</v>
      </c>
      <c r="H119" s="17">
        <v>0.33804597701149419</v>
      </c>
      <c r="I119" s="20">
        <f>ROUNDUP((Table2[[#This Row],[fGCM_Conc]]*10000),0)</f>
        <v>3381</v>
      </c>
      <c r="J119" s="3" t="str">
        <f>VLOOKUP(G119,'[1]Attributes(OUTDATED)'!$A$2:$C$19,2,FALSE)</f>
        <v>M</v>
      </c>
      <c r="K119" s="3" t="str">
        <f>VLOOKUP(G119,'[1]Attributes(OUTDATED)'!$A$2:$C$19,3,FALSE)</f>
        <v>J</v>
      </c>
      <c r="L119" s="3">
        <f>VLOOKUP(G119,'[1]Attributes(OUTDATED)'!$A$2:$H$19,8,FALSE)</f>
        <v>940</v>
      </c>
      <c r="M119" s="3" t="str">
        <f>K119&amp;J119</f>
        <v>JM</v>
      </c>
      <c r="N119" s="3" t="e">
        <f>VLOOKUP(G119,#REF!,2,FALSE)</f>
        <v>#REF!</v>
      </c>
      <c r="O119" s="11">
        <v>45081</v>
      </c>
      <c r="P119" s="13">
        <v>10.8</v>
      </c>
      <c r="Q119" s="13">
        <v>7.7</v>
      </c>
      <c r="R119" s="13">
        <v>5.9</v>
      </c>
      <c r="S119" s="13">
        <f>Table2[[#This Row],[2_Temp_H]]-Table2[[#This Row],[2_Temp_L]]</f>
        <v>4.9000000000000004</v>
      </c>
      <c r="T119" s="13">
        <v>21.1</v>
      </c>
      <c r="U119" s="13">
        <v>2</v>
      </c>
      <c r="V119" s="13">
        <v>1008.81</v>
      </c>
      <c r="W119" s="13">
        <v>1007.79</v>
      </c>
      <c r="X119" s="13">
        <v>0</v>
      </c>
      <c r="Y119" s="13" t="s">
        <v>147</v>
      </c>
      <c r="Z119" s="13" t="s">
        <v>139</v>
      </c>
      <c r="AA119" s="13" t="s">
        <v>26</v>
      </c>
      <c r="AB119" s="13" t="s">
        <v>144</v>
      </c>
      <c r="AC119" s="13" t="s">
        <v>146</v>
      </c>
      <c r="AD119" s="13" t="s">
        <v>137</v>
      </c>
      <c r="AE119" s="13">
        <f>VLOOKUP(Table2[[#This Row],[3_Elephant_ID]],'[1]Attributes(OUTDATED)'!$A$2:$N$19,12,FALSE)</f>
        <v>361</v>
      </c>
      <c r="AF119" s="13">
        <f>VLOOKUP(Table2[[#This Row],[3_Elephant_ID]],'[1]Attributes(OUTDATED)'!$A$2:$N$19,13,FALSE)</f>
        <v>0.40600000000000003</v>
      </c>
      <c r="AG119" s="13">
        <f>VLOOKUP(Table2[[#This Row],[3_Elephant_ID]],'[1]Attributes(OUTDATED)'!$A$2:$N$19,14,FALSE)</f>
        <v>0.40590323220736402</v>
      </c>
      <c r="AH119" s="13">
        <v>0</v>
      </c>
      <c r="AI119" s="13">
        <v>0</v>
      </c>
      <c r="AJ119" s="13">
        <v>0</v>
      </c>
      <c r="AK119" s="13">
        <v>0</v>
      </c>
      <c r="AL119" s="13">
        <f>VLOOKUP(Table2[[#This Row],[3_Elephant_ID]],'[1]Attributes(OUTDATED)'!$A$2:$P$19,16,FALSE)</f>
        <v>1</v>
      </c>
      <c r="AM119" s="13">
        <f>VLOOKUP(Table2[[#This Row],[3_Elephant_ID]],'[1]Attributes(OUTDATED)'!$A$2:$S$19,17,FALSE)</f>
        <v>2</v>
      </c>
      <c r="AN119" s="13">
        <f>VLOOKUP(Table2[[#This Row],[3_Elephant_ID]],'[1]Attributes(OUTDATED)'!$A$2:$S$19,18,FALSE)</f>
        <v>7</v>
      </c>
    </row>
    <row r="120" spans="1:40" ht="28" x14ac:dyDescent="0.15">
      <c r="A120" s="3">
        <v>157</v>
      </c>
      <c r="B120" s="6" t="s">
        <v>70</v>
      </c>
      <c r="C120" s="7">
        <v>6</v>
      </c>
      <c r="D120" s="7">
        <v>6</v>
      </c>
      <c r="E120" s="7">
        <v>2023</v>
      </c>
      <c r="F120" s="5">
        <v>45083</v>
      </c>
      <c r="G120" s="6" t="s">
        <v>3</v>
      </c>
      <c r="H120" s="17">
        <v>0.29157170923379178</v>
      </c>
      <c r="I120" s="20">
        <f>ROUNDUP((Table2[[#This Row],[fGCM_Conc]]*10000),0)</f>
        <v>2916</v>
      </c>
      <c r="J120" s="3" t="str">
        <f>VLOOKUP(G120,'[1]Attributes(OUTDATED)'!$A$2:$C$19,2,FALSE)</f>
        <v>M</v>
      </c>
      <c r="K120" s="3" t="str">
        <f>VLOOKUP(G120,'[1]Attributes(OUTDATED)'!$A$2:$C$19,3,FALSE)</f>
        <v>J</v>
      </c>
      <c r="L120" s="3">
        <f>VLOOKUP(G120,'[1]Attributes(OUTDATED)'!$A$2:$H$19,8,FALSE)</f>
        <v>1031</v>
      </c>
      <c r="M120" s="3" t="str">
        <f>K120&amp;J120</f>
        <v>JM</v>
      </c>
      <c r="N120" s="3" t="e">
        <f>VLOOKUP(G120,#REF!,2,FALSE)</f>
        <v>#REF!</v>
      </c>
      <c r="O120" s="11">
        <v>45081</v>
      </c>
      <c r="P120" s="13">
        <v>10.8</v>
      </c>
      <c r="Q120" s="13">
        <v>7.7</v>
      </c>
      <c r="R120" s="13">
        <v>5.9</v>
      </c>
      <c r="S120" s="13">
        <f>Table2[[#This Row],[2_Temp_H]]-Table2[[#This Row],[2_Temp_L]]</f>
        <v>4.9000000000000004</v>
      </c>
      <c r="T120" s="13">
        <v>21.1</v>
      </c>
      <c r="U120" s="13">
        <v>2</v>
      </c>
      <c r="V120" s="13">
        <v>1008.81</v>
      </c>
      <c r="W120" s="13">
        <v>1007.79</v>
      </c>
      <c r="X120" s="13">
        <v>0</v>
      </c>
      <c r="Y120" s="13" t="s">
        <v>147</v>
      </c>
      <c r="Z120" s="13" t="s">
        <v>139</v>
      </c>
      <c r="AA120" s="13" t="s">
        <v>26</v>
      </c>
      <c r="AB120" s="13" t="s">
        <v>144</v>
      </c>
      <c r="AC120" s="13" t="s">
        <v>146</v>
      </c>
      <c r="AD120" s="13" t="s">
        <v>137</v>
      </c>
      <c r="AE120" s="13">
        <f>VLOOKUP(Table2[[#This Row],[3_Elephant_ID]],'[1]Attributes(OUTDATED)'!$A$2:$N$19,12,FALSE)</f>
        <v>234</v>
      </c>
      <c r="AF120" s="13">
        <f>VLOOKUP(Table2[[#This Row],[3_Elephant_ID]],'[1]Attributes(OUTDATED)'!$A$2:$N$19,13,FALSE)</f>
        <v>0.16500000000000001</v>
      </c>
      <c r="AG120" s="13">
        <f>VLOOKUP(Table2[[#This Row],[3_Elephant_ID]],'[1]Attributes(OUTDATED)'!$A$2:$N$19,14,FALSE)</f>
        <v>0.16420161303383449</v>
      </c>
      <c r="AH120" s="13">
        <v>0</v>
      </c>
      <c r="AI120" s="13">
        <v>0</v>
      </c>
      <c r="AJ120" s="13">
        <v>0</v>
      </c>
      <c r="AK120" s="13">
        <v>0</v>
      </c>
      <c r="AL120" s="13">
        <f>VLOOKUP(Table2[[#This Row],[3_Elephant_ID]],'[1]Attributes(OUTDATED)'!$A$2:$P$19,16,FALSE)</f>
        <v>1</v>
      </c>
      <c r="AM120" s="13">
        <f>VLOOKUP(Table2[[#This Row],[3_Elephant_ID]],'[1]Attributes(OUTDATED)'!$A$2:$S$19,17,FALSE)</f>
        <v>9</v>
      </c>
      <c r="AN120" s="13">
        <f>VLOOKUP(Table2[[#This Row],[3_Elephant_ID]],'[1]Attributes(OUTDATED)'!$A$2:$S$19,18,FALSE)</f>
        <v>9</v>
      </c>
    </row>
    <row r="121" spans="1:40" ht="28" x14ac:dyDescent="0.15">
      <c r="A121" s="3">
        <v>152</v>
      </c>
      <c r="B121" s="6" t="s">
        <v>65</v>
      </c>
      <c r="C121" s="7">
        <v>6</v>
      </c>
      <c r="D121" s="7">
        <v>6</v>
      </c>
      <c r="E121" s="7">
        <v>2023</v>
      </c>
      <c r="F121" s="5">
        <v>45083</v>
      </c>
      <c r="G121" s="6" t="s">
        <v>17</v>
      </c>
      <c r="H121" s="17">
        <v>0.22822050290135396</v>
      </c>
      <c r="I121" s="20">
        <f>ROUNDUP((Table2[[#This Row],[fGCM_Conc]]*10000),0)</f>
        <v>2283</v>
      </c>
      <c r="J121" s="3" t="str">
        <f>VLOOKUP(G121,'[1]Attributes(OUTDATED)'!$A$2:$C$19,2,FALSE)</f>
        <v>M</v>
      </c>
      <c r="K121" s="3" t="str">
        <f>VLOOKUP(G121,'[1]Attributes(OUTDATED)'!$A$2:$C$19,3,FALSE)</f>
        <v>J</v>
      </c>
      <c r="L121" s="3">
        <f>VLOOKUP(G121,'[1]Attributes(OUTDATED)'!$A$2:$H$19,8,FALSE)</f>
        <v>699</v>
      </c>
      <c r="M121" s="3" t="str">
        <f>K121&amp;J121</f>
        <v>JM</v>
      </c>
      <c r="N121" s="3" t="e">
        <f>VLOOKUP(G121,#REF!,2,FALSE)</f>
        <v>#REF!</v>
      </c>
      <c r="O121" s="11">
        <v>45081</v>
      </c>
      <c r="P121" s="13">
        <v>10.8</v>
      </c>
      <c r="Q121" s="13">
        <v>7.7</v>
      </c>
      <c r="R121" s="13">
        <v>5.9</v>
      </c>
      <c r="S121" s="13">
        <f>Table2[[#This Row],[2_Temp_H]]-Table2[[#This Row],[2_Temp_L]]</f>
        <v>4.9000000000000004</v>
      </c>
      <c r="T121" s="13">
        <v>21.1</v>
      </c>
      <c r="U121" s="13">
        <v>2</v>
      </c>
      <c r="V121" s="13">
        <v>1008.81</v>
      </c>
      <c r="W121" s="13">
        <v>1007.79</v>
      </c>
      <c r="X121" s="13">
        <v>0</v>
      </c>
      <c r="Y121" s="13" t="s">
        <v>147</v>
      </c>
      <c r="Z121" s="13" t="s">
        <v>139</v>
      </c>
      <c r="AA121" s="13" t="s">
        <v>26</v>
      </c>
      <c r="AB121" s="13" t="s">
        <v>144</v>
      </c>
      <c r="AC121" s="13" t="s">
        <v>146</v>
      </c>
      <c r="AD121" s="13" t="s">
        <v>137</v>
      </c>
      <c r="AE121" s="13">
        <f>VLOOKUP(Table2[[#This Row],[3_Elephant_ID]],'[1]Attributes(OUTDATED)'!$A$2:$N$19,12,FALSE)</f>
        <v>343</v>
      </c>
      <c r="AF121" s="13">
        <f>VLOOKUP(Table2[[#This Row],[3_Elephant_ID]],'[1]Attributes(OUTDATED)'!$A$2:$N$19,13,FALSE)</f>
        <v>0.81</v>
      </c>
      <c r="AG121" s="13">
        <f>VLOOKUP(Table2[[#This Row],[3_Elephant_ID]],'[1]Attributes(OUTDATED)'!$A$2:$N$19,14,FALSE)</f>
        <v>0.80966774571167055</v>
      </c>
      <c r="AH121" s="13">
        <v>0</v>
      </c>
      <c r="AI121" s="13">
        <v>0</v>
      </c>
      <c r="AJ121" s="13">
        <v>0</v>
      </c>
      <c r="AK121" s="13">
        <v>0</v>
      </c>
      <c r="AL121" s="13">
        <f>VLOOKUP(Table2[[#This Row],[3_Elephant_ID]],'[1]Attributes(OUTDATED)'!$A$2:$P$19,16,FALSE)</f>
        <v>1</v>
      </c>
      <c r="AM121" s="13">
        <f>VLOOKUP(Table2[[#This Row],[3_Elephant_ID]],'[1]Attributes(OUTDATED)'!$A$2:$S$19,17,FALSE)</f>
        <v>0</v>
      </c>
      <c r="AN121" s="13">
        <f>VLOOKUP(Table2[[#This Row],[3_Elephant_ID]],'[1]Attributes(OUTDATED)'!$A$2:$S$19,18,FALSE)</f>
        <v>8</v>
      </c>
    </row>
    <row r="122" spans="1:40" ht="28" x14ac:dyDescent="0.15">
      <c r="A122" s="3">
        <v>154</v>
      </c>
      <c r="B122" s="6" t="s">
        <v>67</v>
      </c>
      <c r="C122" s="7">
        <v>6</v>
      </c>
      <c r="D122" s="7">
        <v>6</v>
      </c>
      <c r="E122" s="7">
        <v>2023</v>
      </c>
      <c r="F122" s="5">
        <v>45083</v>
      </c>
      <c r="G122" s="6" t="s">
        <v>15</v>
      </c>
      <c r="H122" s="17">
        <v>0.21437743190661482</v>
      </c>
      <c r="I122" s="20">
        <f>ROUNDUP((Table2[[#This Row],[fGCM_Conc]]*10000),0)</f>
        <v>2144</v>
      </c>
      <c r="J122" s="3" t="str">
        <f>VLOOKUP(G122,'[1]Attributes(OUTDATED)'!$A$2:$C$19,2,FALSE)</f>
        <v>M</v>
      </c>
      <c r="K122" s="3" t="str">
        <f>VLOOKUP(G122,'[1]Attributes(OUTDATED)'!$A$2:$C$19,3,FALSE)</f>
        <v>J</v>
      </c>
      <c r="L122" s="3">
        <f>VLOOKUP(G122,'[1]Attributes(OUTDATED)'!$A$2:$H$19,8,FALSE)</f>
        <v>828</v>
      </c>
      <c r="M122" s="3" t="str">
        <f>K122&amp;J122</f>
        <v>JM</v>
      </c>
      <c r="N122" s="3" t="e">
        <f>VLOOKUP(G122,#REF!,2,FALSE)</f>
        <v>#REF!</v>
      </c>
      <c r="O122" s="11">
        <v>45081</v>
      </c>
      <c r="P122" s="13">
        <v>10.8</v>
      </c>
      <c r="Q122" s="13">
        <v>7.7</v>
      </c>
      <c r="R122" s="13">
        <v>5.9</v>
      </c>
      <c r="S122" s="13">
        <f>Table2[[#This Row],[2_Temp_H]]-Table2[[#This Row],[2_Temp_L]]</f>
        <v>4.9000000000000004</v>
      </c>
      <c r="T122" s="13">
        <v>21.1</v>
      </c>
      <c r="U122" s="13">
        <v>2</v>
      </c>
      <c r="V122" s="13">
        <v>1008.81</v>
      </c>
      <c r="W122" s="13">
        <v>1007.79</v>
      </c>
      <c r="X122" s="13">
        <v>0</v>
      </c>
      <c r="Y122" s="13" t="s">
        <v>147</v>
      </c>
      <c r="Z122" s="13" t="s">
        <v>139</v>
      </c>
      <c r="AA122" s="13" t="s">
        <v>26</v>
      </c>
      <c r="AB122" s="13" t="s">
        <v>144</v>
      </c>
      <c r="AC122" s="13" t="s">
        <v>146</v>
      </c>
      <c r="AD122" s="13" t="s">
        <v>137</v>
      </c>
      <c r="AE122" s="13">
        <f>VLOOKUP(Table2[[#This Row],[3_Elephant_ID]],'[1]Attributes(OUTDATED)'!$A$2:$N$19,12,FALSE)</f>
        <v>219</v>
      </c>
      <c r="AF122" s="13">
        <f>VLOOKUP(Table2[[#This Row],[3_Elephant_ID]],'[1]Attributes(OUTDATED)'!$A$2:$N$19,13,FALSE)</f>
        <v>0.32300000000000001</v>
      </c>
      <c r="AG122" s="13">
        <f>VLOOKUP(Table2[[#This Row],[3_Elephant_ID]],'[1]Attributes(OUTDATED)'!$A$2:$N$19,14,FALSE)</f>
        <v>0.32257531484312868</v>
      </c>
      <c r="AH122" s="13">
        <v>0</v>
      </c>
      <c r="AI122" s="13">
        <v>0</v>
      </c>
      <c r="AJ122" s="13">
        <v>0</v>
      </c>
      <c r="AK122" s="13">
        <v>0</v>
      </c>
      <c r="AL122" s="13">
        <f>VLOOKUP(Table2[[#This Row],[3_Elephant_ID]],'[1]Attributes(OUTDATED)'!$A$2:$P$19,16,FALSE)</f>
        <v>2</v>
      </c>
      <c r="AM122" s="13">
        <f>VLOOKUP(Table2[[#This Row],[3_Elephant_ID]],'[1]Attributes(OUTDATED)'!$A$2:$S$19,17,FALSE)</f>
        <v>1</v>
      </c>
      <c r="AN122" s="13">
        <f>VLOOKUP(Table2[[#This Row],[3_Elephant_ID]],'[1]Attributes(OUTDATED)'!$A$2:$S$19,18,FALSE)</f>
        <v>6</v>
      </c>
    </row>
    <row r="123" spans="1:40" ht="28" x14ac:dyDescent="0.15">
      <c r="A123" s="3">
        <v>151</v>
      </c>
      <c r="B123" s="6" t="s">
        <v>64</v>
      </c>
      <c r="C123" s="7">
        <v>7</v>
      </c>
      <c r="D123" s="7">
        <v>6</v>
      </c>
      <c r="E123" s="7">
        <v>2023</v>
      </c>
      <c r="F123" s="5">
        <v>45084</v>
      </c>
      <c r="G123" s="6" t="s">
        <v>6</v>
      </c>
      <c r="H123" s="17">
        <v>0.32074656188605111</v>
      </c>
      <c r="I123" s="20">
        <f>ROUNDUP((Table2[[#This Row],[fGCM_Conc]]*10000),0)</f>
        <v>3208</v>
      </c>
      <c r="J123" s="3" t="str">
        <f>VLOOKUP(G123,'[1]Attributes(OUTDATED)'!$A$2:$C$19,2,FALSE)</f>
        <v>F</v>
      </c>
      <c r="K123" s="3" t="str">
        <f>VLOOKUP(G123,'[1]Attributes(OUTDATED)'!$A$2:$C$19,3,FALSE)</f>
        <v>A</v>
      </c>
      <c r="L123" s="3">
        <f>VLOOKUP(G123,'[1]Attributes(OUTDATED)'!$A$2:$H$19,8,FALSE)</f>
        <v>1168</v>
      </c>
      <c r="M123" s="3" t="str">
        <f>K123&amp;J123</f>
        <v>AF</v>
      </c>
      <c r="N123" s="3" t="e">
        <f>VLOOKUP(G123,#REF!,2,FALSE)</f>
        <v>#REF!</v>
      </c>
      <c r="O123" s="11">
        <v>45082</v>
      </c>
      <c r="P123" s="13">
        <v>16.3</v>
      </c>
      <c r="Q123" s="13">
        <v>8.4</v>
      </c>
      <c r="R123" s="13">
        <v>3.2</v>
      </c>
      <c r="S123" s="13">
        <f>Table2[[#This Row],[2_Temp_H]]-Table2[[#This Row],[2_Temp_L]]</f>
        <v>13.100000000000001</v>
      </c>
      <c r="T123" s="13">
        <v>28.5</v>
      </c>
      <c r="U123" s="13">
        <v>5.9</v>
      </c>
      <c r="V123" s="13">
        <v>1013.75</v>
      </c>
      <c r="W123" s="13">
        <v>1008.88</v>
      </c>
      <c r="X123" s="13">
        <v>0</v>
      </c>
      <c r="Y123" s="13" t="s">
        <v>147</v>
      </c>
      <c r="Z123" s="13" t="s">
        <v>140</v>
      </c>
      <c r="AA123" s="13" t="s">
        <v>26</v>
      </c>
      <c r="AB123" s="13" t="s">
        <v>144</v>
      </c>
      <c r="AC123" s="13" t="s">
        <v>146</v>
      </c>
      <c r="AD123" s="13" t="s">
        <v>26</v>
      </c>
      <c r="AE123" s="13">
        <f>VLOOKUP(Table2[[#This Row],[3_Elephant_ID]],'[1]Attributes(OUTDATED)'!$A$2:$N$19,12,FALSE)</f>
        <v>286</v>
      </c>
      <c r="AF123" s="13">
        <f>VLOOKUP(Table2[[#This Row],[3_Elephant_ID]],'[1]Attributes(OUTDATED)'!$A$2:$N$19,13,FALSE)</f>
        <v>0.26800000000000002</v>
      </c>
      <c r="AG123" s="13">
        <f>VLOOKUP(Table2[[#This Row],[3_Elephant_ID]],'[1]Attributes(OUTDATED)'!$A$2:$N$19,14,FALSE)</f>
        <v>0.26721028245328138</v>
      </c>
      <c r="AH123" s="13">
        <v>1</v>
      </c>
      <c r="AI123" s="13">
        <v>0</v>
      </c>
      <c r="AJ123" s="13">
        <v>0</v>
      </c>
      <c r="AK123" s="13">
        <v>0</v>
      </c>
      <c r="AL123" s="13">
        <f>VLOOKUP(Table2[[#This Row],[3_Elephant_ID]],'[1]Attributes(OUTDATED)'!$A$2:$P$19,16,FALSE)</f>
        <v>2</v>
      </c>
      <c r="AM123" s="13">
        <f>VLOOKUP(Table2[[#This Row],[3_Elephant_ID]],'[1]Attributes(OUTDATED)'!$A$2:$S$19,17,FALSE)</f>
        <v>12</v>
      </c>
      <c r="AN123" s="13">
        <f>VLOOKUP(Table2[[#This Row],[3_Elephant_ID]],'[1]Attributes(OUTDATED)'!$A$2:$S$19,18,FALSE)</f>
        <v>5</v>
      </c>
    </row>
    <row r="124" spans="1:40" ht="28" x14ac:dyDescent="0.15">
      <c r="A124" s="3">
        <v>148</v>
      </c>
      <c r="B124" s="6" t="s">
        <v>61</v>
      </c>
      <c r="C124" s="7">
        <v>8</v>
      </c>
      <c r="D124" s="7">
        <v>6</v>
      </c>
      <c r="E124" s="7">
        <v>2023</v>
      </c>
      <c r="F124" s="5">
        <v>45085</v>
      </c>
      <c r="G124" s="6" t="s">
        <v>10</v>
      </c>
      <c r="H124" s="17">
        <v>0.43408745247148289</v>
      </c>
      <c r="I124" s="20">
        <f>ROUNDUP((Table2[[#This Row],[fGCM_Conc]]*10000),0)</f>
        <v>4341</v>
      </c>
      <c r="J124" s="3" t="str">
        <f>VLOOKUP(G124,'[1]Attributes(OUTDATED)'!$A$2:$C$19,2,FALSE)</f>
        <v>F</v>
      </c>
      <c r="K124" s="3" t="str">
        <f>VLOOKUP(G124,'[1]Attributes(OUTDATED)'!$A$2:$C$19,3,FALSE)</f>
        <v>A</v>
      </c>
      <c r="L124" s="3">
        <f>VLOOKUP(G124,'[1]Attributes(OUTDATED)'!$A$2:$H$19,8,FALSE)</f>
        <v>1146</v>
      </c>
      <c r="M124" s="3" t="str">
        <f>K124&amp;J124</f>
        <v>AF</v>
      </c>
      <c r="N124" s="3" t="e">
        <f>VLOOKUP(G124,#REF!,2,FALSE)</f>
        <v>#REF!</v>
      </c>
      <c r="O124" s="11">
        <v>45083</v>
      </c>
      <c r="P124" s="13">
        <v>22</v>
      </c>
      <c r="Q124" s="13">
        <v>16.399999999999999</v>
      </c>
      <c r="R124" s="13">
        <v>5.3</v>
      </c>
      <c r="S124" s="13">
        <f>Table2[[#This Row],[2_Temp_H]]-Table2[[#This Row],[2_Temp_L]]</f>
        <v>16.7</v>
      </c>
      <c r="T124" s="13">
        <v>27.7</v>
      </c>
      <c r="U124" s="13">
        <v>5.0999999999999996</v>
      </c>
      <c r="V124" s="13">
        <v>1011.85</v>
      </c>
      <c r="W124" s="13">
        <v>1008.81</v>
      </c>
      <c r="X124" s="13">
        <v>0</v>
      </c>
      <c r="Y124" s="13" t="s">
        <v>147</v>
      </c>
      <c r="Z124" s="13" t="s">
        <v>139</v>
      </c>
      <c r="AA124" s="13" t="s">
        <v>26</v>
      </c>
      <c r="AB124" s="13" t="s">
        <v>144</v>
      </c>
      <c r="AC124" s="13" t="s">
        <v>146</v>
      </c>
      <c r="AD124" s="13" t="s">
        <v>137</v>
      </c>
      <c r="AE124" s="13">
        <f>VLOOKUP(Table2[[#This Row],[3_Elephant_ID]],'[1]Attributes(OUTDATED)'!$A$2:$N$19,12,FALSE)</f>
        <v>424</v>
      </c>
      <c r="AF124" s="13">
        <f>VLOOKUP(Table2[[#This Row],[3_Elephant_ID]],'[1]Attributes(OUTDATED)'!$A$2:$N$19,13,FALSE)</f>
        <v>0.10299999999999999</v>
      </c>
      <c r="AG124" s="13">
        <f>VLOOKUP(Table2[[#This Row],[3_Elephant_ID]],'[1]Attributes(OUTDATED)'!$A$2:$N$19,14,FALSE)</f>
        <v>0.10282190709599449</v>
      </c>
      <c r="AH124" s="13">
        <v>1</v>
      </c>
      <c r="AI124" s="13">
        <v>1</v>
      </c>
      <c r="AJ124" s="13">
        <v>0</v>
      </c>
      <c r="AK124" s="13">
        <v>1</v>
      </c>
      <c r="AL124" s="13">
        <f>VLOOKUP(Table2[[#This Row],[3_Elephant_ID]],'[1]Attributes(OUTDATED)'!$A$2:$P$19,16,FALSE)</f>
        <v>1</v>
      </c>
      <c r="AM124" s="13">
        <f>VLOOKUP(Table2[[#This Row],[3_Elephant_ID]],'[1]Attributes(OUTDATED)'!$A$2:$S$19,17,FALSE)</f>
        <v>9</v>
      </c>
      <c r="AN124" s="13">
        <f>VLOOKUP(Table2[[#This Row],[3_Elephant_ID]],'[1]Attributes(OUTDATED)'!$A$2:$S$19,18,FALSE)</f>
        <v>8</v>
      </c>
    </row>
    <row r="125" spans="1:40" ht="28" x14ac:dyDescent="0.15">
      <c r="A125" s="3">
        <v>147</v>
      </c>
      <c r="B125" s="6" t="s">
        <v>60</v>
      </c>
      <c r="C125" s="7">
        <v>8</v>
      </c>
      <c r="D125" s="7">
        <v>6</v>
      </c>
      <c r="E125" s="7">
        <v>2023</v>
      </c>
      <c r="F125" s="5">
        <v>45085</v>
      </c>
      <c r="G125" s="6" t="s">
        <v>9</v>
      </c>
      <c r="H125" s="17">
        <v>0.29200772200772201</v>
      </c>
      <c r="I125" s="20">
        <f>ROUNDUP((Table2[[#This Row],[fGCM_Conc]]*10000),0)</f>
        <v>2921</v>
      </c>
      <c r="J125" s="3" t="str">
        <f>VLOOKUP(G125,'[1]Attributes(OUTDATED)'!$A$2:$C$19,2,FALSE)</f>
        <v>F</v>
      </c>
      <c r="K125" s="3" t="str">
        <f>VLOOKUP(G125,'[1]Attributes(OUTDATED)'!$A$2:$C$19,3,FALSE)</f>
        <v>J</v>
      </c>
      <c r="L125" s="3">
        <f>VLOOKUP(G125,'[1]Attributes(OUTDATED)'!$A$2:$H$19,8,FALSE)</f>
        <v>820</v>
      </c>
      <c r="M125" s="3" t="str">
        <f>K125&amp;J125</f>
        <v>JF</v>
      </c>
      <c r="N125" s="3" t="e">
        <f>VLOOKUP(G125,#REF!,2,FALSE)</f>
        <v>#REF!</v>
      </c>
      <c r="O125" s="11">
        <v>45083</v>
      </c>
      <c r="P125" s="13">
        <v>22</v>
      </c>
      <c r="Q125" s="13">
        <v>16.399999999999999</v>
      </c>
      <c r="R125" s="13">
        <v>5.3</v>
      </c>
      <c r="S125" s="13">
        <f>Table2[[#This Row],[2_Temp_H]]-Table2[[#This Row],[2_Temp_L]]</f>
        <v>16.7</v>
      </c>
      <c r="T125" s="13">
        <v>27.7</v>
      </c>
      <c r="U125" s="13">
        <v>5.0999999999999996</v>
      </c>
      <c r="V125" s="13">
        <v>1011.85</v>
      </c>
      <c r="W125" s="13">
        <v>1008.81</v>
      </c>
      <c r="X125" s="13">
        <v>0</v>
      </c>
      <c r="Y125" s="13" t="s">
        <v>147</v>
      </c>
      <c r="Z125" s="13" t="s">
        <v>139</v>
      </c>
      <c r="AA125" s="13" t="s">
        <v>26</v>
      </c>
      <c r="AB125" s="13" t="s">
        <v>144</v>
      </c>
      <c r="AC125" s="13" t="s">
        <v>146</v>
      </c>
      <c r="AD125" s="13" t="s">
        <v>137</v>
      </c>
      <c r="AE125" s="13">
        <f>VLOOKUP(Table2[[#This Row],[3_Elephant_ID]],'[1]Attributes(OUTDATED)'!$A$2:$N$19,12,FALSE)</f>
        <v>305</v>
      </c>
      <c r="AF125" s="13">
        <f>VLOOKUP(Table2[[#This Row],[3_Elephant_ID]],'[1]Attributes(OUTDATED)'!$A$2:$N$19,13,FALSE)</f>
        <v>0.17499999999999999</v>
      </c>
      <c r="AG125" s="13">
        <f>VLOOKUP(Table2[[#This Row],[3_Elephant_ID]],'[1]Attributes(OUTDATED)'!$A$2:$N$19,14,FALSE)</f>
        <v>0.17467336145108631</v>
      </c>
      <c r="AH125" s="13">
        <v>1</v>
      </c>
      <c r="AI125" s="13">
        <v>0</v>
      </c>
      <c r="AJ125" s="13">
        <v>0</v>
      </c>
      <c r="AK125" s="13">
        <v>0</v>
      </c>
      <c r="AL125" s="13">
        <f>VLOOKUP(Table2[[#This Row],[3_Elephant_ID]],'[1]Attributes(OUTDATED)'!$A$2:$P$19,16,FALSE)</f>
        <v>2</v>
      </c>
      <c r="AM125" s="13">
        <f>VLOOKUP(Table2[[#This Row],[3_Elephant_ID]],'[1]Attributes(OUTDATED)'!$A$2:$S$19,17,FALSE)</f>
        <v>0</v>
      </c>
      <c r="AN125" s="13">
        <f>VLOOKUP(Table2[[#This Row],[3_Elephant_ID]],'[1]Attributes(OUTDATED)'!$A$2:$S$19,18,FALSE)</f>
        <v>4</v>
      </c>
    </row>
    <row r="126" spans="1:40" ht="28" x14ac:dyDescent="0.15">
      <c r="A126" s="3">
        <v>150</v>
      </c>
      <c r="B126" s="6" t="s">
        <v>63</v>
      </c>
      <c r="C126" s="7">
        <v>8</v>
      </c>
      <c r="D126" s="7">
        <v>6</v>
      </c>
      <c r="E126" s="7">
        <v>2023</v>
      </c>
      <c r="F126" s="5">
        <v>45085</v>
      </c>
      <c r="G126" s="6" t="s">
        <v>7</v>
      </c>
      <c r="H126" s="17">
        <v>0.28021276595744682</v>
      </c>
      <c r="I126" s="20">
        <f>ROUNDUP((Table2[[#This Row],[fGCM_Conc]]*10000),0)</f>
        <v>2803</v>
      </c>
      <c r="J126" s="3" t="str">
        <f>VLOOKUP(G126,'[1]Attributes(OUTDATED)'!$A$2:$C$19,2,FALSE)</f>
        <v>F</v>
      </c>
      <c r="K126" s="3" t="str">
        <f>VLOOKUP(G126,'[1]Attributes(OUTDATED)'!$A$2:$C$19,3,FALSE)</f>
        <v>J</v>
      </c>
      <c r="L126" s="3">
        <f>VLOOKUP(G126,'[1]Attributes(OUTDATED)'!$A$2:$H$19,8,FALSE)</f>
        <v>711</v>
      </c>
      <c r="M126" s="3" t="str">
        <f>K126&amp;J126</f>
        <v>JF</v>
      </c>
      <c r="N126" s="3" t="e">
        <f>VLOOKUP(G126,#REF!,2,FALSE)</f>
        <v>#REF!</v>
      </c>
      <c r="O126" s="11">
        <v>45083</v>
      </c>
      <c r="P126" s="13">
        <v>22</v>
      </c>
      <c r="Q126" s="13">
        <v>16.399999999999999</v>
      </c>
      <c r="R126" s="13">
        <v>5.3</v>
      </c>
      <c r="S126" s="13">
        <f>Table2[[#This Row],[2_Temp_H]]-Table2[[#This Row],[2_Temp_L]]</f>
        <v>16.7</v>
      </c>
      <c r="T126" s="13">
        <v>27.7</v>
      </c>
      <c r="U126" s="13">
        <v>5.0999999999999996</v>
      </c>
      <c r="V126" s="13">
        <v>1011.85</v>
      </c>
      <c r="W126" s="13">
        <v>1008.81</v>
      </c>
      <c r="X126" s="13">
        <v>0</v>
      </c>
      <c r="Y126" s="13" t="s">
        <v>147</v>
      </c>
      <c r="Z126" s="13" t="s">
        <v>139</v>
      </c>
      <c r="AA126" s="13" t="s">
        <v>26</v>
      </c>
      <c r="AB126" s="13" t="s">
        <v>144</v>
      </c>
      <c r="AC126" s="13" t="s">
        <v>146</v>
      </c>
      <c r="AD126" s="13" t="s">
        <v>137</v>
      </c>
      <c r="AE126" s="13">
        <f>VLOOKUP(Table2[[#This Row],[3_Elephant_ID]],'[1]Attributes(OUTDATED)'!$A$2:$N$19,12,FALSE)</f>
        <v>398</v>
      </c>
      <c r="AF126" s="13">
        <f>VLOOKUP(Table2[[#This Row],[3_Elephant_ID]],'[1]Attributes(OUTDATED)'!$A$2:$N$19,13,FALSE)</f>
        <v>0.47899999999999998</v>
      </c>
      <c r="AG126" s="13">
        <f>VLOOKUP(Table2[[#This Row],[3_Elephant_ID]],'[1]Attributes(OUTDATED)'!$A$2:$N$19,14,FALSE)</f>
        <v>0.47820662037086947</v>
      </c>
      <c r="AH126" s="13">
        <v>1</v>
      </c>
      <c r="AI126" s="13">
        <v>0</v>
      </c>
      <c r="AJ126" s="13">
        <v>0</v>
      </c>
      <c r="AK126" s="13">
        <v>0</v>
      </c>
      <c r="AL126" s="13">
        <f>VLOOKUP(Table2[[#This Row],[3_Elephant_ID]],'[1]Attributes(OUTDATED)'!$A$2:$P$19,16,FALSE)</f>
        <v>1</v>
      </c>
      <c r="AM126" s="13">
        <f>VLOOKUP(Table2[[#This Row],[3_Elephant_ID]],'[1]Attributes(OUTDATED)'!$A$2:$S$19,17,FALSE)</f>
        <v>0</v>
      </c>
      <c r="AN126" s="13">
        <f>VLOOKUP(Table2[[#This Row],[3_Elephant_ID]],'[1]Attributes(OUTDATED)'!$A$2:$S$19,18,FALSE)</f>
        <v>12</v>
      </c>
    </row>
    <row r="127" spans="1:40" ht="28" x14ac:dyDescent="0.15">
      <c r="A127" s="3">
        <v>149</v>
      </c>
      <c r="B127" s="6" t="s">
        <v>62</v>
      </c>
      <c r="C127" s="7">
        <v>8</v>
      </c>
      <c r="D127" s="7">
        <v>6</v>
      </c>
      <c r="E127" s="7">
        <v>2023</v>
      </c>
      <c r="F127" s="5">
        <v>45085</v>
      </c>
      <c r="G127" s="6" t="s">
        <v>4</v>
      </c>
      <c r="H127" s="17">
        <v>0.24449136276391562</v>
      </c>
      <c r="I127" s="20">
        <f>ROUNDUP((Table2[[#This Row],[fGCM_Conc]]*10000),0)</f>
        <v>2445</v>
      </c>
      <c r="J127" s="3" t="str">
        <f>VLOOKUP(G127,'[1]Attributes(OUTDATED)'!$A$2:$C$19,2,FALSE)</f>
        <v>M</v>
      </c>
      <c r="K127" s="3" t="str">
        <f>VLOOKUP(G127,'[1]Attributes(OUTDATED)'!$A$2:$C$19,3,FALSE)</f>
        <v>J</v>
      </c>
      <c r="L127" s="3">
        <f>VLOOKUP(G127,'[1]Attributes(OUTDATED)'!$A$2:$H$19,8,FALSE)</f>
        <v>1055</v>
      </c>
      <c r="M127" s="3" t="str">
        <f>K127&amp;J127</f>
        <v>JM</v>
      </c>
      <c r="N127" s="3" t="e">
        <f>VLOOKUP(G127,#REF!,2,FALSE)</f>
        <v>#REF!</v>
      </c>
      <c r="O127" s="11">
        <v>45083</v>
      </c>
      <c r="P127" s="13">
        <v>22</v>
      </c>
      <c r="Q127" s="13">
        <v>16.399999999999999</v>
      </c>
      <c r="R127" s="13">
        <v>5.3</v>
      </c>
      <c r="S127" s="13">
        <f>Table2[[#This Row],[2_Temp_H]]-Table2[[#This Row],[2_Temp_L]]</f>
        <v>16.7</v>
      </c>
      <c r="T127" s="13">
        <v>27.7</v>
      </c>
      <c r="U127" s="13">
        <v>5.0999999999999996</v>
      </c>
      <c r="V127" s="13">
        <v>1011.85</v>
      </c>
      <c r="W127" s="13">
        <v>1008.81</v>
      </c>
      <c r="X127" s="13">
        <v>0</v>
      </c>
      <c r="Y127" s="13" t="s">
        <v>147</v>
      </c>
      <c r="Z127" s="13" t="s">
        <v>139</v>
      </c>
      <c r="AA127" s="13" t="s">
        <v>26</v>
      </c>
      <c r="AB127" s="13" t="s">
        <v>144</v>
      </c>
      <c r="AC127" s="13" t="s">
        <v>146</v>
      </c>
      <c r="AD127" s="13" t="s">
        <v>137</v>
      </c>
      <c r="AE127" s="13">
        <f>VLOOKUP(Table2[[#This Row],[3_Elephant_ID]],'[1]Attributes(OUTDATED)'!$A$2:$N$19,12,FALSE)</f>
        <v>181</v>
      </c>
      <c r="AF127" s="13">
        <f>VLOOKUP(Table2[[#This Row],[3_Elephant_ID]],'[1]Attributes(OUTDATED)'!$A$2:$N$19,13,FALSE)</f>
        <v>7.3999999999999996E-2</v>
      </c>
      <c r="AG127" s="13">
        <f>VLOOKUP(Table2[[#This Row],[3_Elephant_ID]],'[1]Attributes(OUTDATED)'!$A$2:$N$19,14,FALSE)</f>
        <v>7.3914663535330896E-2</v>
      </c>
      <c r="AH127" s="13">
        <v>1</v>
      </c>
      <c r="AI127" s="13">
        <v>0</v>
      </c>
      <c r="AJ127" s="13">
        <v>0</v>
      </c>
      <c r="AK127" s="13">
        <v>0</v>
      </c>
      <c r="AL127" s="13">
        <f>VLOOKUP(Table2[[#This Row],[3_Elephant_ID]],'[1]Attributes(OUTDATED)'!$A$2:$P$19,16,FALSE)</f>
        <v>1</v>
      </c>
      <c r="AM127" s="13">
        <f>VLOOKUP(Table2[[#This Row],[3_Elephant_ID]],'[1]Attributes(OUTDATED)'!$A$2:$S$19,17,FALSE)</f>
        <v>7</v>
      </c>
      <c r="AN127" s="13">
        <f>VLOOKUP(Table2[[#This Row],[3_Elephant_ID]],'[1]Attributes(OUTDATED)'!$A$2:$S$19,18,FALSE)</f>
        <v>9</v>
      </c>
    </row>
    <row r="128" spans="1:40" ht="28" x14ac:dyDescent="0.15">
      <c r="A128" s="3">
        <v>146</v>
      </c>
      <c r="B128" s="6">
        <v>1206231248</v>
      </c>
      <c r="C128" s="7">
        <v>12</v>
      </c>
      <c r="D128" s="7">
        <v>6</v>
      </c>
      <c r="E128" s="7">
        <v>2023</v>
      </c>
      <c r="F128" s="5">
        <v>45089</v>
      </c>
      <c r="G128" s="6" t="s">
        <v>1</v>
      </c>
      <c r="H128" s="17">
        <v>0.24428571428571427</v>
      </c>
      <c r="I128" s="20">
        <f>ROUNDUP((Table2[[#This Row],[fGCM_Conc]]*10000),0)</f>
        <v>2443</v>
      </c>
      <c r="J128" s="3" t="str">
        <f>VLOOKUP(G128,'[1]Attributes(OUTDATED)'!$A$2:$C$19,2,FALSE)</f>
        <v>F</v>
      </c>
      <c r="K128" s="3" t="str">
        <f>VLOOKUP(G128,'[1]Attributes(OUTDATED)'!$A$2:$C$19,3,FALSE)</f>
        <v>A</v>
      </c>
      <c r="L128" s="3">
        <f>VLOOKUP(G128,'[1]Attributes(OUTDATED)'!$A$2:$H$19,8,FALSE)</f>
        <v>929</v>
      </c>
      <c r="M128" s="3" t="str">
        <f>K128&amp;J128</f>
        <v>AF</v>
      </c>
      <c r="N128" s="3" t="e">
        <f>VLOOKUP(G128,#REF!,2,FALSE)</f>
        <v>#REF!</v>
      </c>
      <c r="O128" s="11">
        <v>45087</v>
      </c>
      <c r="P128" s="13">
        <v>18</v>
      </c>
      <c r="Q128" s="13">
        <v>8.4</v>
      </c>
      <c r="R128" s="13">
        <v>1.3</v>
      </c>
      <c r="S128" s="13">
        <f>Table2[[#This Row],[2_Temp_H]]-Table2[[#This Row],[2_Temp_L]]</f>
        <v>16.7</v>
      </c>
      <c r="T128" s="13">
        <v>15</v>
      </c>
      <c r="U128" s="13">
        <v>3.1</v>
      </c>
      <c r="V128" s="13">
        <v>1015.92</v>
      </c>
      <c r="W128" s="13">
        <v>1012.87</v>
      </c>
      <c r="X128" s="13">
        <v>0.25</v>
      </c>
      <c r="Y128" s="13" t="s">
        <v>147</v>
      </c>
      <c r="Z128" s="16" t="s">
        <v>171</v>
      </c>
      <c r="AA128" s="13" t="s">
        <v>137</v>
      </c>
      <c r="AB128" s="13" t="s">
        <v>144</v>
      </c>
      <c r="AC128" s="13" t="s">
        <v>146</v>
      </c>
      <c r="AD128" s="13" t="s">
        <v>137</v>
      </c>
      <c r="AE128" s="13">
        <f>VLOOKUP(Table2[[#This Row],[3_Elephant_ID]],'[1]Attributes(OUTDATED)'!$A$2:$N$19,12,FALSE)</f>
        <v>321</v>
      </c>
      <c r="AF128" s="13">
        <f>VLOOKUP(Table2[[#This Row],[3_Elephant_ID]],'[1]Attributes(OUTDATED)'!$A$2:$N$19,13,FALSE)</f>
        <v>0.17599999999999999</v>
      </c>
      <c r="AG128" s="13">
        <f>VLOOKUP(Table2[[#This Row],[3_Elephant_ID]],'[1]Attributes(OUTDATED)'!$A$2:$N$19,14,FALSE)</f>
        <v>0.17530262753188491</v>
      </c>
      <c r="AH128" s="13">
        <v>0</v>
      </c>
      <c r="AI128" s="13">
        <v>0</v>
      </c>
      <c r="AJ128" s="13">
        <v>0</v>
      </c>
      <c r="AK128" s="13">
        <v>0</v>
      </c>
      <c r="AL128" s="13">
        <f>VLOOKUP(Table2[[#This Row],[3_Elephant_ID]],'[1]Attributes(OUTDATED)'!$A$2:$P$19,16,FALSE)</f>
        <v>1</v>
      </c>
      <c r="AM128" s="13">
        <f>VLOOKUP(Table2[[#This Row],[3_Elephant_ID]],'[1]Attributes(OUTDATED)'!$A$2:$S$19,17,FALSE)</f>
        <v>6</v>
      </c>
      <c r="AN128" s="13">
        <f>VLOOKUP(Table2[[#This Row],[3_Elephant_ID]],'[1]Attributes(OUTDATED)'!$A$2:$S$19,18,FALSE)</f>
        <v>8</v>
      </c>
    </row>
    <row r="129" spans="1:40" ht="28" x14ac:dyDescent="0.15">
      <c r="A129" s="3">
        <v>145</v>
      </c>
      <c r="B129" s="6">
        <v>2206231310</v>
      </c>
      <c r="C129" s="7">
        <v>22</v>
      </c>
      <c r="D129" s="7">
        <v>6</v>
      </c>
      <c r="E129" s="7">
        <v>2023</v>
      </c>
      <c r="F129" s="5">
        <v>45099</v>
      </c>
      <c r="G129" s="6" t="s">
        <v>12</v>
      </c>
      <c r="H129" s="17">
        <v>0.71127167630057808</v>
      </c>
      <c r="I129" s="20">
        <f>ROUNDUP((Table2[[#This Row],[fGCM_Conc]]*10000),0)</f>
        <v>7113</v>
      </c>
      <c r="J129" s="3" t="str">
        <f>VLOOKUP(G129,'[1]Attributes(OUTDATED)'!$A$2:$C$19,2,FALSE)</f>
        <v>M</v>
      </c>
      <c r="K129" s="3" t="str">
        <f>VLOOKUP(G129,'[1]Attributes(OUTDATED)'!$A$2:$C$19,3,FALSE)</f>
        <v>A</v>
      </c>
      <c r="L129" s="3">
        <f>VLOOKUP(G129,'[1]Attributes(OUTDATED)'!$A$2:$H$19,8,FALSE)</f>
        <v>1509</v>
      </c>
      <c r="M129" s="3" t="str">
        <f>K129&amp;J129</f>
        <v>AM</v>
      </c>
      <c r="N129" s="3" t="e">
        <f>VLOOKUP(G129,#REF!,2,FALSE)</f>
        <v>#REF!</v>
      </c>
      <c r="O129" s="11">
        <v>45097</v>
      </c>
      <c r="P129" s="13">
        <v>11.2</v>
      </c>
      <c r="Q129" s="13">
        <v>5.8</v>
      </c>
      <c r="R129" s="13">
        <v>1</v>
      </c>
      <c r="S129" s="13">
        <f>Table2[[#This Row],[2_Temp_H]]-Table2[[#This Row],[2_Temp_L]]</f>
        <v>10.199999999999999</v>
      </c>
      <c r="T129" s="13">
        <v>26.9</v>
      </c>
      <c r="U129" s="13">
        <v>7.5</v>
      </c>
      <c r="V129" s="13">
        <v>1014.9</v>
      </c>
      <c r="W129" s="13">
        <v>1010.84</v>
      </c>
      <c r="X129" s="13">
        <v>0</v>
      </c>
      <c r="Y129" s="13" t="s">
        <v>147</v>
      </c>
      <c r="Z129" s="13" t="s">
        <v>139</v>
      </c>
      <c r="AA129" s="13" t="s">
        <v>26</v>
      </c>
      <c r="AB129" s="13" t="s">
        <v>144</v>
      </c>
      <c r="AC129" s="13" t="s">
        <v>146</v>
      </c>
      <c r="AD129" s="13" t="s">
        <v>137</v>
      </c>
      <c r="AE129" s="13">
        <f>VLOOKUP(Table2[[#This Row],[3_Elephant_ID]],'[1]Attributes(OUTDATED)'!$A$2:$N$19,12,FALSE)</f>
        <v>450</v>
      </c>
      <c r="AF129" s="13">
        <f>VLOOKUP(Table2[[#This Row],[3_Elephant_ID]],'[1]Attributes(OUTDATED)'!$A$2:$N$19,13,FALSE)</f>
        <v>0.375</v>
      </c>
      <c r="AG129" s="13">
        <f>VLOOKUP(Table2[[#This Row],[3_Elephant_ID]],'[1]Attributes(OUTDATED)'!$A$2:$N$19,14,FALSE)</f>
        <v>0.37414375430996583</v>
      </c>
      <c r="AH129" s="13">
        <v>0</v>
      </c>
      <c r="AI129" s="13">
        <v>0</v>
      </c>
      <c r="AJ129" s="13">
        <v>0</v>
      </c>
      <c r="AK129" s="13">
        <v>0</v>
      </c>
      <c r="AL129" s="13">
        <f>VLOOKUP(Table2[[#This Row],[3_Elephant_ID]],'[1]Attributes(OUTDATED)'!$A$2:$P$19,16,FALSE)</f>
        <v>1</v>
      </c>
      <c r="AM129" s="13">
        <f>VLOOKUP(Table2[[#This Row],[3_Elephant_ID]],'[1]Attributes(OUTDATED)'!$A$2:$S$19,17,FALSE)</f>
        <v>48</v>
      </c>
      <c r="AN129" s="13">
        <f>VLOOKUP(Table2[[#This Row],[3_Elephant_ID]],'[1]Attributes(OUTDATED)'!$A$2:$S$19,18,FALSE)</f>
        <v>3</v>
      </c>
    </row>
    <row r="130" spans="1:40" ht="28" x14ac:dyDescent="0.15">
      <c r="A130" s="3">
        <v>144</v>
      </c>
      <c r="B130" s="6">
        <v>2206231727</v>
      </c>
      <c r="C130" s="7">
        <v>22</v>
      </c>
      <c r="D130" s="7">
        <v>6</v>
      </c>
      <c r="E130" s="7">
        <v>2023</v>
      </c>
      <c r="F130" s="5">
        <v>45099</v>
      </c>
      <c r="G130" s="6" t="s">
        <v>4</v>
      </c>
      <c r="H130" s="17">
        <v>0.47643122676579924</v>
      </c>
      <c r="I130" s="20">
        <f>ROUNDUP((Table2[[#This Row],[fGCM_Conc]]*10000),0)</f>
        <v>4765</v>
      </c>
      <c r="J130" s="3" t="str">
        <f>VLOOKUP(G130,'[1]Attributes(OUTDATED)'!$A$2:$C$19,2,FALSE)</f>
        <v>M</v>
      </c>
      <c r="K130" s="3" t="str">
        <f>VLOOKUP(G130,'[1]Attributes(OUTDATED)'!$A$2:$C$19,3,FALSE)</f>
        <v>J</v>
      </c>
      <c r="L130" s="3">
        <f>VLOOKUP(G130,'[1]Attributes(OUTDATED)'!$A$2:$H$19,8,FALSE)</f>
        <v>1055</v>
      </c>
      <c r="M130" s="3" t="str">
        <f>K130&amp;J130</f>
        <v>JM</v>
      </c>
      <c r="N130" s="3" t="e">
        <f>VLOOKUP(G130,#REF!,2,FALSE)</f>
        <v>#REF!</v>
      </c>
      <c r="O130" s="11">
        <v>45097</v>
      </c>
      <c r="P130" s="13">
        <v>11.2</v>
      </c>
      <c r="Q130" s="13">
        <v>5.8</v>
      </c>
      <c r="R130" s="13">
        <v>1</v>
      </c>
      <c r="S130" s="13">
        <f>Table2[[#This Row],[2_Temp_H]]-Table2[[#This Row],[2_Temp_L]]</f>
        <v>10.199999999999999</v>
      </c>
      <c r="T130" s="13">
        <v>26.9</v>
      </c>
      <c r="U130" s="13">
        <v>7.5</v>
      </c>
      <c r="V130" s="13">
        <v>1014.9</v>
      </c>
      <c r="W130" s="13">
        <v>1010.84</v>
      </c>
      <c r="X130" s="13">
        <v>0</v>
      </c>
      <c r="Y130" s="13" t="s">
        <v>147</v>
      </c>
      <c r="Z130" s="13" t="s">
        <v>139</v>
      </c>
      <c r="AA130" s="13" t="s">
        <v>26</v>
      </c>
      <c r="AB130" s="13" t="s">
        <v>144</v>
      </c>
      <c r="AC130" s="13" t="s">
        <v>146</v>
      </c>
      <c r="AD130" s="13" t="s">
        <v>137</v>
      </c>
      <c r="AE130" s="13">
        <f>VLOOKUP(Table2[[#This Row],[3_Elephant_ID]],'[1]Attributes(OUTDATED)'!$A$2:$N$19,12,FALSE)</f>
        <v>181</v>
      </c>
      <c r="AF130" s="13">
        <f>VLOOKUP(Table2[[#This Row],[3_Elephant_ID]],'[1]Attributes(OUTDATED)'!$A$2:$N$19,13,FALSE)</f>
        <v>7.3999999999999996E-2</v>
      </c>
      <c r="AG130" s="13">
        <f>VLOOKUP(Table2[[#This Row],[3_Elephant_ID]],'[1]Attributes(OUTDATED)'!$A$2:$N$19,14,FALSE)</f>
        <v>7.3914663535330896E-2</v>
      </c>
      <c r="AH130" s="13">
        <v>0</v>
      </c>
      <c r="AI130" s="13">
        <v>0</v>
      </c>
      <c r="AJ130" s="13">
        <v>0</v>
      </c>
      <c r="AK130" s="13">
        <v>0</v>
      </c>
      <c r="AL130" s="13">
        <f>VLOOKUP(Table2[[#This Row],[3_Elephant_ID]],'[1]Attributes(OUTDATED)'!$A$2:$P$19,16,FALSE)</f>
        <v>1</v>
      </c>
      <c r="AM130" s="13">
        <f>VLOOKUP(Table2[[#This Row],[3_Elephant_ID]],'[1]Attributes(OUTDATED)'!$A$2:$S$19,17,FALSE)</f>
        <v>7</v>
      </c>
      <c r="AN130" s="13">
        <f>VLOOKUP(Table2[[#This Row],[3_Elephant_ID]],'[1]Attributes(OUTDATED)'!$A$2:$S$19,18,FALSE)</f>
        <v>9</v>
      </c>
    </row>
    <row r="131" spans="1:40" ht="28" x14ac:dyDescent="0.15">
      <c r="A131" s="3">
        <v>143</v>
      </c>
      <c r="B131" s="6">
        <v>2706231617</v>
      </c>
      <c r="C131" s="7">
        <v>27</v>
      </c>
      <c r="D131" s="7">
        <v>6</v>
      </c>
      <c r="E131" s="7">
        <v>2023</v>
      </c>
      <c r="F131" s="5">
        <v>45104</v>
      </c>
      <c r="G131" s="6" t="s">
        <v>2</v>
      </c>
      <c r="H131" s="17">
        <v>0.28130597014925374</v>
      </c>
      <c r="I131" s="20">
        <f>ROUNDUP((Table2[[#This Row],[fGCM_Conc]]*10000),0)</f>
        <v>2814</v>
      </c>
      <c r="J131" s="3" t="str">
        <f>VLOOKUP(G131,'[1]Attributes(OUTDATED)'!$A$2:$C$19,2,FALSE)</f>
        <v>F</v>
      </c>
      <c r="K131" s="3" t="str">
        <f>VLOOKUP(G131,'[1]Attributes(OUTDATED)'!$A$2:$C$19,3,FALSE)</f>
        <v>A</v>
      </c>
      <c r="L131" s="3">
        <f>VLOOKUP(G131,'[1]Attributes(OUTDATED)'!$A$2:$H$19,8,FALSE)</f>
        <v>892</v>
      </c>
      <c r="M131" s="3" t="str">
        <f>K131&amp;J131</f>
        <v>AF</v>
      </c>
      <c r="N131" s="3" t="e">
        <f>VLOOKUP(G131,#REF!,2,FALSE)</f>
        <v>#REF!</v>
      </c>
      <c r="O131" s="11">
        <v>45102</v>
      </c>
      <c r="P131" s="13">
        <v>15.3</v>
      </c>
      <c r="Q131" s="13">
        <v>8.1</v>
      </c>
      <c r="R131" s="13">
        <v>2.2999999999999998</v>
      </c>
      <c r="S131" s="13">
        <f>Table2[[#This Row],[2_Temp_H]]-Table2[[#This Row],[2_Temp_L]]</f>
        <v>13</v>
      </c>
      <c r="T131" s="13">
        <v>23</v>
      </c>
      <c r="U131" s="13">
        <v>3.4</v>
      </c>
      <c r="V131" s="13">
        <v>1014.9</v>
      </c>
      <c r="W131" s="13">
        <v>1011.85</v>
      </c>
      <c r="X131" s="13">
        <v>0</v>
      </c>
      <c r="Y131" s="13" t="s">
        <v>147</v>
      </c>
      <c r="Z131" s="13" t="s">
        <v>139</v>
      </c>
      <c r="AA131" s="13" t="s">
        <v>26</v>
      </c>
      <c r="AB131" s="13" t="s">
        <v>144</v>
      </c>
      <c r="AC131" s="13" t="s">
        <v>146</v>
      </c>
      <c r="AD131" s="13" t="s">
        <v>137</v>
      </c>
      <c r="AE131" s="13">
        <f>VLOOKUP(Table2[[#This Row],[3_Elephant_ID]],'[1]Attributes(OUTDATED)'!$A$2:$N$19,12,FALSE)</f>
        <v>378</v>
      </c>
      <c r="AF131" s="13">
        <f>VLOOKUP(Table2[[#This Row],[3_Elephant_ID]],'[1]Attributes(OUTDATED)'!$A$2:$N$19,13,FALSE)</f>
        <v>8.6999999999999994E-2</v>
      </c>
      <c r="AG131" s="13">
        <f>VLOOKUP(Table2[[#This Row],[3_Elephant_ID]],'[1]Attributes(OUTDATED)'!$A$2:$N$19,14,FALSE)</f>
        <v>8.6599138783086713E-2</v>
      </c>
      <c r="AH131" s="13">
        <v>0</v>
      </c>
      <c r="AI131" s="13">
        <v>0</v>
      </c>
      <c r="AJ131" s="13">
        <v>0</v>
      </c>
      <c r="AK131" s="13">
        <v>0</v>
      </c>
      <c r="AL131" s="13">
        <f>VLOOKUP(Table2[[#This Row],[3_Elephant_ID]],'[1]Attributes(OUTDATED)'!$A$2:$P$19,16,FALSE)</f>
        <v>1</v>
      </c>
      <c r="AM131" s="13">
        <f>VLOOKUP(Table2[[#This Row],[3_Elephant_ID]],'[1]Attributes(OUTDATED)'!$A$2:$S$19,17,FALSE)</f>
        <v>4</v>
      </c>
      <c r="AN131" s="13">
        <f>VLOOKUP(Table2[[#This Row],[3_Elephant_ID]],'[1]Attributes(OUTDATED)'!$A$2:$S$19,18,FALSE)</f>
        <v>20</v>
      </c>
    </row>
    <row r="132" spans="1:40" ht="28" x14ac:dyDescent="0.15">
      <c r="A132" s="3">
        <v>141</v>
      </c>
      <c r="B132" s="6">
        <v>2806231059</v>
      </c>
      <c r="C132" s="7">
        <v>28</v>
      </c>
      <c r="D132" s="7">
        <v>6</v>
      </c>
      <c r="E132" s="7">
        <v>2023</v>
      </c>
      <c r="F132" s="5">
        <v>45105</v>
      </c>
      <c r="G132" s="6" t="s">
        <v>15</v>
      </c>
      <c r="H132" s="17">
        <v>0.51084586466165405</v>
      </c>
      <c r="I132" s="20">
        <f>ROUNDUP((Table2[[#This Row],[fGCM_Conc]]*10000),0)</f>
        <v>5109</v>
      </c>
      <c r="J132" s="3" t="str">
        <f>VLOOKUP(G132,'[1]Attributes(OUTDATED)'!$A$2:$C$19,2,FALSE)</f>
        <v>M</v>
      </c>
      <c r="K132" s="3" t="str">
        <f>VLOOKUP(G132,'[1]Attributes(OUTDATED)'!$A$2:$C$19,3,FALSE)</f>
        <v>J</v>
      </c>
      <c r="L132" s="3">
        <f>VLOOKUP(G132,'[1]Attributes(OUTDATED)'!$A$2:$H$19,8,FALSE)</f>
        <v>828</v>
      </c>
      <c r="M132" s="3" t="str">
        <f>K132&amp;J132</f>
        <v>JM</v>
      </c>
      <c r="N132" s="3" t="e">
        <f>VLOOKUP(G132,#REF!,2,FALSE)</f>
        <v>#REF!</v>
      </c>
      <c r="O132" s="11">
        <v>45103</v>
      </c>
      <c r="P132" s="13">
        <v>14.6</v>
      </c>
      <c r="Q132" s="13">
        <v>9.8000000000000007</v>
      </c>
      <c r="R132" s="13">
        <v>7.2</v>
      </c>
      <c r="S132" s="13">
        <f>Table2[[#This Row],[2_Temp_H]]-Table2[[#This Row],[2_Temp_L]]</f>
        <v>7.3999999999999995</v>
      </c>
      <c r="T132" s="13">
        <v>26.6</v>
      </c>
      <c r="U132" s="13">
        <v>4.3</v>
      </c>
      <c r="V132" s="13">
        <v>1014.9</v>
      </c>
      <c r="W132" s="13">
        <v>1010.84</v>
      </c>
      <c r="X132" s="13">
        <v>1.52</v>
      </c>
      <c r="Y132" s="13" t="s">
        <v>147</v>
      </c>
      <c r="Z132" s="13" t="s">
        <v>141</v>
      </c>
      <c r="AA132" s="13" t="s">
        <v>26</v>
      </c>
      <c r="AB132" s="13" t="s">
        <v>144</v>
      </c>
      <c r="AC132" s="13" t="s">
        <v>146</v>
      </c>
      <c r="AD132" s="13" t="s">
        <v>137</v>
      </c>
      <c r="AE132" s="13">
        <f>VLOOKUP(Table2[[#This Row],[3_Elephant_ID]],'[1]Attributes(OUTDATED)'!$A$2:$N$19,12,FALSE)</f>
        <v>219</v>
      </c>
      <c r="AF132" s="13">
        <f>VLOOKUP(Table2[[#This Row],[3_Elephant_ID]],'[1]Attributes(OUTDATED)'!$A$2:$N$19,13,FALSE)</f>
        <v>0.32300000000000001</v>
      </c>
      <c r="AG132" s="13">
        <f>VLOOKUP(Table2[[#This Row],[3_Elephant_ID]],'[1]Attributes(OUTDATED)'!$A$2:$N$19,14,FALSE)</f>
        <v>0.32257531484312868</v>
      </c>
      <c r="AH132" s="13">
        <v>0</v>
      </c>
      <c r="AI132" s="13">
        <v>0</v>
      </c>
      <c r="AJ132" s="13">
        <v>0</v>
      </c>
      <c r="AK132" s="13">
        <v>0</v>
      </c>
      <c r="AL132" s="13">
        <f>VLOOKUP(Table2[[#This Row],[3_Elephant_ID]],'[1]Attributes(OUTDATED)'!$A$2:$P$19,16,FALSE)</f>
        <v>2</v>
      </c>
      <c r="AM132" s="13">
        <f>VLOOKUP(Table2[[#This Row],[3_Elephant_ID]],'[1]Attributes(OUTDATED)'!$A$2:$S$19,17,FALSE)</f>
        <v>1</v>
      </c>
      <c r="AN132" s="13">
        <f>VLOOKUP(Table2[[#This Row],[3_Elephant_ID]],'[1]Attributes(OUTDATED)'!$A$2:$S$19,18,FALSE)</f>
        <v>6</v>
      </c>
    </row>
    <row r="133" spans="1:40" ht="28" x14ac:dyDescent="0.15">
      <c r="A133" s="3">
        <v>139</v>
      </c>
      <c r="B133" s="6">
        <v>2806231600</v>
      </c>
      <c r="C133" s="7">
        <v>28</v>
      </c>
      <c r="D133" s="7">
        <v>6</v>
      </c>
      <c r="E133" s="7">
        <v>2023</v>
      </c>
      <c r="F133" s="5">
        <v>45105</v>
      </c>
      <c r="G133" s="6" t="s">
        <v>16</v>
      </c>
      <c r="H133" s="17">
        <v>0.36790099009900984</v>
      </c>
      <c r="I133" s="20">
        <f>ROUNDUP((Table2[[#This Row],[fGCM_Conc]]*10000),0)</f>
        <v>3680</v>
      </c>
      <c r="J133" s="3" t="str">
        <f>VLOOKUP(G133,'[1]Attributes(OUTDATED)'!$A$2:$C$19,2,FALSE)</f>
        <v>F</v>
      </c>
      <c r="K133" s="3" t="str">
        <f>VLOOKUP(G133,'[1]Attributes(OUTDATED)'!$A$2:$C$19,3,FALSE)</f>
        <v>A</v>
      </c>
      <c r="L133" s="3">
        <f>VLOOKUP(G133,'[1]Attributes(OUTDATED)'!$A$2:$H$19,8,FALSE)</f>
        <v>1346</v>
      </c>
      <c r="M133" s="3" t="str">
        <f>K133&amp;J133</f>
        <v>AF</v>
      </c>
      <c r="N133" s="3" t="e">
        <f>VLOOKUP(G133,#REF!,2,FALSE)</f>
        <v>#REF!</v>
      </c>
      <c r="O133" s="11">
        <v>45103</v>
      </c>
      <c r="P133" s="13">
        <v>14.6</v>
      </c>
      <c r="Q133" s="13">
        <v>9.8000000000000007</v>
      </c>
      <c r="R133" s="13">
        <v>7.2</v>
      </c>
      <c r="S133" s="13">
        <f>Table2[[#This Row],[2_Temp_H]]-Table2[[#This Row],[2_Temp_L]]</f>
        <v>7.3999999999999995</v>
      </c>
      <c r="T133" s="13">
        <v>26.6</v>
      </c>
      <c r="U133" s="13">
        <v>4.3</v>
      </c>
      <c r="V133" s="13">
        <v>1014.9</v>
      </c>
      <c r="W133" s="13">
        <v>1010.84</v>
      </c>
      <c r="X133" s="13">
        <v>1.52</v>
      </c>
      <c r="Y133" s="13" t="s">
        <v>147</v>
      </c>
      <c r="Z133" s="13" t="s">
        <v>141</v>
      </c>
      <c r="AA133" s="13" t="s">
        <v>26</v>
      </c>
      <c r="AB133" s="13" t="s">
        <v>144</v>
      </c>
      <c r="AC133" s="13" t="s">
        <v>146</v>
      </c>
      <c r="AD133" s="13" t="s">
        <v>137</v>
      </c>
      <c r="AE133" s="13">
        <f>VLOOKUP(Table2[[#This Row],[3_Elephant_ID]],'[1]Attributes(OUTDATED)'!$A$2:$N$19,12,FALSE)</f>
        <v>474</v>
      </c>
      <c r="AF133" s="13">
        <f>VLOOKUP(Table2[[#This Row],[3_Elephant_ID]],'[1]Attributes(OUTDATED)'!$A$2:$N$19,13,FALSE)</f>
        <v>0.121</v>
      </c>
      <c r="AG133" s="13">
        <f>VLOOKUP(Table2[[#This Row],[3_Elephant_ID]],'[1]Attributes(OUTDATED)'!$A$2:$N$19,14,FALSE)</f>
        <v>0.1206993463154281</v>
      </c>
      <c r="AH133" s="13">
        <v>0</v>
      </c>
      <c r="AI133" s="13">
        <v>0</v>
      </c>
      <c r="AJ133" s="13">
        <v>0</v>
      </c>
      <c r="AK133" s="13">
        <v>0</v>
      </c>
      <c r="AL133" s="13">
        <f>VLOOKUP(Table2[[#This Row],[3_Elephant_ID]],'[1]Attributes(OUTDATED)'!$A$2:$P$19,16,FALSE)</f>
        <v>1</v>
      </c>
      <c r="AM133" s="13">
        <f>VLOOKUP(Table2[[#This Row],[3_Elephant_ID]],'[1]Attributes(OUTDATED)'!$A$2:$S$19,17,FALSE)</f>
        <v>16</v>
      </c>
      <c r="AN133" s="13">
        <f>VLOOKUP(Table2[[#This Row],[3_Elephant_ID]],'[1]Attributes(OUTDATED)'!$A$2:$S$19,18,FALSE)</f>
        <v>1</v>
      </c>
    </row>
    <row r="134" spans="1:40" ht="28" x14ac:dyDescent="0.15">
      <c r="A134" s="3">
        <v>142</v>
      </c>
      <c r="B134" s="6">
        <v>2806231110</v>
      </c>
      <c r="C134" s="7">
        <v>28</v>
      </c>
      <c r="D134" s="7">
        <v>6</v>
      </c>
      <c r="E134" s="7">
        <v>2023</v>
      </c>
      <c r="F134" s="5">
        <v>45105</v>
      </c>
      <c r="G134" s="6" t="s">
        <v>13</v>
      </c>
      <c r="H134" s="17">
        <v>0.34929389312977094</v>
      </c>
      <c r="I134" s="20">
        <f>ROUNDUP((Table2[[#This Row],[fGCM_Conc]]*10000),0)</f>
        <v>3493</v>
      </c>
      <c r="J134" s="3" t="str">
        <f>VLOOKUP(G134,'[1]Attributes(OUTDATED)'!$A$2:$C$19,2,FALSE)</f>
        <v>F</v>
      </c>
      <c r="K134" s="3" t="str">
        <f>VLOOKUP(G134,'[1]Attributes(OUTDATED)'!$A$2:$C$19,3,FALSE)</f>
        <v>A</v>
      </c>
      <c r="L134" s="3">
        <f>VLOOKUP(G134,'[1]Attributes(OUTDATED)'!$A$2:$H$19,8,FALSE)</f>
        <v>963</v>
      </c>
      <c r="M134" s="3" t="str">
        <f>K134&amp;J134</f>
        <v>AF</v>
      </c>
      <c r="N134" s="3" t="e">
        <f>VLOOKUP(G134,#REF!,2,FALSE)</f>
        <v>#REF!</v>
      </c>
      <c r="O134" s="11">
        <v>45103</v>
      </c>
      <c r="P134" s="13">
        <v>14.6</v>
      </c>
      <c r="Q134" s="13">
        <v>9.8000000000000007</v>
      </c>
      <c r="R134" s="13">
        <v>7.2</v>
      </c>
      <c r="S134" s="13">
        <f>Table2[[#This Row],[2_Temp_H]]-Table2[[#This Row],[2_Temp_L]]</f>
        <v>7.3999999999999995</v>
      </c>
      <c r="T134" s="13">
        <v>26.6</v>
      </c>
      <c r="U134" s="13">
        <v>4.3</v>
      </c>
      <c r="V134" s="13">
        <v>1014.9</v>
      </c>
      <c r="W134" s="13">
        <v>1010.84</v>
      </c>
      <c r="X134" s="13">
        <v>1.52</v>
      </c>
      <c r="Y134" s="13" t="s">
        <v>147</v>
      </c>
      <c r="Z134" s="13" t="s">
        <v>141</v>
      </c>
      <c r="AA134" s="13" t="s">
        <v>26</v>
      </c>
      <c r="AB134" s="13" t="s">
        <v>144</v>
      </c>
      <c r="AC134" s="13" t="s">
        <v>146</v>
      </c>
      <c r="AD134" s="13" t="s">
        <v>137</v>
      </c>
      <c r="AE134" s="13">
        <f>VLOOKUP(Table2[[#This Row],[3_Elephant_ID]],'[1]Attributes(OUTDATED)'!$A$2:$N$19,12,FALSE)</f>
        <v>289</v>
      </c>
      <c r="AF134" s="13">
        <f>VLOOKUP(Table2[[#This Row],[3_Elephant_ID]],'[1]Attributes(OUTDATED)'!$A$2:$N$19,13,FALSE)</f>
        <v>0.32400000000000001</v>
      </c>
      <c r="AG134" s="13">
        <f>VLOOKUP(Table2[[#This Row],[3_Elephant_ID]],'[1]Attributes(OUTDATED)'!$A$2:$N$19,14,FALSE)</f>
        <v>0.32380809109629533</v>
      </c>
      <c r="AH134" s="13">
        <v>0</v>
      </c>
      <c r="AI134" s="13">
        <v>0</v>
      </c>
      <c r="AJ134" s="13">
        <v>0</v>
      </c>
      <c r="AK134" s="13">
        <v>0</v>
      </c>
      <c r="AL134" s="13">
        <f>VLOOKUP(Table2[[#This Row],[3_Elephant_ID]],'[1]Attributes(OUTDATED)'!$A$2:$P$19,16,FALSE)</f>
        <v>2</v>
      </c>
      <c r="AM134" s="13">
        <f>VLOOKUP(Table2[[#This Row],[3_Elephant_ID]],'[1]Attributes(OUTDATED)'!$A$2:$S$19,17,FALSE)</f>
        <v>9</v>
      </c>
      <c r="AN134" s="13">
        <f>VLOOKUP(Table2[[#This Row],[3_Elephant_ID]],'[1]Attributes(OUTDATED)'!$A$2:$S$19,18,FALSE)</f>
        <v>9</v>
      </c>
    </row>
    <row r="135" spans="1:40" ht="28" x14ac:dyDescent="0.15">
      <c r="A135" s="3">
        <v>140</v>
      </c>
      <c r="B135" s="6">
        <v>2806231043</v>
      </c>
      <c r="C135" s="7">
        <v>28</v>
      </c>
      <c r="D135" s="7">
        <v>6</v>
      </c>
      <c r="E135" s="7">
        <v>2023</v>
      </c>
      <c r="F135" s="5">
        <v>45105</v>
      </c>
      <c r="G135" s="6" t="s">
        <v>7</v>
      </c>
      <c r="H135" s="17">
        <v>0.31155555555555553</v>
      </c>
      <c r="I135" s="20">
        <f>ROUNDUP((Table2[[#This Row],[fGCM_Conc]]*10000),0)</f>
        <v>3116</v>
      </c>
      <c r="J135" s="3" t="str">
        <f>VLOOKUP(G135,'[1]Attributes(OUTDATED)'!$A$2:$C$19,2,FALSE)</f>
        <v>F</v>
      </c>
      <c r="K135" s="3" t="str">
        <f>VLOOKUP(G135,'[1]Attributes(OUTDATED)'!$A$2:$C$19,3,FALSE)</f>
        <v>J</v>
      </c>
      <c r="L135" s="3">
        <f>VLOOKUP(G135,'[1]Attributes(OUTDATED)'!$A$2:$H$19,8,FALSE)</f>
        <v>711</v>
      </c>
      <c r="M135" s="3" t="str">
        <f>K135&amp;J135</f>
        <v>JF</v>
      </c>
      <c r="N135" s="3" t="e">
        <f>VLOOKUP(G135,#REF!,2,FALSE)</f>
        <v>#REF!</v>
      </c>
      <c r="O135" s="11">
        <v>45103</v>
      </c>
      <c r="P135" s="13">
        <v>14.6</v>
      </c>
      <c r="Q135" s="13">
        <v>9.8000000000000007</v>
      </c>
      <c r="R135" s="13">
        <v>7.2</v>
      </c>
      <c r="S135" s="13">
        <f>Table2[[#This Row],[2_Temp_H]]-Table2[[#This Row],[2_Temp_L]]</f>
        <v>7.3999999999999995</v>
      </c>
      <c r="T135" s="13">
        <v>26.6</v>
      </c>
      <c r="U135" s="13">
        <v>4.3</v>
      </c>
      <c r="V135" s="13">
        <v>1014.9</v>
      </c>
      <c r="W135" s="13">
        <v>1010.84</v>
      </c>
      <c r="X135" s="13">
        <v>1.52</v>
      </c>
      <c r="Y135" s="13" t="s">
        <v>147</v>
      </c>
      <c r="Z135" s="13" t="s">
        <v>141</v>
      </c>
      <c r="AA135" s="13" t="s">
        <v>26</v>
      </c>
      <c r="AB135" s="13" t="s">
        <v>144</v>
      </c>
      <c r="AC135" s="13" t="s">
        <v>146</v>
      </c>
      <c r="AD135" s="13" t="s">
        <v>137</v>
      </c>
      <c r="AE135" s="13">
        <f>VLOOKUP(Table2[[#This Row],[3_Elephant_ID]],'[1]Attributes(OUTDATED)'!$A$2:$N$19,12,FALSE)</f>
        <v>398</v>
      </c>
      <c r="AF135" s="13">
        <f>VLOOKUP(Table2[[#This Row],[3_Elephant_ID]],'[1]Attributes(OUTDATED)'!$A$2:$N$19,13,FALSE)</f>
        <v>0.47899999999999998</v>
      </c>
      <c r="AG135" s="13">
        <f>VLOOKUP(Table2[[#This Row],[3_Elephant_ID]],'[1]Attributes(OUTDATED)'!$A$2:$N$19,14,FALSE)</f>
        <v>0.47820662037086947</v>
      </c>
      <c r="AH135" s="13">
        <v>0</v>
      </c>
      <c r="AI135" s="13">
        <v>0</v>
      </c>
      <c r="AJ135" s="13">
        <v>0</v>
      </c>
      <c r="AK135" s="13">
        <v>0</v>
      </c>
      <c r="AL135" s="13">
        <f>VLOOKUP(Table2[[#This Row],[3_Elephant_ID]],'[1]Attributes(OUTDATED)'!$A$2:$P$19,16,FALSE)</f>
        <v>1</v>
      </c>
      <c r="AM135" s="13">
        <f>VLOOKUP(Table2[[#This Row],[3_Elephant_ID]],'[1]Attributes(OUTDATED)'!$A$2:$S$19,17,FALSE)</f>
        <v>0</v>
      </c>
      <c r="AN135" s="13">
        <f>VLOOKUP(Table2[[#This Row],[3_Elephant_ID]],'[1]Attributes(OUTDATED)'!$A$2:$S$19,18,FALSE)</f>
        <v>12</v>
      </c>
    </row>
    <row r="136" spans="1:40" ht="28" x14ac:dyDescent="0.15">
      <c r="A136" s="3">
        <v>137</v>
      </c>
      <c r="B136" s="6">
        <v>2906230936</v>
      </c>
      <c r="C136" s="7">
        <v>29</v>
      </c>
      <c r="D136" s="7">
        <v>6</v>
      </c>
      <c r="E136" s="7">
        <v>2023</v>
      </c>
      <c r="F136" s="5">
        <v>45106</v>
      </c>
      <c r="G136" s="6" t="s">
        <v>16</v>
      </c>
      <c r="H136" s="17">
        <v>0.50763302752293582</v>
      </c>
      <c r="I136" s="20">
        <f>ROUNDUP((Table2[[#This Row],[fGCM_Conc]]*10000),0)</f>
        <v>5077</v>
      </c>
      <c r="J136" s="3" t="str">
        <f>VLOOKUP(G136,'[1]Attributes(OUTDATED)'!$A$2:$C$19,2,FALSE)</f>
        <v>F</v>
      </c>
      <c r="K136" s="3" t="str">
        <f>VLOOKUP(G136,'[1]Attributes(OUTDATED)'!$A$2:$C$19,3,FALSE)</f>
        <v>A</v>
      </c>
      <c r="L136" s="3">
        <f>VLOOKUP(G136,'[1]Attributes(OUTDATED)'!$A$2:$H$19,8,FALSE)</f>
        <v>1346</v>
      </c>
      <c r="M136" s="3" t="str">
        <f>K136&amp;J136</f>
        <v>AF</v>
      </c>
      <c r="N136" s="3" t="e">
        <f>VLOOKUP(G136,#REF!,2,FALSE)</f>
        <v>#REF!</v>
      </c>
      <c r="O136" s="11">
        <v>45104</v>
      </c>
      <c r="P136" s="13">
        <v>17.3</v>
      </c>
      <c r="Q136" s="13">
        <v>12.4</v>
      </c>
      <c r="R136" s="13">
        <v>8.1</v>
      </c>
      <c r="S136" s="13">
        <f>Table2[[#This Row],[2_Temp_H]]-Table2[[#This Row],[2_Temp_L]]</f>
        <v>9.2000000000000011</v>
      </c>
      <c r="T136" s="13">
        <v>35.9</v>
      </c>
      <c r="U136" s="13">
        <v>7.7</v>
      </c>
      <c r="V136" s="13">
        <v>1012.87</v>
      </c>
      <c r="W136" s="13">
        <v>1006.77</v>
      </c>
      <c r="X136" s="13">
        <v>2.79</v>
      </c>
      <c r="Y136" s="13" t="s">
        <v>147</v>
      </c>
      <c r="Z136" s="13" t="s">
        <v>141</v>
      </c>
      <c r="AA136" s="13" t="s">
        <v>26</v>
      </c>
      <c r="AB136" s="13" t="s">
        <v>144</v>
      </c>
      <c r="AC136" s="13" t="s">
        <v>146</v>
      </c>
      <c r="AD136" s="13" t="s">
        <v>137</v>
      </c>
      <c r="AE136" s="13">
        <f>VLOOKUP(Table2[[#This Row],[3_Elephant_ID]],'[1]Attributes(OUTDATED)'!$A$2:$N$19,12,FALSE)</f>
        <v>474</v>
      </c>
      <c r="AF136" s="13">
        <f>VLOOKUP(Table2[[#This Row],[3_Elephant_ID]],'[1]Attributes(OUTDATED)'!$A$2:$N$19,13,FALSE)</f>
        <v>0.121</v>
      </c>
      <c r="AG136" s="13">
        <f>VLOOKUP(Table2[[#This Row],[3_Elephant_ID]],'[1]Attributes(OUTDATED)'!$A$2:$N$19,14,FALSE)</f>
        <v>0.1206993463154281</v>
      </c>
      <c r="AH136" s="13">
        <v>1</v>
      </c>
      <c r="AI136" s="13">
        <v>1</v>
      </c>
      <c r="AJ136" s="13">
        <v>0</v>
      </c>
      <c r="AK136" s="13">
        <v>1</v>
      </c>
      <c r="AL136" s="13">
        <f>VLOOKUP(Table2[[#This Row],[3_Elephant_ID]],'[1]Attributes(OUTDATED)'!$A$2:$P$19,16,FALSE)</f>
        <v>1</v>
      </c>
      <c r="AM136" s="13">
        <f>VLOOKUP(Table2[[#This Row],[3_Elephant_ID]],'[1]Attributes(OUTDATED)'!$A$2:$S$19,17,FALSE)</f>
        <v>16</v>
      </c>
      <c r="AN136" s="13">
        <f>VLOOKUP(Table2[[#This Row],[3_Elephant_ID]],'[1]Attributes(OUTDATED)'!$A$2:$S$19,18,FALSE)</f>
        <v>1</v>
      </c>
    </row>
    <row r="137" spans="1:40" ht="28" x14ac:dyDescent="0.15">
      <c r="A137" s="3">
        <v>136</v>
      </c>
      <c r="B137" s="6">
        <v>2906231047</v>
      </c>
      <c r="C137" s="7">
        <v>29</v>
      </c>
      <c r="D137" s="7">
        <v>6</v>
      </c>
      <c r="E137" s="7">
        <v>2023</v>
      </c>
      <c r="F137" s="5">
        <v>45106</v>
      </c>
      <c r="G137" s="6" t="s">
        <v>7</v>
      </c>
      <c r="H137" s="17">
        <v>0.362655109489051</v>
      </c>
      <c r="I137" s="20">
        <f>ROUNDUP((Table2[[#This Row],[fGCM_Conc]]*10000),0)</f>
        <v>3627</v>
      </c>
      <c r="J137" s="3" t="str">
        <f>VLOOKUP(G137,'[1]Attributes(OUTDATED)'!$A$2:$C$19,2,FALSE)</f>
        <v>F</v>
      </c>
      <c r="K137" s="3" t="str">
        <f>VLOOKUP(G137,'[1]Attributes(OUTDATED)'!$A$2:$C$19,3,FALSE)</f>
        <v>J</v>
      </c>
      <c r="L137" s="3">
        <f>VLOOKUP(G137,'[1]Attributes(OUTDATED)'!$A$2:$H$19,8,FALSE)</f>
        <v>711</v>
      </c>
      <c r="M137" s="3" t="str">
        <f>K137&amp;J137</f>
        <v>JF</v>
      </c>
      <c r="N137" s="3" t="e">
        <f>VLOOKUP(G137,#REF!,2,FALSE)</f>
        <v>#REF!</v>
      </c>
      <c r="O137" s="11">
        <v>45104</v>
      </c>
      <c r="P137" s="13">
        <v>17.3</v>
      </c>
      <c r="Q137" s="13">
        <v>12.4</v>
      </c>
      <c r="R137" s="13">
        <v>8.1</v>
      </c>
      <c r="S137" s="13">
        <f>Table2[[#This Row],[2_Temp_H]]-Table2[[#This Row],[2_Temp_L]]</f>
        <v>9.2000000000000011</v>
      </c>
      <c r="T137" s="13">
        <v>35.9</v>
      </c>
      <c r="U137" s="13">
        <v>7.7</v>
      </c>
      <c r="V137" s="13">
        <v>1012.87</v>
      </c>
      <c r="W137" s="13">
        <v>1006.77</v>
      </c>
      <c r="X137" s="13">
        <v>2.79</v>
      </c>
      <c r="Y137" s="13" t="s">
        <v>147</v>
      </c>
      <c r="Z137" s="13" t="s">
        <v>141</v>
      </c>
      <c r="AA137" s="13" t="s">
        <v>26</v>
      </c>
      <c r="AB137" s="13" t="s">
        <v>144</v>
      </c>
      <c r="AC137" s="13" t="s">
        <v>146</v>
      </c>
      <c r="AD137" s="13" t="s">
        <v>137</v>
      </c>
      <c r="AE137" s="13">
        <f>VLOOKUP(Table2[[#This Row],[3_Elephant_ID]],'[1]Attributes(OUTDATED)'!$A$2:$N$19,12,FALSE)</f>
        <v>398</v>
      </c>
      <c r="AF137" s="13">
        <f>VLOOKUP(Table2[[#This Row],[3_Elephant_ID]],'[1]Attributes(OUTDATED)'!$A$2:$N$19,13,FALSE)</f>
        <v>0.47899999999999998</v>
      </c>
      <c r="AG137" s="13">
        <f>VLOOKUP(Table2[[#This Row],[3_Elephant_ID]],'[1]Attributes(OUTDATED)'!$A$2:$N$19,14,FALSE)</f>
        <v>0.47820662037086947</v>
      </c>
      <c r="AH137" s="13">
        <v>1</v>
      </c>
      <c r="AI137" s="13">
        <v>0</v>
      </c>
      <c r="AJ137" s="13">
        <v>0</v>
      </c>
      <c r="AK137" s="13">
        <v>0</v>
      </c>
      <c r="AL137" s="13">
        <f>VLOOKUP(Table2[[#This Row],[3_Elephant_ID]],'[1]Attributes(OUTDATED)'!$A$2:$P$19,16,FALSE)</f>
        <v>1</v>
      </c>
      <c r="AM137" s="13">
        <f>VLOOKUP(Table2[[#This Row],[3_Elephant_ID]],'[1]Attributes(OUTDATED)'!$A$2:$S$19,17,FALSE)</f>
        <v>0</v>
      </c>
      <c r="AN137" s="13">
        <f>VLOOKUP(Table2[[#This Row],[3_Elephant_ID]],'[1]Attributes(OUTDATED)'!$A$2:$S$19,18,FALSE)</f>
        <v>12</v>
      </c>
    </row>
    <row r="138" spans="1:40" ht="28" x14ac:dyDescent="0.15">
      <c r="A138" s="3">
        <v>135</v>
      </c>
      <c r="B138" s="6">
        <v>2906231124</v>
      </c>
      <c r="C138" s="7">
        <v>29</v>
      </c>
      <c r="D138" s="7">
        <v>6</v>
      </c>
      <c r="E138" s="7">
        <v>2023</v>
      </c>
      <c r="F138" s="5">
        <v>45106</v>
      </c>
      <c r="G138" s="6" t="s">
        <v>10</v>
      </c>
      <c r="H138" s="17">
        <v>0.31404135338345868</v>
      </c>
      <c r="I138" s="20">
        <f>ROUNDUP((Table2[[#This Row],[fGCM_Conc]]*10000),0)</f>
        <v>3141</v>
      </c>
      <c r="J138" s="3" t="str">
        <f>VLOOKUP(G138,'[1]Attributes(OUTDATED)'!$A$2:$C$19,2,FALSE)</f>
        <v>F</v>
      </c>
      <c r="K138" s="3" t="str">
        <f>VLOOKUP(G138,'[1]Attributes(OUTDATED)'!$A$2:$C$19,3,FALSE)</f>
        <v>A</v>
      </c>
      <c r="L138" s="3">
        <f>VLOOKUP(G138,'[1]Attributes(OUTDATED)'!$A$2:$H$19,8,FALSE)</f>
        <v>1146</v>
      </c>
      <c r="M138" s="3" t="str">
        <f>K138&amp;J138</f>
        <v>AF</v>
      </c>
      <c r="N138" s="3" t="e">
        <f>VLOOKUP(G138,#REF!,2,FALSE)</f>
        <v>#REF!</v>
      </c>
      <c r="O138" s="11">
        <v>45104</v>
      </c>
      <c r="P138" s="13">
        <v>17.3</v>
      </c>
      <c r="Q138" s="13">
        <v>12.4</v>
      </c>
      <c r="R138" s="13">
        <v>8.1</v>
      </c>
      <c r="S138" s="13">
        <f>Table2[[#This Row],[2_Temp_H]]-Table2[[#This Row],[2_Temp_L]]</f>
        <v>9.2000000000000011</v>
      </c>
      <c r="T138" s="13">
        <v>35.9</v>
      </c>
      <c r="U138" s="13">
        <v>7.7</v>
      </c>
      <c r="V138" s="13">
        <v>1012.87</v>
      </c>
      <c r="W138" s="13">
        <v>1006.77</v>
      </c>
      <c r="X138" s="13">
        <v>2.79</v>
      </c>
      <c r="Y138" s="13" t="s">
        <v>147</v>
      </c>
      <c r="Z138" s="13" t="s">
        <v>141</v>
      </c>
      <c r="AA138" s="13" t="s">
        <v>26</v>
      </c>
      <c r="AB138" s="13" t="s">
        <v>144</v>
      </c>
      <c r="AC138" s="13" t="s">
        <v>146</v>
      </c>
      <c r="AD138" s="13" t="s">
        <v>137</v>
      </c>
      <c r="AE138" s="13">
        <f>VLOOKUP(Table2[[#This Row],[3_Elephant_ID]],'[1]Attributes(OUTDATED)'!$A$2:$N$19,12,FALSE)</f>
        <v>424</v>
      </c>
      <c r="AF138" s="13">
        <f>VLOOKUP(Table2[[#This Row],[3_Elephant_ID]],'[1]Attributes(OUTDATED)'!$A$2:$N$19,13,FALSE)</f>
        <v>0.10299999999999999</v>
      </c>
      <c r="AG138" s="13">
        <f>VLOOKUP(Table2[[#This Row],[3_Elephant_ID]],'[1]Attributes(OUTDATED)'!$A$2:$N$19,14,FALSE)</f>
        <v>0.10282190709599449</v>
      </c>
      <c r="AH138" s="13">
        <v>1</v>
      </c>
      <c r="AI138" s="13">
        <v>0</v>
      </c>
      <c r="AJ138" s="13">
        <v>0</v>
      </c>
      <c r="AK138" s="13">
        <v>0</v>
      </c>
      <c r="AL138" s="13">
        <f>VLOOKUP(Table2[[#This Row],[3_Elephant_ID]],'[1]Attributes(OUTDATED)'!$A$2:$P$19,16,FALSE)</f>
        <v>1</v>
      </c>
      <c r="AM138" s="13">
        <f>VLOOKUP(Table2[[#This Row],[3_Elephant_ID]],'[1]Attributes(OUTDATED)'!$A$2:$S$19,17,FALSE)</f>
        <v>9</v>
      </c>
      <c r="AN138" s="13">
        <f>VLOOKUP(Table2[[#This Row],[3_Elephant_ID]],'[1]Attributes(OUTDATED)'!$A$2:$S$19,18,FALSE)</f>
        <v>8</v>
      </c>
    </row>
    <row r="139" spans="1:40" ht="28" x14ac:dyDescent="0.15">
      <c r="A139" s="3">
        <v>138</v>
      </c>
      <c r="B139" s="6">
        <v>2906230927</v>
      </c>
      <c r="C139" s="7">
        <v>29</v>
      </c>
      <c r="D139" s="7">
        <v>6</v>
      </c>
      <c r="E139" s="7">
        <v>2023</v>
      </c>
      <c r="F139" s="5">
        <v>45106</v>
      </c>
      <c r="G139" s="6" t="s">
        <v>17</v>
      </c>
      <c r="H139" s="17">
        <v>0.15050751879699251</v>
      </c>
      <c r="I139" s="20">
        <f>ROUNDUP((Table2[[#This Row],[fGCM_Conc]]*10000),0)</f>
        <v>1506</v>
      </c>
      <c r="J139" s="3" t="str">
        <f>VLOOKUP(G139,'[1]Attributes(OUTDATED)'!$A$2:$C$19,2,FALSE)</f>
        <v>M</v>
      </c>
      <c r="K139" s="3" t="str">
        <f>VLOOKUP(G139,'[1]Attributes(OUTDATED)'!$A$2:$C$19,3,FALSE)</f>
        <v>J</v>
      </c>
      <c r="L139" s="3">
        <f>VLOOKUP(G139,'[1]Attributes(OUTDATED)'!$A$2:$H$19,8,FALSE)</f>
        <v>699</v>
      </c>
      <c r="M139" s="3" t="str">
        <f>K139&amp;J139</f>
        <v>JM</v>
      </c>
      <c r="N139" s="3" t="e">
        <f>VLOOKUP(G139,#REF!,2,FALSE)</f>
        <v>#REF!</v>
      </c>
      <c r="O139" s="11">
        <v>45104</v>
      </c>
      <c r="P139" s="13">
        <v>17.3</v>
      </c>
      <c r="Q139" s="13">
        <v>12.4</v>
      </c>
      <c r="R139" s="13">
        <v>8.1</v>
      </c>
      <c r="S139" s="13">
        <f>Table2[[#This Row],[2_Temp_H]]-Table2[[#This Row],[2_Temp_L]]</f>
        <v>9.2000000000000011</v>
      </c>
      <c r="T139" s="13">
        <v>35.9</v>
      </c>
      <c r="U139" s="13">
        <v>7.7</v>
      </c>
      <c r="V139" s="13">
        <v>1012.87</v>
      </c>
      <c r="W139" s="13">
        <v>1006.77</v>
      </c>
      <c r="X139" s="13">
        <v>2.79</v>
      </c>
      <c r="Y139" s="13" t="s">
        <v>147</v>
      </c>
      <c r="Z139" s="13" t="s">
        <v>141</v>
      </c>
      <c r="AA139" s="13" t="s">
        <v>26</v>
      </c>
      <c r="AB139" s="13" t="s">
        <v>144</v>
      </c>
      <c r="AC139" s="13" t="s">
        <v>146</v>
      </c>
      <c r="AD139" s="13" t="s">
        <v>137</v>
      </c>
      <c r="AE139" s="13">
        <f>VLOOKUP(Table2[[#This Row],[3_Elephant_ID]],'[1]Attributes(OUTDATED)'!$A$2:$N$19,12,FALSE)</f>
        <v>343</v>
      </c>
      <c r="AF139" s="13">
        <f>VLOOKUP(Table2[[#This Row],[3_Elephant_ID]],'[1]Attributes(OUTDATED)'!$A$2:$N$19,13,FALSE)</f>
        <v>0.81</v>
      </c>
      <c r="AG139" s="13">
        <f>VLOOKUP(Table2[[#This Row],[3_Elephant_ID]],'[1]Attributes(OUTDATED)'!$A$2:$N$19,14,FALSE)</f>
        <v>0.80966774571167055</v>
      </c>
      <c r="AH139" s="13">
        <v>1</v>
      </c>
      <c r="AI139" s="13">
        <v>0</v>
      </c>
      <c r="AJ139" s="13">
        <v>0</v>
      </c>
      <c r="AK139" s="13">
        <v>0</v>
      </c>
      <c r="AL139" s="13">
        <f>VLOOKUP(Table2[[#This Row],[3_Elephant_ID]],'[1]Attributes(OUTDATED)'!$A$2:$P$19,16,FALSE)</f>
        <v>1</v>
      </c>
      <c r="AM139" s="13">
        <f>VLOOKUP(Table2[[#This Row],[3_Elephant_ID]],'[1]Attributes(OUTDATED)'!$A$2:$S$19,17,FALSE)</f>
        <v>0</v>
      </c>
      <c r="AN139" s="13">
        <f>VLOOKUP(Table2[[#This Row],[3_Elephant_ID]],'[1]Attributes(OUTDATED)'!$A$2:$S$19,18,FALSE)</f>
        <v>8</v>
      </c>
    </row>
    <row r="140" spans="1:40" ht="28" x14ac:dyDescent="0.15">
      <c r="A140" s="3">
        <v>133</v>
      </c>
      <c r="B140" s="6">
        <v>3006231359</v>
      </c>
      <c r="C140" s="7">
        <v>30</v>
      </c>
      <c r="D140" s="7">
        <v>6</v>
      </c>
      <c r="E140" s="7">
        <v>2023</v>
      </c>
      <c r="F140" s="5">
        <v>45107</v>
      </c>
      <c r="G140" s="6" t="s">
        <v>12</v>
      </c>
      <c r="H140" s="17">
        <v>0.36483685220729367</v>
      </c>
      <c r="I140" s="20">
        <f>ROUNDUP((Table2[[#This Row],[fGCM_Conc]]*10000),0)</f>
        <v>3649</v>
      </c>
      <c r="J140" s="3" t="str">
        <f>VLOOKUP(G140,'[1]Attributes(OUTDATED)'!$A$2:$C$19,2,FALSE)</f>
        <v>M</v>
      </c>
      <c r="K140" s="3" t="str">
        <f>VLOOKUP(G140,'[1]Attributes(OUTDATED)'!$A$2:$C$19,3,FALSE)</f>
        <v>A</v>
      </c>
      <c r="L140" s="3">
        <f>VLOOKUP(G140,'[1]Attributes(OUTDATED)'!$A$2:$H$19,8,FALSE)</f>
        <v>1509</v>
      </c>
      <c r="M140" s="3" t="str">
        <f>K140&amp;J140</f>
        <v>AM</v>
      </c>
      <c r="N140" s="3" t="e">
        <f>VLOOKUP(G140,#REF!,2,FALSE)</f>
        <v>#REF!</v>
      </c>
      <c r="O140" s="11">
        <v>45105</v>
      </c>
      <c r="P140" s="13">
        <v>17.399999999999999</v>
      </c>
      <c r="Q140" s="13">
        <v>12.3</v>
      </c>
      <c r="R140" s="13">
        <v>7.6</v>
      </c>
      <c r="S140" s="13">
        <f>Table2[[#This Row],[2_Temp_H]]-Table2[[#This Row],[2_Temp_L]]</f>
        <v>9.7999999999999989</v>
      </c>
      <c r="T140" s="13">
        <v>35.9</v>
      </c>
      <c r="U140" s="13">
        <v>9.1999999999999993</v>
      </c>
      <c r="V140" s="13">
        <v>1009.82</v>
      </c>
      <c r="W140" s="13">
        <v>1006.77</v>
      </c>
      <c r="X140" s="13">
        <v>16.760000000000002</v>
      </c>
      <c r="Y140" s="13" t="s">
        <v>147</v>
      </c>
      <c r="Z140" s="16" t="s">
        <v>171</v>
      </c>
      <c r="AA140" s="13" t="s">
        <v>137</v>
      </c>
      <c r="AB140" s="13" t="s">
        <v>144</v>
      </c>
      <c r="AC140" s="13" t="s">
        <v>146</v>
      </c>
      <c r="AD140" s="13" t="s">
        <v>137</v>
      </c>
      <c r="AE140" s="13">
        <f>VLOOKUP(Table2[[#This Row],[3_Elephant_ID]],'[1]Attributes(OUTDATED)'!$A$2:$N$19,12,FALSE)</f>
        <v>450</v>
      </c>
      <c r="AF140" s="13">
        <f>VLOOKUP(Table2[[#This Row],[3_Elephant_ID]],'[1]Attributes(OUTDATED)'!$A$2:$N$19,13,FALSE)</f>
        <v>0.375</v>
      </c>
      <c r="AG140" s="13">
        <f>VLOOKUP(Table2[[#This Row],[3_Elephant_ID]],'[1]Attributes(OUTDATED)'!$A$2:$N$19,14,FALSE)</f>
        <v>0.37414375430996583</v>
      </c>
      <c r="AH140" s="13">
        <v>2</v>
      </c>
      <c r="AI140" s="13">
        <v>0</v>
      </c>
      <c r="AJ140" s="13">
        <v>0</v>
      </c>
      <c r="AK140" s="13">
        <v>0</v>
      </c>
      <c r="AL140" s="13">
        <f>VLOOKUP(Table2[[#This Row],[3_Elephant_ID]],'[1]Attributes(OUTDATED)'!$A$2:$P$19,16,FALSE)</f>
        <v>1</v>
      </c>
      <c r="AM140" s="13">
        <f>VLOOKUP(Table2[[#This Row],[3_Elephant_ID]],'[1]Attributes(OUTDATED)'!$A$2:$S$19,17,FALSE)</f>
        <v>48</v>
      </c>
      <c r="AN140" s="13">
        <f>VLOOKUP(Table2[[#This Row],[3_Elephant_ID]],'[1]Attributes(OUTDATED)'!$A$2:$S$19,18,FALSE)</f>
        <v>3</v>
      </c>
    </row>
    <row r="141" spans="1:40" ht="28" x14ac:dyDescent="0.15">
      <c r="A141" s="3">
        <v>134</v>
      </c>
      <c r="B141" s="6">
        <v>3006231330</v>
      </c>
      <c r="C141" s="7">
        <v>30</v>
      </c>
      <c r="D141" s="7">
        <v>6</v>
      </c>
      <c r="E141" s="7">
        <v>2023</v>
      </c>
      <c r="F141" s="5">
        <v>45107</v>
      </c>
      <c r="G141" s="6" t="s">
        <v>1</v>
      </c>
      <c r="H141" s="17">
        <v>0.29904950495049504</v>
      </c>
      <c r="I141" s="20">
        <f>ROUNDUP((Table2[[#This Row],[fGCM_Conc]]*10000),0)</f>
        <v>2991</v>
      </c>
      <c r="J141" s="3" t="str">
        <f>VLOOKUP(G141,'[1]Attributes(OUTDATED)'!$A$2:$C$19,2,FALSE)</f>
        <v>F</v>
      </c>
      <c r="K141" s="3" t="str">
        <f>VLOOKUP(G141,'[1]Attributes(OUTDATED)'!$A$2:$C$19,3,FALSE)</f>
        <v>A</v>
      </c>
      <c r="L141" s="3">
        <f>VLOOKUP(G141,'[1]Attributes(OUTDATED)'!$A$2:$H$19,8,FALSE)</f>
        <v>929</v>
      </c>
      <c r="M141" s="3" t="str">
        <f>K141&amp;J141</f>
        <v>AF</v>
      </c>
      <c r="N141" s="3" t="e">
        <f>VLOOKUP(G141,#REF!,2,FALSE)</f>
        <v>#REF!</v>
      </c>
      <c r="O141" s="11">
        <v>45105</v>
      </c>
      <c r="P141" s="13">
        <v>17.399999999999999</v>
      </c>
      <c r="Q141" s="13">
        <v>12.3</v>
      </c>
      <c r="R141" s="13">
        <v>7.6</v>
      </c>
      <c r="S141" s="13">
        <f>Table2[[#This Row],[2_Temp_H]]-Table2[[#This Row],[2_Temp_L]]</f>
        <v>9.7999999999999989</v>
      </c>
      <c r="T141" s="13">
        <v>35.9</v>
      </c>
      <c r="U141" s="13">
        <v>9.1999999999999993</v>
      </c>
      <c r="V141" s="13">
        <v>1009.82</v>
      </c>
      <c r="W141" s="13">
        <v>1006.77</v>
      </c>
      <c r="X141" s="13">
        <v>16.760000000000002</v>
      </c>
      <c r="Y141" s="13" t="s">
        <v>147</v>
      </c>
      <c r="Z141" s="16" t="s">
        <v>171</v>
      </c>
      <c r="AA141" s="13" t="s">
        <v>137</v>
      </c>
      <c r="AB141" s="13" t="s">
        <v>144</v>
      </c>
      <c r="AC141" s="13" t="s">
        <v>146</v>
      </c>
      <c r="AD141" s="13" t="s">
        <v>137</v>
      </c>
      <c r="AE141" s="13">
        <f>VLOOKUP(Table2[[#This Row],[3_Elephant_ID]],'[1]Attributes(OUTDATED)'!$A$2:$N$19,12,FALSE)</f>
        <v>321</v>
      </c>
      <c r="AF141" s="13">
        <f>VLOOKUP(Table2[[#This Row],[3_Elephant_ID]],'[1]Attributes(OUTDATED)'!$A$2:$N$19,13,FALSE)</f>
        <v>0.17599999999999999</v>
      </c>
      <c r="AG141" s="13">
        <f>VLOOKUP(Table2[[#This Row],[3_Elephant_ID]],'[1]Attributes(OUTDATED)'!$A$2:$N$19,14,FALSE)</f>
        <v>0.17530262753188491</v>
      </c>
      <c r="AH141" s="13">
        <v>2</v>
      </c>
      <c r="AI141" s="13">
        <v>0</v>
      </c>
      <c r="AJ141" s="13">
        <v>0</v>
      </c>
      <c r="AK141" s="13">
        <v>0</v>
      </c>
      <c r="AL141" s="13">
        <f>VLOOKUP(Table2[[#This Row],[3_Elephant_ID]],'[1]Attributes(OUTDATED)'!$A$2:$P$19,16,FALSE)</f>
        <v>1</v>
      </c>
      <c r="AM141" s="13">
        <f>VLOOKUP(Table2[[#This Row],[3_Elephant_ID]],'[1]Attributes(OUTDATED)'!$A$2:$S$19,17,FALSE)</f>
        <v>6</v>
      </c>
      <c r="AN141" s="13">
        <f>VLOOKUP(Table2[[#This Row],[3_Elephant_ID]],'[1]Attributes(OUTDATED)'!$A$2:$S$19,18,FALSE)</f>
        <v>8</v>
      </c>
    </row>
    <row r="142" spans="1:40" ht="28" x14ac:dyDescent="0.15">
      <c r="A142" s="3">
        <v>132</v>
      </c>
      <c r="B142" s="6" t="s">
        <v>59</v>
      </c>
      <c r="C142" s="7">
        <v>1</v>
      </c>
      <c r="D142" s="7">
        <v>7</v>
      </c>
      <c r="E142" s="7">
        <v>2023</v>
      </c>
      <c r="F142" s="5">
        <v>45108</v>
      </c>
      <c r="G142" s="6" t="s">
        <v>2</v>
      </c>
      <c r="H142" s="17">
        <v>0.29716216216216218</v>
      </c>
      <c r="I142" s="20">
        <f>ROUNDUP((Table2[[#This Row],[fGCM_Conc]]*10000),0)</f>
        <v>2972</v>
      </c>
      <c r="J142" s="3" t="str">
        <f>VLOOKUP(G142,'[1]Attributes(OUTDATED)'!$A$2:$C$19,2,FALSE)</f>
        <v>F</v>
      </c>
      <c r="K142" s="3" t="str">
        <f>VLOOKUP(G142,'[1]Attributes(OUTDATED)'!$A$2:$C$19,3,FALSE)</f>
        <v>A</v>
      </c>
      <c r="L142" s="3">
        <f>VLOOKUP(G142,'[1]Attributes(OUTDATED)'!$A$2:$H$19,8,FALSE)</f>
        <v>892</v>
      </c>
      <c r="M142" s="3" t="str">
        <f>K142&amp;J142</f>
        <v>AF</v>
      </c>
      <c r="N142" s="3" t="e">
        <f>VLOOKUP(G142,#REF!,2,FALSE)</f>
        <v>#REF!</v>
      </c>
      <c r="O142" s="11">
        <v>45106</v>
      </c>
      <c r="P142" s="13">
        <v>14.9</v>
      </c>
      <c r="Q142" s="13">
        <v>11.1</v>
      </c>
      <c r="R142" s="13">
        <v>7.7</v>
      </c>
      <c r="S142" s="13">
        <f>Table2[[#This Row],[2_Temp_H]]-Table2[[#This Row],[2_Temp_L]]</f>
        <v>7.2</v>
      </c>
      <c r="T142" s="13">
        <v>31.5</v>
      </c>
      <c r="U142" s="13">
        <v>10.8</v>
      </c>
      <c r="V142" s="13">
        <v>1014.9</v>
      </c>
      <c r="W142" s="13">
        <v>1007.79</v>
      </c>
      <c r="X142" s="13">
        <v>0</v>
      </c>
      <c r="Y142" s="13" t="s">
        <v>147</v>
      </c>
      <c r="Z142" s="13" t="s">
        <v>139</v>
      </c>
      <c r="AA142" s="13" t="s">
        <v>26</v>
      </c>
      <c r="AB142" s="13" t="s">
        <v>144</v>
      </c>
      <c r="AC142" s="13" t="s">
        <v>146</v>
      </c>
      <c r="AD142" s="13" t="s">
        <v>137</v>
      </c>
      <c r="AE142" s="13">
        <f>VLOOKUP(Table2[[#This Row],[3_Elephant_ID]],'[1]Attributes(OUTDATED)'!$A$2:$N$19,12,FALSE)</f>
        <v>378</v>
      </c>
      <c r="AF142" s="13">
        <f>VLOOKUP(Table2[[#This Row],[3_Elephant_ID]],'[1]Attributes(OUTDATED)'!$A$2:$N$19,13,FALSE)</f>
        <v>8.6999999999999994E-2</v>
      </c>
      <c r="AG142" s="13">
        <f>VLOOKUP(Table2[[#This Row],[3_Elephant_ID]],'[1]Attributes(OUTDATED)'!$A$2:$N$19,14,FALSE)</f>
        <v>8.6599138783086713E-2</v>
      </c>
      <c r="AH142" s="13">
        <v>1</v>
      </c>
      <c r="AI142" s="13">
        <v>0</v>
      </c>
      <c r="AJ142" s="13">
        <v>0</v>
      </c>
      <c r="AK142" s="13">
        <v>0</v>
      </c>
      <c r="AL142" s="13">
        <f>VLOOKUP(Table2[[#This Row],[3_Elephant_ID]],'[1]Attributes(OUTDATED)'!$A$2:$P$19,16,FALSE)</f>
        <v>1</v>
      </c>
      <c r="AM142" s="13">
        <f>VLOOKUP(Table2[[#This Row],[3_Elephant_ID]],'[1]Attributes(OUTDATED)'!$A$2:$S$19,17,FALSE)</f>
        <v>4</v>
      </c>
      <c r="AN142" s="13">
        <f>VLOOKUP(Table2[[#This Row],[3_Elephant_ID]],'[1]Attributes(OUTDATED)'!$A$2:$S$19,18,FALSE)</f>
        <v>20</v>
      </c>
    </row>
    <row r="143" spans="1:40" ht="28" x14ac:dyDescent="0.15">
      <c r="A143" s="3">
        <v>131</v>
      </c>
      <c r="B143" s="6" t="s">
        <v>58</v>
      </c>
      <c r="C143" s="7">
        <v>3</v>
      </c>
      <c r="D143" s="7">
        <v>7</v>
      </c>
      <c r="E143" s="7">
        <v>2023</v>
      </c>
      <c r="F143" s="5">
        <v>45110</v>
      </c>
      <c r="G143" s="6" t="s">
        <v>4</v>
      </c>
      <c r="H143" s="17">
        <v>0.32141263940520448</v>
      </c>
      <c r="I143" s="20">
        <f>ROUNDUP((Table2[[#This Row],[fGCM_Conc]]*10000),0)</f>
        <v>3215</v>
      </c>
      <c r="J143" s="3" t="str">
        <f>VLOOKUP(G143,'[1]Attributes(OUTDATED)'!$A$2:$C$19,2,FALSE)</f>
        <v>M</v>
      </c>
      <c r="K143" s="3" t="str">
        <f>VLOOKUP(G143,'[1]Attributes(OUTDATED)'!$A$2:$C$19,3,FALSE)</f>
        <v>J</v>
      </c>
      <c r="L143" s="3">
        <f>VLOOKUP(G143,'[1]Attributes(OUTDATED)'!$A$2:$H$19,8,FALSE)</f>
        <v>1055</v>
      </c>
      <c r="M143" s="3" t="str">
        <f>K143&amp;J143</f>
        <v>JM</v>
      </c>
      <c r="N143" s="3" t="e">
        <f>VLOOKUP(G143,#REF!,2,FALSE)</f>
        <v>#REF!</v>
      </c>
      <c r="O143" s="11">
        <v>45108</v>
      </c>
      <c r="P143" s="13">
        <v>22.7</v>
      </c>
      <c r="Q143" s="13">
        <v>10.9</v>
      </c>
      <c r="R143" s="13">
        <v>2.2000000000000002</v>
      </c>
      <c r="S143" s="13">
        <f>Table2[[#This Row],[2_Temp_H]]-Table2[[#This Row],[2_Temp_L]]</f>
        <v>20.5</v>
      </c>
      <c r="T143" s="13">
        <v>29.1</v>
      </c>
      <c r="U143" s="13">
        <v>5.5</v>
      </c>
      <c r="V143" s="13">
        <v>1018.96</v>
      </c>
      <c r="W143" s="13">
        <v>1015.92</v>
      </c>
      <c r="X143" s="13">
        <v>0</v>
      </c>
      <c r="Y143" s="13" t="s">
        <v>147</v>
      </c>
      <c r="Z143" s="16" t="s">
        <v>171</v>
      </c>
      <c r="AA143" s="13" t="s">
        <v>137</v>
      </c>
      <c r="AB143" s="13" t="s">
        <v>144</v>
      </c>
      <c r="AC143" s="13" t="s">
        <v>146</v>
      </c>
      <c r="AD143" s="13" t="s">
        <v>137</v>
      </c>
      <c r="AE143" s="13">
        <f>VLOOKUP(Table2[[#This Row],[3_Elephant_ID]],'[1]Attributes(OUTDATED)'!$A$2:$N$19,12,FALSE)</f>
        <v>181</v>
      </c>
      <c r="AF143" s="13">
        <f>VLOOKUP(Table2[[#This Row],[3_Elephant_ID]],'[1]Attributes(OUTDATED)'!$A$2:$N$19,13,FALSE)</f>
        <v>7.3999999999999996E-2</v>
      </c>
      <c r="AG143" s="13">
        <f>VLOOKUP(Table2[[#This Row],[3_Elephant_ID]],'[1]Attributes(OUTDATED)'!$A$2:$N$19,14,FALSE)</f>
        <v>7.3914663535330896E-2</v>
      </c>
      <c r="AH143" s="13">
        <v>1</v>
      </c>
      <c r="AI143" s="13">
        <v>0</v>
      </c>
      <c r="AJ143" s="13">
        <v>0</v>
      </c>
      <c r="AK143" s="13">
        <v>0</v>
      </c>
      <c r="AL143" s="13">
        <f>VLOOKUP(Table2[[#This Row],[3_Elephant_ID]],'[1]Attributes(OUTDATED)'!$A$2:$P$19,16,FALSE)</f>
        <v>1</v>
      </c>
      <c r="AM143" s="13">
        <f>VLOOKUP(Table2[[#This Row],[3_Elephant_ID]],'[1]Attributes(OUTDATED)'!$A$2:$S$19,17,FALSE)</f>
        <v>7</v>
      </c>
      <c r="AN143" s="13">
        <f>VLOOKUP(Table2[[#This Row],[3_Elephant_ID]],'[1]Attributes(OUTDATED)'!$A$2:$S$19,18,FALSE)</f>
        <v>9</v>
      </c>
    </row>
    <row r="144" spans="1:40" ht="28" x14ac:dyDescent="0.15">
      <c r="A144" s="3">
        <v>128</v>
      </c>
      <c r="B144" s="6" t="s">
        <v>55</v>
      </c>
      <c r="C144" s="7">
        <v>3</v>
      </c>
      <c r="D144" s="7">
        <v>7</v>
      </c>
      <c r="E144" s="7">
        <v>2023</v>
      </c>
      <c r="F144" s="5">
        <v>45110</v>
      </c>
      <c r="G144" s="6" t="s">
        <v>7</v>
      </c>
      <c r="H144" s="17">
        <v>0.32075645756457571</v>
      </c>
      <c r="I144" s="20">
        <f>ROUNDUP((Table2[[#This Row],[fGCM_Conc]]*10000),0)</f>
        <v>3208</v>
      </c>
      <c r="J144" s="3" t="str">
        <f>VLOOKUP(G144,'[1]Attributes(OUTDATED)'!$A$2:$C$19,2,FALSE)</f>
        <v>F</v>
      </c>
      <c r="K144" s="3" t="str">
        <f>VLOOKUP(G144,'[1]Attributes(OUTDATED)'!$A$2:$C$19,3,FALSE)</f>
        <v>J</v>
      </c>
      <c r="L144" s="3">
        <f>VLOOKUP(G144,'[1]Attributes(OUTDATED)'!$A$2:$H$19,8,FALSE)</f>
        <v>711</v>
      </c>
      <c r="M144" s="3" t="str">
        <f>K144&amp;J144</f>
        <v>JF</v>
      </c>
      <c r="N144" s="3" t="e">
        <f>VLOOKUP(G144,#REF!,2,FALSE)</f>
        <v>#REF!</v>
      </c>
      <c r="O144" s="11">
        <v>45108</v>
      </c>
      <c r="P144" s="13">
        <v>22.7</v>
      </c>
      <c r="Q144" s="13">
        <v>10.9</v>
      </c>
      <c r="R144" s="13">
        <v>2.2000000000000002</v>
      </c>
      <c r="S144" s="13">
        <f>Table2[[#This Row],[2_Temp_H]]-Table2[[#This Row],[2_Temp_L]]</f>
        <v>20.5</v>
      </c>
      <c r="T144" s="13">
        <v>29.1</v>
      </c>
      <c r="U144" s="13">
        <v>5.5</v>
      </c>
      <c r="V144" s="13">
        <v>1018.96</v>
      </c>
      <c r="W144" s="13">
        <v>1015.92</v>
      </c>
      <c r="X144" s="13">
        <v>0</v>
      </c>
      <c r="Y144" s="13" t="s">
        <v>147</v>
      </c>
      <c r="Z144" s="16" t="s">
        <v>171</v>
      </c>
      <c r="AA144" s="13" t="s">
        <v>137</v>
      </c>
      <c r="AB144" s="13" t="s">
        <v>144</v>
      </c>
      <c r="AC144" s="13" t="s">
        <v>146</v>
      </c>
      <c r="AD144" s="13" t="s">
        <v>137</v>
      </c>
      <c r="AE144" s="13">
        <f>VLOOKUP(Table2[[#This Row],[3_Elephant_ID]],'[1]Attributes(OUTDATED)'!$A$2:$N$19,12,FALSE)</f>
        <v>398</v>
      </c>
      <c r="AF144" s="13">
        <f>VLOOKUP(Table2[[#This Row],[3_Elephant_ID]],'[1]Attributes(OUTDATED)'!$A$2:$N$19,13,FALSE)</f>
        <v>0.47899999999999998</v>
      </c>
      <c r="AG144" s="13">
        <f>VLOOKUP(Table2[[#This Row],[3_Elephant_ID]],'[1]Attributes(OUTDATED)'!$A$2:$N$19,14,FALSE)</f>
        <v>0.47820662037086947</v>
      </c>
      <c r="AH144" s="13">
        <v>1</v>
      </c>
      <c r="AI144" s="13">
        <v>0</v>
      </c>
      <c r="AJ144" s="13">
        <v>0</v>
      </c>
      <c r="AK144" s="13">
        <v>0</v>
      </c>
      <c r="AL144" s="13">
        <f>VLOOKUP(Table2[[#This Row],[3_Elephant_ID]],'[1]Attributes(OUTDATED)'!$A$2:$P$19,16,FALSE)</f>
        <v>1</v>
      </c>
      <c r="AM144" s="13">
        <f>VLOOKUP(Table2[[#This Row],[3_Elephant_ID]],'[1]Attributes(OUTDATED)'!$A$2:$S$19,17,FALSE)</f>
        <v>0</v>
      </c>
      <c r="AN144" s="13">
        <f>VLOOKUP(Table2[[#This Row],[3_Elephant_ID]],'[1]Attributes(OUTDATED)'!$A$2:$S$19,18,FALSE)</f>
        <v>12</v>
      </c>
    </row>
    <row r="145" spans="1:40" ht="28" x14ac:dyDescent="0.15">
      <c r="A145" s="3">
        <v>127</v>
      </c>
      <c r="B145" s="6" t="s">
        <v>54</v>
      </c>
      <c r="C145" s="7">
        <v>3</v>
      </c>
      <c r="D145" s="7">
        <v>7</v>
      </c>
      <c r="E145" s="7">
        <v>2023</v>
      </c>
      <c r="F145" s="5">
        <v>45110</v>
      </c>
      <c r="G145" s="6" t="s">
        <v>15</v>
      </c>
      <c r="H145" s="17">
        <v>0.31765384615384618</v>
      </c>
      <c r="I145" s="20">
        <f>ROUNDUP((Table2[[#This Row],[fGCM_Conc]]*10000),0)</f>
        <v>3177</v>
      </c>
      <c r="J145" s="3" t="str">
        <f>VLOOKUP(G145,'[1]Attributes(OUTDATED)'!$A$2:$C$19,2,FALSE)</f>
        <v>M</v>
      </c>
      <c r="K145" s="3" t="str">
        <f>VLOOKUP(G145,'[1]Attributes(OUTDATED)'!$A$2:$C$19,3,FALSE)</f>
        <v>J</v>
      </c>
      <c r="L145" s="3">
        <f>VLOOKUP(G145,'[1]Attributes(OUTDATED)'!$A$2:$H$19,8,FALSE)</f>
        <v>828</v>
      </c>
      <c r="M145" s="3" t="str">
        <f>K145&amp;J145</f>
        <v>JM</v>
      </c>
      <c r="N145" s="3" t="e">
        <f>VLOOKUP(G145,#REF!,2,FALSE)</f>
        <v>#REF!</v>
      </c>
      <c r="O145" s="11">
        <v>45108</v>
      </c>
      <c r="P145" s="13">
        <v>22.7</v>
      </c>
      <c r="Q145" s="13">
        <v>10.9</v>
      </c>
      <c r="R145" s="13">
        <v>2.2000000000000002</v>
      </c>
      <c r="S145" s="13">
        <f>Table2[[#This Row],[2_Temp_H]]-Table2[[#This Row],[2_Temp_L]]</f>
        <v>20.5</v>
      </c>
      <c r="T145" s="13">
        <v>29.1</v>
      </c>
      <c r="U145" s="13">
        <v>5.5</v>
      </c>
      <c r="V145" s="13">
        <v>1018.96</v>
      </c>
      <c r="W145" s="13">
        <v>1015.92</v>
      </c>
      <c r="X145" s="13">
        <v>0</v>
      </c>
      <c r="Y145" s="13" t="s">
        <v>147</v>
      </c>
      <c r="Z145" s="16" t="s">
        <v>171</v>
      </c>
      <c r="AA145" s="13" t="s">
        <v>137</v>
      </c>
      <c r="AB145" s="13" t="s">
        <v>144</v>
      </c>
      <c r="AC145" s="13" t="s">
        <v>146</v>
      </c>
      <c r="AD145" s="13" t="s">
        <v>137</v>
      </c>
      <c r="AE145" s="13">
        <f>VLOOKUP(Table2[[#This Row],[3_Elephant_ID]],'[1]Attributes(OUTDATED)'!$A$2:$N$19,12,FALSE)</f>
        <v>219</v>
      </c>
      <c r="AF145" s="13">
        <f>VLOOKUP(Table2[[#This Row],[3_Elephant_ID]],'[1]Attributes(OUTDATED)'!$A$2:$N$19,13,FALSE)</f>
        <v>0.32300000000000001</v>
      </c>
      <c r="AG145" s="13">
        <f>VLOOKUP(Table2[[#This Row],[3_Elephant_ID]],'[1]Attributes(OUTDATED)'!$A$2:$N$19,14,FALSE)</f>
        <v>0.32257531484312868</v>
      </c>
      <c r="AH145" s="13">
        <v>1</v>
      </c>
      <c r="AI145" s="13">
        <v>0</v>
      </c>
      <c r="AJ145" s="13">
        <v>0</v>
      </c>
      <c r="AK145" s="13">
        <v>0</v>
      </c>
      <c r="AL145" s="13">
        <f>VLOOKUP(Table2[[#This Row],[3_Elephant_ID]],'[1]Attributes(OUTDATED)'!$A$2:$P$19,16,FALSE)</f>
        <v>2</v>
      </c>
      <c r="AM145" s="13">
        <f>VLOOKUP(Table2[[#This Row],[3_Elephant_ID]],'[1]Attributes(OUTDATED)'!$A$2:$S$19,17,FALSE)</f>
        <v>1</v>
      </c>
      <c r="AN145" s="13">
        <f>VLOOKUP(Table2[[#This Row],[3_Elephant_ID]],'[1]Attributes(OUTDATED)'!$A$2:$S$19,18,FALSE)</f>
        <v>6</v>
      </c>
    </row>
    <row r="146" spans="1:40" ht="28" x14ac:dyDescent="0.15">
      <c r="A146" s="3">
        <v>129</v>
      </c>
      <c r="B146" s="6" t="s">
        <v>56</v>
      </c>
      <c r="C146" s="7">
        <v>3</v>
      </c>
      <c r="D146" s="7">
        <v>7</v>
      </c>
      <c r="E146" s="7">
        <v>2023</v>
      </c>
      <c r="F146" s="5">
        <v>45110</v>
      </c>
      <c r="G146" s="6" t="s">
        <v>14</v>
      </c>
      <c r="H146" s="17">
        <v>0.30966292134831458</v>
      </c>
      <c r="I146" s="20">
        <f>ROUNDUP((Table2[[#This Row],[fGCM_Conc]]*10000),0)</f>
        <v>3097</v>
      </c>
      <c r="J146" s="3" t="str">
        <f>VLOOKUP(G146,'[1]Attributes(OUTDATED)'!$A$2:$C$19,2,FALSE)</f>
        <v>F</v>
      </c>
      <c r="K146" s="3" t="str">
        <f>VLOOKUP(G146,'[1]Attributes(OUTDATED)'!$A$2:$C$19,3,FALSE)</f>
        <v>J</v>
      </c>
      <c r="L146" s="3">
        <f>VLOOKUP(G146,'[1]Attributes(OUTDATED)'!$A$2:$H$19,8,FALSE)</f>
        <v>879</v>
      </c>
      <c r="M146" s="3" t="str">
        <f>K146&amp;J146</f>
        <v>JF</v>
      </c>
      <c r="N146" s="3" t="e">
        <f>VLOOKUP(G146,#REF!,2,FALSE)</f>
        <v>#REF!</v>
      </c>
      <c r="O146" s="11">
        <v>45108</v>
      </c>
      <c r="P146" s="13">
        <v>22.7</v>
      </c>
      <c r="Q146" s="13">
        <v>10.9</v>
      </c>
      <c r="R146" s="13">
        <v>2.2000000000000002</v>
      </c>
      <c r="S146" s="13">
        <f>Table2[[#This Row],[2_Temp_H]]-Table2[[#This Row],[2_Temp_L]]</f>
        <v>20.5</v>
      </c>
      <c r="T146" s="13">
        <v>29.1</v>
      </c>
      <c r="U146" s="13">
        <v>5.5</v>
      </c>
      <c r="V146" s="13">
        <v>1018.96</v>
      </c>
      <c r="W146" s="13">
        <v>1015.92</v>
      </c>
      <c r="X146" s="13">
        <v>0</v>
      </c>
      <c r="Y146" s="13" t="s">
        <v>147</v>
      </c>
      <c r="Z146" s="16" t="s">
        <v>171</v>
      </c>
      <c r="AA146" s="13" t="s">
        <v>137</v>
      </c>
      <c r="AB146" s="13" t="s">
        <v>144</v>
      </c>
      <c r="AC146" s="13" t="s">
        <v>146</v>
      </c>
      <c r="AD146" s="13" t="s">
        <v>137</v>
      </c>
      <c r="AE146" s="13">
        <f>VLOOKUP(Table2[[#This Row],[3_Elephant_ID]],'[1]Attributes(OUTDATED)'!$A$2:$N$19,12,FALSE)</f>
        <v>269</v>
      </c>
      <c r="AF146" s="13">
        <f>VLOOKUP(Table2[[#This Row],[3_Elephant_ID]],'[1]Attributes(OUTDATED)'!$A$2:$N$19,13,FALSE)</f>
        <v>0.65800000000000003</v>
      </c>
      <c r="AG146" s="13">
        <f>VLOOKUP(Table2[[#This Row],[3_Elephant_ID]],'[1]Attributes(OUTDATED)'!$A$2:$N$19,14,FALSE)</f>
        <v>0.65767064449315993</v>
      </c>
      <c r="AH146" s="13">
        <v>1</v>
      </c>
      <c r="AI146" s="13">
        <v>0</v>
      </c>
      <c r="AJ146" s="13">
        <v>0</v>
      </c>
      <c r="AK146" s="13">
        <v>0</v>
      </c>
      <c r="AL146" s="13">
        <f>VLOOKUP(Table2[[#This Row],[3_Elephant_ID]],'[1]Attributes(OUTDATED)'!$A$2:$P$19,16,FALSE)</f>
        <v>1</v>
      </c>
      <c r="AM146" s="13">
        <f>VLOOKUP(Table2[[#This Row],[3_Elephant_ID]],'[1]Attributes(OUTDATED)'!$A$2:$S$19,17,FALSE)</f>
        <v>3</v>
      </c>
      <c r="AN146" s="13">
        <f>VLOOKUP(Table2[[#This Row],[3_Elephant_ID]],'[1]Attributes(OUTDATED)'!$A$2:$S$19,18,FALSE)</f>
        <v>9</v>
      </c>
    </row>
    <row r="147" spans="1:40" ht="28" x14ac:dyDescent="0.15">
      <c r="A147" s="3">
        <v>130</v>
      </c>
      <c r="B147" s="6" t="s">
        <v>57</v>
      </c>
      <c r="C147" s="7">
        <v>3</v>
      </c>
      <c r="D147" s="7">
        <v>7</v>
      </c>
      <c r="E147" s="7">
        <v>2023</v>
      </c>
      <c r="F147" s="5">
        <v>45110</v>
      </c>
      <c r="G147" s="6" t="s">
        <v>11</v>
      </c>
      <c r="H147" s="17">
        <v>0.23701754385964913</v>
      </c>
      <c r="I147" s="20">
        <f>ROUNDUP((Table2[[#This Row],[fGCM_Conc]]*10000),0)</f>
        <v>2371</v>
      </c>
      <c r="J147" s="3" t="str">
        <f>VLOOKUP(G147,'[1]Attributes(OUTDATED)'!$A$2:$C$19,2,FALSE)</f>
        <v>M</v>
      </c>
      <c r="K147" s="3" t="str">
        <f>VLOOKUP(G147,'[1]Attributes(OUTDATED)'!$A$2:$C$19,3,FALSE)</f>
        <v>A</v>
      </c>
      <c r="L147" s="3">
        <f>VLOOKUP(G147,'[1]Attributes(OUTDATED)'!$A$2:$H$19,8,FALSE)</f>
        <v>1223</v>
      </c>
      <c r="M147" s="3" t="str">
        <f>K147&amp;J147</f>
        <v>AM</v>
      </c>
      <c r="N147" s="3" t="e">
        <f>VLOOKUP(G147,#REF!,2,FALSE)</f>
        <v>#REF!</v>
      </c>
      <c r="O147" s="11">
        <v>45108</v>
      </c>
      <c r="P147" s="13">
        <v>22.7</v>
      </c>
      <c r="Q147" s="13">
        <v>10.9</v>
      </c>
      <c r="R147" s="13">
        <v>2.2000000000000002</v>
      </c>
      <c r="S147" s="13">
        <f>Table2[[#This Row],[2_Temp_H]]-Table2[[#This Row],[2_Temp_L]]</f>
        <v>20.5</v>
      </c>
      <c r="T147" s="13">
        <v>29.1</v>
      </c>
      <c r="U147" s="13">
        <v>5.5</v>
      </c>
      <c r="V147" s="13">
        <v>1018.96</v>
      </c>
      <c r="W147" s="13">
        <v>1015.92</v>
      </c>
      <c r="X147" s="13">
        <v>0</v>
      </c>
      <c r="Y147" s="13" t="s">
        <v>147</v>
      </c>
      <c r="Z147" s="16" t="s">
        <v>171</v>
      </c>
      <c r="AA147" s="13" t="s">
        <v>137</v>
      </c>
      <c r="AB147" s="13" t="s">
        <v>144</v>
      </c>
      <c r="AC147" s="13" t="s">
        <v>146</v>
      </c>
      <c r="AD147" s="13" t="s">
        <v>137</v>
      </c>
      <c r="AE147" s="13">
        <f>VLOOKUP(Table2[[#This Row],[3_Elephant_ID]],'[1]Attributes(OUTDATED)'!$A$2:$N$19,12,FALSE)</f>
        <v>404</v>
      </c>
      <c r="AF147" s="13">
        <f>VLOOKUP(Table2[[#This Row],[3_Elephant_ID]],'[1]Attributes(OUTDATED)'!$A$2:$N$19,13,FALSE)</f>
        <v>0.91700000000000004</v>
      </c>
      <c r="AG147" s="13">
        <f>VLOOKUP(Table2[[#This Row],[3_Elephant_ID]],'[1]Attributes(OUTDATED)'!$A$2:$N$19,14,FALSE)</f>
        <v>0.91664628583929353</v>
      </c>
      <c r="AH147" s="13">
        <v>1</v>
      </c>
      <c r="AI147" s="13">
        <v>0</v>
      </c>
      <c r="AJ147" s="13">
        <v>0</v>
      </c>
      <c r="AK147" s="13">
        <v>0</v>
      </c>
      <c r="AL147" s="13">
        <f>VLOOKUP(Table2[[#This Row],[3_Elephant_ID]],'[1]Attributes(OUTDATED)'!$A$2:$P$19,16,FALSE)</f>
        <v>1</v>
      </c>
      <c r="AM147" s="13">
        <f>VLOOKUP(Table2[[#This Row],[3_Elephant_ID]],'[1]Attributes(OUTDATED)'!$A$2:$S$19,17,FALSE)</f>
        <v>14</v>
      </c>
      <c r="AN147" s="13">
        <f>VLOOKUP(Table2[[#This Row],[3_Elephant_ID]],'[1]Attributes(OUTDATED)'!$A$2:$S$19,18,FALSE)</f>
        <v>17</v>
      </c>
    </row>
    <row r="148" spans="1:40" ht="28" x14ac:dyDescent="0.15">
      <c r="A148" s="3">
        <v>121</v>
      </c>
      <c r="B148" s="6" t="s">
        <v>48</v>
      </c>
      <c r="C148" s="7">
        <v>4</v>
      </c>
      <c r="D148" s="7">
        <v>7</v>
      </c>
      <c r="E148" s="7">
        <v>2023</v>
      </c>
      <c r="F148" s="5">
        <v>45111</v>
      </c>
      <c r="G148" s="6" t="s">
        <v>5</v>
      </c>
      <c r="H148" s="17">
        <v>0.47627819548872186</v>
      </c>
      <c r="I148" s="20">
        <f>ROUNDUP((Table2[[#This Row],[fGCM_Conc]]*10000),0)</f>
        <v>4763</v>
      </c>
      <c r="J148" s="3" t="str">
        <f>VLOOKUP(G148,'[1]Attributes(OUTDATED)'!$A$2:$C$19,2,FALSE)</f>
        <v>M</v>
      </c>
      <c r="K148" s="3" t="str">
        <f>VLOOKUP(G148,'[1]Attributes(OUTDATED)'!$A$2:$C$19,3,FALSE)</f>
        <v>J</v>
      </c>
      <c r="L148" s="3">
        <f>VLOOKUP(G148,'[1]Attributes(OUTDATED)'!$A$2:$H$19,8,FALSE)</f>
        <v>940</v>
      </c>
      <c r="M148" s="3" t="str">
        <f>K148&amp;J148</f>
        <v>JM</v>
      </c>
      <c r="N148" s="3" t="e">
        <f>VLOOKUP(G148,#REF!,2,FALSE)</f>
        <v>#REF!</v>
      </c>
      <c r="O148" s="11">
        <v>45109</v>
      </c>
      <c r="P148" s="13">
        <v>21.3</v>
      </c>
      <c r="Q148" s="13">
        <v>11.1</v>
      </c>
      <c r="R148" s="13">
        <v>3.6</v>
      </c>
      <c r="S148" s="13">
        <f>Table2[[#This Row],[2_Temp_H]]-Table2[[#This Row],[2_Temp_L]]</f>
        <v>17.7</v>
      </c>
      <c r="T148" s="13">
        <v>35.9</v>
      </c>
      <c r="U148" s="13">
        <v>6.6</v>
      </c>
      <c r="V148" s="13">
        <v>1019.98</v>
      </c>
      <c r="W148" s="13">
        <v>1017.95</v>
      </c>
      <c r="X148" s="13">
        <v>0</v>
      </c>
      <c r="Y148" s="13" t="s">
        <v>147</v>
      </c>
      <c r="Z148" s="13" t="s">
        <v>141</v>
      </c>
      <c r="AA148" s="13" t="s">
        <v>26</v>
      </c>
      <c r="AB148" s="13" t="s">
        <v>144</v>
      </c>
      <c r="AC148" s="13" t="s">
        <v>146</v>
      </c>
      <c r="AD148" s="13" t="s">
        <v>137</v>
      </c>
      <c r="AE148" s="13">
        <f>VLOOKUP(Table2[[#This Row],[3_Elephant_ID]],'[1]Attributes(OUTDATED)'!$A$2:$N$19,12,FALSE)</f>
        <v>361</v>
      </c>
      <c r="AF148" s="13">
        <f>VLOOKUP(Table2[[#This Row],[3_Elephant_ID]],'[1]Attributes(OUTDATED)'!$A$2:$N$19,13,FALSE)</f>
        <v>0.40600000000000003</v>
      </c>
      <c r="AG148" s="13">
        <f>VLOOKUP(Table2[[#This Row],[3_Elephant_ID]],'[1]Attributes(OUTDATED)'!$A$2:$N$19,14,FALSE)</f>
        <v>0.40590323220736402</v>
      </c>
      <c r="AH148" s="13">
        <v>0</v>
      </c>
      <c r="AI148" s="13">
        <v>0</v>
      </c>
      <c r="AJ148" s="13">
        <v>0</v>
      </c>
      <c r="AK148" s="13">
        <v>0</v>
      </c>
      <c r="AL148" s="13">
        <f>VLOOKUP(Table2[[#This Row],[3_Elephant_ID]],'[1]Attributes(OUTDATED)'!$A$2:$P$19,16,FALSE)</f>
        <v>1</v>
      </c>
      <c r="AM148" s="13">
        <f>VLOOKUP(Table2[[#This Row],[3_Elephant_ID]],'[1]Attributes(OUTDATED)'!$A$2:$S$19,17,FALSE)</f>
        <v>2</v>
      </c>
      <c r="AN148" s="13">
        <f>VLOOKUP(Table2[[#This Row],[3_Elephant_ID]],'[1]Attributes(OUTDATED)'!$A$2:$S$19,18,FALSE)</f>
        <v>7</v>
      </c>
    </row>
    <row r="149" spans="1:40" ht="28" x14ac:dyDescent="0.15">
      <c r="A149" s="3">
        <v>123</v>
      </c>
      <c r="B149" s="6" t="s">
        <v>50</v>
      </c>
      <c r="C149" s="7">
        <v>4</v>
      </c>
      <c r="D149" s="7">
        <v>7</v>
      </c>
      <c r="E149" s="7">
        <v>2023</v>
      </c>
      <c r="F149" s="5">
        <v>45111</v>
      </c>
      <c r="G149" s="6" t="s">
        <v>16</v>
      </c>
      <c r="H149" s="17">
        <v>0.46538011695906434</v>
      </c>
      <c r="I149" s="20">
        <f>ROUNDUP((Table2[[#This Row],[fGCM_Conc]]*10000),0)</f>
        <v>4654</v>
      </c>
      <c r="J149" s="3" t="str">
        <f>VLOOKUP(G149,'[1]Attributes(OUTDATED)'!$A$2:$C$19,2,FALSE)</f>
        <v>F</v>
      </c>
      <c r="K149" s="3" t="str">
        <f>VLOOKUP(G149,'[1]Attributes(OUTDATED)'!$A$2:$C$19,3,FALSE)</f>
        <v>A</v>
      </c>
      <c r="L149" s="3">
        <f>VLOOKUP(G149,'[1]Attributes(OUTDATED)'!$A$2:$H$19,8,FALSE)</f>
        <v>1346</v>
      </c>
      <c r="M149" s="3" t="str">
        <f>K149&amp;J149</f>
        <v>AF</v>
      </c>
      <c r="N149" s="3" t="e">
        <f>VLOOKUP(G149,#REF!,2,FALSE)</f>
        <v>#REF!</v>
      </c>
      <c r="O149" s="11">
        <v>45109</v>
      </c>
      <c r="P149" s="13">
        <v>21.3</v>
      </c>
      <c r="Q149" s="13">
        <v>11.1</v>
      </c>
      <c r="R149" s="13">
        <v>3.6</v>
      </c>
      <c r="S149" s="13">
        <f>Table2[[#This Row],[2_Temp_H]]-Table2[[#This Row],[2_Temp_L]]</f>
        <v>17.7</v>
      </c>
      <c r="T149" s="13">
        <v>35.9</v>
      </c>
      <c r="U149" s="13">
        <v>6.6</v>
      </c>
      <c r="V149" s="13">
        <v>1019.98</v>
      </c>
      <c r="W149" s="13">
        <v>1017.95</v>
      </c>
      <c r="X149" s="13">
        <v>0</v>
      </c>
      <c r="Y149" s="13" t="s">
        <v>147</v>
      </c>
      <c r="Z149" s="13" t="s">
        <v>141</v>
      </c>
      <c r="AA149" s="13" t="s">
        <v>26</v>
      </c>
      <c r="AB149" s="13" t="s">
        <v>144</v>
      </c>
      <c r="AC149" s="13" t="s">
        <v>146</v>
      </c>
      <c r="AD149" s="13" t="s">
        <v>137</v>
      </c>
      <c r="AE149" s="13">
        <f>VLOOKUP(Table2[[#This Row],[3_Elephant_ID]],'[1]Attributes(OUTDATED)'!$A$2:$N$19,12,FALSE)</f>
        <v>474</v>
      </c>
      <c r="AF149" s="13">
        <f>VLOOKUP(Table2[[#This Row],[3_Elephant_ID]],'[1]Attributes(OUTDATED)'!$A$2:$N$19,13,FALSE)</f>
        <v>0.121</v>
      </c>
      <c r="AG149" s="13">
        <f>VLOOKUP(Table2[[#This Row],[3_Elephant_ID]],'[1]Attributes(OUTDATED)'!$A$2:$N$19,14,FALSE)</f>
        <v>0.1206993463154281</v>
      </c>
      <c r="AH149" s="13">
        <v>0</v>
      </c>
      <c r="AI149" s="13">
        <v>0</v>
      </c>
      <c r="AJ149" s="13">
        <v>0</v>
      </c>
      <c r="AK149" s="13">
        <v>0</v>
      </c>
      <c r="AL149" s="13">
        <f>VLOOKUP(Table2[[#This Row],[3_Elephant_ID]],'[1]Attributes(OUTDATED)'!$A$2:$P$19,16,FALSE)</f>
        <v>1</v>
      </c>
      <c r="AM149" s="13">
        <f>VLOOKUP(Table2[[#This Row],[3_Elephant_ID]],'[1]Attributes(OUTDATED)'!$A$2:$S$19,17,FALSE)</f>
        <v>16</v>
      </c>
      <c r="AN149" s="13">
        <f>VLOOKUP(Table2[[#This Row],[3_Elephant_ID]],'[1]Attributes(OUTDATED)'!$A$2:$S$19,18,FALSE)</f>
        <v>1</v>
      </c>
    </row>
    <row r="150" spans="1:40" ht="28" x14ac:dyDescent="0.15">
      <c r="A150" s="3">
        <v>122</v>
      </c>
      <c r="B150" s="6" t="s">
        <v>49</v>
      </c>
      <c r="C150" s="7">
        <v>4</v>
      </c>
      <c r="D150" s="7">
        <v>7</v>
      </c>
      <c r="E150" s="7">
        <v>2023</v>
      </c>
      <c r="F150" s="5">
        <v>45111</v>
      </c>
      <c r="G150" s="6" t="s">
        <v>8</v>
      </c>
      <c r="H150" s="17">
        <v>0.39477777777777778</v>
      </c>
      <c r="I150" s="20">
        <f>ROUNDUP((Table2[[#This Row],[fGCM_Conc]]*10000),0)</f>
        <v>3948</v>
      </c>
      <c r="J150" s="3" t="str">
        <f>VLOOKUP(G150,'[1]Attributes(OUTDATED)'!$A$2:$C$19,2,FALSE)</f>
        <v>F</v>
      </c>
      <c r="K150" s="3" t="str">
        <f>VLOOKUP(G150,'[1]Attributes(OUTDATED)'!$A$2:$C$19,3,FALSE)</f>
        <v>A</v>
      </c>
      <c r="L150" s="3">
        <f>VLOOKUP(G150,'[1]Attributes(OUTDATED)'!$A$2:$H$19,8,FALSE)</f>
        <v>1096</v>
      </c>
      <c r="M150" s="3" t="str">
        <f>K150&amp;J150</f>
        <v>AF</v>
      </c>
      <c r="N150" s="3" t="e">
        <f>VLOOKUP(G150,#REF!,2,FALSE)</f>
        <v>#REF!</v>
      </c>
      <c r="O150" s="11">
        <v>45109</v>
      </c>
      <c r="P150" s="13">
        <v>21.3</v>
      </c>
      <c r="Q150" s="13">
        <v>11.1</v>
      </c>
      <c r="R150" s="13">
        <v>3.6</v>
      </c>
      <c r="S150" s="13">
        <f>Table2[[#This Row],[2_Temp_H]]-Table2[[#This Row],[2_Temp_L]]</f>
        <v>17.7</v>
      </c>
      <c r="T150" s="13">
        <v>35.9</v>
      </c>
      <c r="U150" s="13">
        <v>6.6</v>
      </c>
      <c r="V150" s="13">
        <v>1019.98</v>
      </c>
      <c r="W150" s="13">
        <v>1017.95</v>
      </c>
      <c r="X150" s="13">
        <v>0</v>
      </c>
      <c r="Y150" s="13" t="s">
        <v>147</v>
      </c>
      <c r="Z150" s="13" t="s">
        <v>141</v>
      </c>
      <c r="AA150" s="13" t="s">
        <v>26</v>
      </c>
      <c r="AB150" s="13" t="s">
        <v>144</v>
      </c>
      <c r="AC150" s="13" t="s">
        <v>146</v>
      </c>
      <c r="AD150" s="13" t="s">
        <v>137</v>
      </c>
      <c r="AE150" s="13">
        <f>VLOOKUP(Table2[[#This Row],[3_Elephant_ID]],'[1]Attributes(OUTDATED)'!$A$2:$N$19,12,FALSE)</f>
        <v>346</v>
      </c>
      <c r="AF150" s="13">
        <f>VLOOKUP(Table2[[#This Row],[3_Elephant_ID]],'[1]Attributes(OUTDATED)'!$A$2:$N$19,13,FALSE)</f>
        <v>0.28999999999999998</v>
      </c>
      <c r="AG150" s="13">
        <f>VLOOKUP(Table2[[#This Row],[3_Elephant_ID]],'[1]Attributes(OUTDATED)'!$A$2:$N$19,14,FALSE)</f>
        <v>0.28929989906834258</v>
      </c>
      <c r="AH150" s="13">
        <v>0</v>
      </c>
      <c r="AI150" s="13">
        <v>0</v>
      </c>
      <c r="AJ150" s="13">
        <v>0</v>
      </c>
      <c r="AK150" s="13">
        <v>0</v>
      </c>
      <c r="AL150" s="13">
        <f>VLOOKUP(Table2[[#This Row],[3_Elephant_ID]],'[1]Attributes(OUTDATED)'!$A$2:$P$19,16,FALSE)</f>
        <v>1</v>
      </c>
      <c r="AM150" s="13">
        <f>VLOOKUP(Table2[[#This Row],[3_Elephant_ID]],'[1]Attributes(OUTDATED)'!$A$2:$S$19,17,FALSE)</f>
        <v>11</v>
      </c>
      <c r="AN150" s="13">
        <f>VLOOKUP(Table2[[#This Row],[3_Elephant_ID]],'[1]Attributes(OUTDATED)'!$A$2:$S$19,18,FALSE)</f>
        <v>7</v>
      </c>
    </row>
    <row r="151" spans="1:40" ht="28" x14ac:dyDescent="0.15">
      <c r="A151" s="3">
        <v>124</v>
      </c>
      <c r="B151" s="6" t="s">
        <v>51</v>
      </c>
      <c r="C151" s="7">
        <v>4</v>
      </c>
      <c r="D151" s="7">
        <v>7</v>
      </c>
      <c r="E151" s="7">
        <v>2023</v>
      </c>
      <c r="F151" s="5">
        <v>45111</v>
      </c>
      <c r="G151" s="6" t="s">
        <v>12</v>
      </c>
      <c r="H151" s="17">
        <v>0.39349514563106797</v>
      </c>
      <c r="I151" s="20">
        <f>ROUNDUP((Table2[[#This Row],[fGCM_Conc]]*10000),0)</f>
        <v>3935</v>
      </c>
      <c r="J151" s="3" t="str">
        <f>VLOOKUP(G151,'[1]Attributes(OUTDATED)'!$A$2:$C$19,2,FALSE)</f>
        <v>M</v>
      </c>
      <c r="K151" s="3" t="str">
        <f>VLOOKUP(G151,'[1]Attributes(OUTDATED)'!$A$2:$C$19,3,FALSE)</f>
        <v>A</v>
      </c>
      <c r="L151" s="3">
        <f>VLOOKUP(G151,'[1]Attributes(OUTDATED)'!$A$2:$H$19,8,FALSE)</f>
        <v>1509</v>
      </c>
      <c r="M151" s="3" t="str">
        <f>K151&amp;J151</f>
        <v>AM</v>
      </c>
      <c r="N151" s="3" t="e">
        <f>VLOOKUP(G151,#REF!,2,FALSE)</f>
        <v>#REF!</v>
      </c>
      <c r="O151" s="11">
        <v>45109</v>
      </c>
      <c r="P151" s="13">
        <v>21.3</v>
      </c>
      <c r="Q151" s="13">
        <v>11.1</v>
      </c>
      <c r="R151" s="13">
        <v>3.6</v>
      </c>
      <c r="S151" s="13">
        <f>Table2[[#This Row],[2_Temp_H]]-Table2[[#This Row],[2_Temp_L]]</f>
        <v>17.7</v>
      </c>
      <c r="T151" s="13">
        <v>35.9</v>
      </c>
      <c r="U151" s="13">
        <v>6.6</v>
      </c>
      <c r="V151" s="13">
        <v>1019.98</v>
      </c>
      <c r="W151" s="13">
        <v>1017.95</v>
      </c>
      <c r="X151" s="13">
        <v>0</v>
      </c>
      <c r="Y151" s="13" t="s">
        <v>147</v>
      </c>
      <c r="Z151" s="13" t="s">
        <v>141</v>
      </c>
      <c r="AA151" s="13" t="s">
        <v>26</v>
      </c>
      <c r="AB151" s="13" t="s">
        <v>144</v>
      </c>
      <c r="AC151" s="13" t="s">
        <v>146</v>
      </c>
      <c r="AD151" s="13" t="s">
        <v>137</v>
      </c>
      <c r="AE151" s="13">
        <f>VLOOKUP(Table2[[#This Row],[3_Elephant_ID]],'[1]Attributes(OUTDATED)'!$A$2:$N$19,12,FALSE)</f>
        <v>450</v>
      </c>
      <c r="AF151" s="13">
        <f>VLOOKUP(Table2[[#This Row],[3_Elephant_ID]],'[1]Attributes(OUTDATED)'!$A$2:$N$19,13,FALSE)</f>
        <v>0.375</v>
      </c>
      <c r="AG151" s="13">
        <f>VLOOKUP(Table2[[#This Row],[3_Elephant_ID]],'[1]Attributes(OUTDATED)'!$A$2:$N$19,14,FALSE)</f>
        <v>0.37414375430996583</v>
      </c>
      <c r="AH151" s="13">
        <v>0</v>
      </c>
      <c r="AI151" s="13">
        <v>0</v>
      </c>
      <c r="AJ151" s="13">
        <v>0</v>
      </c>
      <c r="AK151" s="13">
        <v>0</v>
      </c>
      <c r="AL151" s="13">
        <f>VLOOKUP(Table2[[#This Row],[3_Elephant_ID]],'[1]Attributes(OUTDATED)'!$A$2:$P$19,16,FALSE)</f>
        <v>1</v>
      </c>
      <c r="AM151" s="13">
        <f>VLOOKUP(Table2[[#This Row],[3_Elephant_ID]],'[1]Attributes(OUTDATED)'!$A$2:$S$19,17,FALSE)</f>
        <v>48</v>
      </c>
      <c r="AN151" s="13">
        <f>VLOOKUP(Table2[[#This Row],[3_Elephant_ID]],'[1]Attributes(OUTDATED)'!$A$2:$S$19,18,FALSE)</f>
        <v>3</v>
      </c>
    </row>
    <row r="152" spans="1:40" ht="28" x14ac:dyDescent="0.15">
      <c r="A152" s="3">
        <v>125</v>
      </c>
      <c r="B152" s="6" t="s">
        <v>52</v>
      </c>
      <c r="C152" s="7">
        <v>4</v>
      </c>
      <c r="D152" s="7">
        <v>7</v>
      </c>
      <c r="E152" s="7">
        <v>2023</v>
      </c>
      <c r="F152" s="5">
        <v>45111</v>
      </c>
      <c r="G152" s="6" t="s">
        <v>1</v>
      </c>
      <c r="H152" s="17">
        <v>0.30348162475822049</v>
      </c>
      <c r="I152" s="20">
        <f>ROUNDUP((Table2[[#This Row],[fGCM_Conc]]*10000),0)</f>
        <v>3035</v>
      </c>
      <c r="J152" s="3" t="str">
        <f>VLOOKUP(G152,'[1]Attributes(OUTDATED)'!$A$2:$C$19,2,FALSE)</f>
        <v>F</v>
      </c>
      <c r="K152" s="3" t="str">
        <f>VLOOKUP(G152,'[1]Attributes(OUTDATED)'!$A$2:$C$19,3,FALSE)</f>
        <v>A</v>
      </c>
      <c r="L152" s="3">
        <f>VLOOKUP(G152,'[1]Attributes(OUTDATED)'!$A$2:$H$19,8,FALSE)</f>
        <v>929</v>
      </c>
      <c r="M152" s="3" t="str">
        <f>K152&amp;J152</f>
        <v>AF</v>
      </c>
      <c r="N152" s="3" t="e">
        <f>VLOOKUP(G152,#REF!,2,FALSE)</f>
        <v>#REF!</v>
      </c>
      <c r="O152" s="11">
        <v>45109</v>
      </c>
      <c r="P152" s="13">
        <v>21.3</v>
      </c>
      <c r="Q152" s="13">
        <v>11.1</v>
      </c>
      <c r="R152" s="13">
        <v>3.6</v>
      </c>
      <c r="S152" s="13">
        <f>Table2[[#This Row],[2_Temp_H]]-Table2[[#This Row],[2_Temp_L]]</f>
        <v>17.7</v>
      </c>
      <c r="T152" s="13">
        <v>35.9</v>
      </c>
      <c r="U152" s="13">
        <v>6.6</v>
      </c>
      <c r="V152" s="13">
        <v>1019.98</v>
      </c>
      <c r="W152" s="13">
        <v>1017.95</v>
      </c>
      <c r="X152" s="13">
        <v>0</v>
      </c>
      <c r="Y152" s="13" t="s">
        <v>147</v>
      </c>
      <c r="Z152" s="13" t="s">
        <v>141</v>
      </c>
      <c r="AA152" s="13" t="s">
        <v>26</v>
      </c>
      <c r="AB152" s="13" t="s">
        <v>144</v>
      </c>
      <c r="AC152" s="13" t="s">
        <v>146</v>
      </c>
      <c r="AD152" s="13" t="s">
        <v>137</v>
      </c>
      <c r="AE152" s="13">
        <f>VLOOKUP(Table2[[#This Row],[3_Elephant_ID]],'[1]Attributes(OUTDATED)'!$A$2:$N$19,12,FALSE)</f>
        <v>321</v>
      </c>
      <c r="AF152" s="13">
        <f>VLOOKUP(Table2[[#This Row],[3_Elephant_ID]],'[1]Attributes(OUTDATED)'!$A$2:$N$19,13,FALSE)</f>
        <v>0.17599999999999999</v>
      </c>
      <c r="AG152" s="13">
        <f>VLOOKUP(Table2[[#This Row],[3_Elephant_ID]],'[1]Attributes(OUTDATED)'!$A$2:$N$19,14,FALSE)</f>
        <v>0.17530262753188491</v>
      </c>
      <c r="AH152" s="13">
        <v>0</v>
      </c>
      <c r="AI152" s="13">
        <v>0</v>
      </c>
      <c r="AJ152" s="13">
        <v>0</v>
      </c>
      <c r="AK152" s="13">
        <v>0</v>
      </c>
      <c r="AL152" s="13">
        <f>VLOOKUP(Table2[[#This Row],[3_Elephant_ID]],'[1]Attributes(OUTDATED)'!$A$2:$P$19,16,FALSE)</f>
        <v>1</v>
      </c>
      <c r="AM152" s="13">
        <f>VLOOKUP(Table2[[#This Row],[3_Elephant_ID]],'[1]Attributes(OUTDATED)'!$A$2:$S$19,17,FALSE)</f>
        <v>6</v>
      </c>
      <c r="AN152" s="13">
        <f>VLOOKUP(Table2[[#This Row],[3_Elephant_ID]],'[1]Attributes(OUTDATED)'!$A$2:$S$19,18,FALSE)</f>
        <v>8</v>
      </c>
    </row>
    <row r="153" spans="1:40" ht="28" x14ac:dyDescent="0.15">
      <c r="A153" s="3">
        <v>126</v>
      </c>
      <c r="B153" s="6" t="s">
        <v>53</v>
      </c>
      <c r="C153" s="7">
        <v>4</v>
      </c>
      <c r="D153" s="7">
        <v>7</v>
      </c>
      <c r="E153" s="7">
        <v>2023</v>
      </c>
      <c r="F153" s="5">
        <v>45111</v>
      </c>
      <c r="G153" s="6" t="s">
        <v>7</v>
      </c>
      <c r="H153" s="17">
        <v>0.22437022900763356</v>
      </c>
      <c r="I153" s="20">
        <f>ROUNDUP((Table2[[#This Row],[fGCM_Conc]]*10000),0)</f>
        <v>2244</v>
      </c>
      <c r="J153" s="3" t="str">
        <f>VLOOKUP(G153,'[1]Attributes(OUTDATED)'!$A$2:$C$19,2,FALSE)</f>
        <v>F</v>
      </c>
      <c r="K153" s="3" t="str">
        <f>VLOOKUP(G153,'[1]Attributes(OUTDATED)'!$A$2:$C$19,3,FALSE)</f>
        <v>J</v>
      </c>
      <c r="L153" s="3">
        <f>VLOOKUP(G153,'[1]Attributes(OUTDATED)'!$A$2:$H$19,8,FALSE)</f>
        <v>711</v>
      </c>
      <c r="M153" s="3" t="str">
        <f>K153&amp;J153</f>
        <v>JF</v>
      </c>
      <c r="N153" s="3" t="e">
        <f>VLOOKUP(G153,#REF!,2,FALSE)</f>
        <v>#REF!</v>
      </c>
      <c r="O153" s="11">
        <v>45109</v>
      </c>
      <c r="P153" s="13">
        <v>21.3</v>
      </c>
      <c r="Q153" s="13">
        <v>11.1</v>
      </c>
      <c r="R153" s="13">
        <v>3.6</v>
      </c>
      <c r="S153" s="13">
        <f>Table2[[#This Row],[2_Temp_H]]-Table2[[#This Row],[2_Temp_L]]</f>
        <v>17.7</v>
      </c>
      <c r="T153" s="13">
        <v>35.9</v>
      </c>
      <c r="U153" s="13">
        <v>6.6</v>
      </c>
      <c r="V153" s="13">
        <v>1019.98</v>
      </c>
      <c r="W153" s="13">
        <v>1017.95</v>
      </c>
      <c r="X153" s="13">
        <v>0</v>
      </c>
      <c r="Y153" s="13" t="s">
        <v>147</v>
      </c>
      <c r="Z153" s="13" t="s">
        <v>141</v>
      </c>
      <c r="AA153" s="13" t="s">
        <v>26</v>
      </c>
      <c r="AB153" s="13" t="s">
        <v>144</v>
      </c>
      <c r="AC153" s="13" t="s">
        <v>146</v>
      </c>
      <c r="AD153" s="13" t="s">
        <v>137</v>
      </c>
      <c r="AE153" s="13">
        <f>VLOOKUP(Table2[[#This Row],[3_Elephant_ID]],'[1]Attributes(OUTDATED)'!$A$2:$N$19,12,FALSE)</f>
        <v>398</v>
      </c>
      <c r="AF153" s="13">
        <f>VLOOKUP(Table2[[#This Row],[3_Elephant_ID]],'[1]Attributes(OUTDATED)'!$A$2:$N$19,13,FALSE)</f>
        <v>0.47899999999999998</v>
      </c>
      <c r="AG153" s="13">
        <f>VLOOKUP(Table2[[#This Row],[3_Elephant_ID]],'[1]Attributes(OUTDATED)'!$A$2:$N$19,14,FALSE)</f>
        <v>0.47820662037086947</v>
      </c>
      <c r="AH153" s="13">
        <v>0</v>
      </c>
      <c r="AI153" s="13">
        <v>0</v>
      </c>
      <c r="AJ153" s="13">
        <v>0</v>
      </c>
      <c r="AK153" s="13">
        <v>0</v>
      </c>
      <c r="AL153" s="13">
        <f>VLOOKUP(Table2[[#This Row],[3_Elephant_ID]],'[1]Attributes(OUTDATED)'!$A$2:$P$19,16,FALSE)</f>
        <v>1</v>
      </c>
      <c r="AM153" s="13">
        <f>VLOOKUP(Table2[[#This Row],[3_Elephant_ID]],'[1]Attributes(OUTDATED)'!$A$2:$S$19,17,FALSE)</f>
        <v>0</v>
      </c>
      <c r="AN153" s="13">
        <f>VLOOKUP(Table2[[#This Row],[3_Elephant_ID]],'[1]Attributes(OUTDATED)'!$A$2:$S$19,18,FALSE)</f>
        <v>12</v>
      </c>
    </row>
    <row r="154" spans="1:40" ht="28" x14ac:dyDescent="0.15">
      <c r="A154" s="3">
        <v>118</v>
      </c>
      <c r="B154" s="6" t="s">
        <v>45</v>
      </c>
      <c r="C154" s="7">
        <v>5</v>
      </c>
      <c r="D154" s="7">
        <v>7</v>
      </c>
      <c r="E154" s="7">
        <v>2023</v>
      </c>
      <c r="F154" s="5">
        <v>45112</v>
      </c>
      <c r="G154" s="6" t="s">
        <v>2</v>
      </c>
      <c r="H154" s="17">
        <v>0.36079395085066157</v>
      </c>
      <c r="I154" s="20">
        <f>ROUNDUP((Table2[[#This Row],[fGCM_Conc]]*10000),0)</f>
        <v>3608</v>
      </c>
      <c r="J154" s="3" t="str">
        <f>VLOOKUP(G154,'[1]Attributes(OUTDATED)'!$A$2:$C$19,2,FALSE)</f>
        <v>F</v>
      </c>
      <c r="K154" s="3" t="str">
        <f>VLOOKUP(G154,'[1]Attributes(OUTDATED)'!$A$2:$C$19,3,FALSE)</f>
        <v>A</v>
      </c>
      <c r="L154" s="3">
        <f>VLOOKUP(G154,'[1]Attributes(OUTDATED)'!$A$2:$H$19,8,FALSE)</f>
        <v>892</v>
      </c>
      <c r="M154" s="3" t="str">
        <f>K154&amp;J154</f>
        <v>AF</v>
      </c>
      <c r="N154" s="3" t="e">
        <f>VLOOKUP(G154,#REF!,2,FALSE)</f>
        <v>#REF!</v>
      </c>
      <c r="O154" s="11">
        <v>45110</v>
      </c>
      <c r="P154" s="13">
        <v>22.9</v>
      </c>
      <c r="Q154" s="13">
        <v>13.6</v>
      </c>
      <c r="R154" s="13">
        <v>3.1</v>
      </c>
      <c r="S154" s="13">
        <f>Table2[[#This Row],[2_Temp_H]]-Table2[[#This Row],[2_Temp_L]]</f>
        <v>19.799999999999997</v>
      </c>
      <c r="T154" s="13">
        <v>44.6</v>
      </c>
      <c r="U154" s="13">
        <v>8</v>
      </c>
      <c r="V154" s="13">
        <v>1019.98</v>
      </c>
      <c r="W154" s="13">
        <v>1016.93</v>
      </c>
      <c r="X154" s="13">
        <v>0</v>
      </c>
      <c r="Y154" s="13" t="s">
        <v>147</v>
      </c>
      <c r="Z154" s="13" t="s">
        <v>141</v>
      </c>
      <c r="AA154" s="13" t="s">
        <v>26</v>
      </c>
      <c r="AB154" s="13" t="s">
        <v>144</v>
      </c>
      <c r="AC154" s="13" t="s">
        <v>146</v>
      </c>
      <c r="AD154" s="13" t="s">
        <v>137</v>
      </c>
      <c r="AE154" s="13">
        <f>VLOOKUP(Table2[[#This Row],[3_Elephant_ID]],'[1]Attributes(OUTDATED)'!$A$2:$N$19,12,FALSE)</f>
        <v>378</v>
      </c>
      <c r="AF154" s="13">
        <f>VLOOKUP(Table2[[#This Row],[3_Elephant_ID]],'[1]Attributes(OUTDATED)'!$A$2:$N$19,13,FALSE)</f>
        <v>8.6999999999999994E-2</v>
      </c>
      <c r="AG154" s="13">
        <f>VLOOKUP(Table2[[#This Row],[3_Elephant_ID]],'[1]Attributes(OUTDATED)'!$A$2:$N$19,14,FALSE)</f>
        <v>8.6599138783086713E-2</v>
      </c>
      <c r="AH154" s="13">
        <v>5</v>
      </c>
      <c r="AI154" s="13">
        <v>0</v>
      </c>
      <c r="AJ154" s="13">
        <v>0</v>
      </c>
      <c r="AK154" s="13">
        <v>0</v>
      </c>
      <c r="AL154" s="13">
        <f>VLOOKUP(Table2[[#This Row],[3_Elephant_ID]],'[1]Attributes(OUTDATED)'!$A$2:$P$19,16,FALSE)</f>
        <v>1</v>
      </c>
      <c r="AM154" s="13">
        <f>VLOOKUP(Table2[[#This Row],[3_Elephant_ID]],'[1]Attributes(OUTDATED)'!$A$2:$S$19,17,FALSE)</f>
        <v>4</v>
      </c>
      <c r="AN154" s="13">
        <f>VLOOKUP(Table2[[#This Row],[3_Elephant_ID]],'[1]Attributes(OUTDATED)'!$A$2:$S$19,18,FALSE)</f>
        <v>20</v>
      </c>
    </row>
    <row r="155" spans="1:40" ht="28" x14ac:dyDescent="0.15">
      <c r="A155" s="3">
        <v>120</v>
      </c>
      <c r="B155" s="6" t="s">
        <v>47</v>
      </c>
      <c r="C155" s="7">
        <v>5</v>
      </c>
      <c r="D155" s="7">
        <v>7</v>
      </c>
      <c r="E155" s="7">
        <v>2023</v>
      </c>
      <c r="F155" s="5">
        <v>45112</v>
      </c>
      <c r="G155" s="6" t="s">
        <v>12</v>
      </c>
      <c r="H155" s="17">
        <v>0.2856088560885609</v>
      </c>
      <c r="I155" s="20">
        <f>ROUNDUP((Table2[[#This Row],[fGCM_Conc]]*10000),0)</f>
        <v>2857</v>
      </c>
      <c r="J155" s="3" t="str">
        <f>VLOOKUP(G155,'[1]Attributes(OUTDATED)'!$A$2:$C$19,2,FALSE)</f>
        <v>M</v>
      </c>
      <c r="K155" s="3" t="str">
        <f>VLOOKUP(G155,'[1]Attributes(OUTDATED)'!$A$2:$C$19,3,FALSE)</f>
        <v>A</v>
      </c>
      <c r="L155" s="3">
        <f>VLOOKUP(G155,'[1]Attributes(OUTDATED)'!$A$2:$H$19,8,FALSE)</f>
        <v>1509</v>
      </c>
      <c r="M155" s="3" t="str">
        <f>K155&amp;J155</f>
        <v>AM</v>
      </c>
      <c r="N155" s="3" t="e">
        <f>VLOOKUP(G155,#REF!,2,FALSE)</f>
        <v>#REF!</v>
      </c>
      <c r="O155" s="11">
        <v>45110</v>
      </c>
      <c r="P155" s="13">
        <v>22.9</v>
      </c>
      <c r="Q155" s="13">
        <v>13.6</v>
      </c>
      <c r="R155" s="13">
        <v>3.1</v>
      </c>
      <c r="S155" s="13">
        <f>Table2[[#This Row],[2_Temp_H]]-Table2[[#This Row],[2_Temp_L]]</f>
        <v>19.799999999999997</v>
      </c>
      <c r="T155" s="13">
        <v>44.6</v>
      </c>
      <c r="U155" s="13">
        <v>8</v>
      </c>
      <c r="V155" s="13">
        <v>1019.98</v>
      </c>
      <c r="W155" s="13">
        <v>1016.93</v>
      </c>
      <c r="X155" s="13">
        <v>0</v>
      </c>
      <c r="Y155" s="13" t="s">
        <v>147</v>
      </c>
      <c r="Z155" s="13" t="s">
        <v>141</v>
      </c>
      <c r="AA155" s="13" t="s">
        <v>26</v>
      </c>
      <c r="AB155" s="13" t="s">
        <v>144</v>
      </c>
      <c r="AC155" s="13" t="s">
        <v>146</v>
      </c>
      <c r="AD155" s="13" t="s">
        <v>137</v>
      </c>
      <c r="AE155" s="13">
        <f>VLOOKUP(Table2[[#This Row],[3_Elephant_ID]],'[1]Attributes(OUTDATED)'!$A$2:$N$19,12,FALSE)</f>
        <v>450</v>
      </c>
      <c r="AF155" s="13">
        <f>VLOOKUP(Table2[[#This Row],[3_Elephant_ID]],'[1]Attributes(OUTDATED)'!$A$2:$N$19,13,FALSE)</f>
        <v>0.375</v>
      </c>
      <c r="AG155" s="13">
        <f>VLOOKUP(Table2[[#This Row],[3_Elephant_ID]],'[1]Attributes(OUTDATED)'!$A$2:$N$19,14,FALSE)</f>
        <v>0.37414375430996583</v>
      </c>
      <c r="AH155" s="13">
        <v>5</v>
      </c>
      <c r="AI155" s="13">
        <v>2</v>
      </c>
      <c r="AJ155" s="13">
        <v>0</v>
      </c>
      <c r="AK155" s="13">
        <v>2</v>
      </c>
      <c r="AL155" s="13">
        <f>VLOOKUP(Table2[[#This Row],[3_Elephant_ID]],'[1]Attributes(OUTDATED)'!$A$2:$P$19,16,FALSE)</f>
        <v>1</v>
      </c>
      <c r="AM155" s="13">
        <f>VLOOKUP(Table2[[#This Row],[3_Elephant_ID]],'[1]Attributes(OUTDATED)'!$A$2:$S$19,17,FALSE)</f>
        <v>48</v>
      </c>
      <c r="AN155" s="13">
        <f>VLOOKUP(Table2[[#This Row],[3_Elephant_ID]],'[1]Attributes(OUTDATED)'!$A$2:$S$19,18,FALSE)</f>
        <v>3</v>
      </c>
    </row>
    <row r="156" spans="1:40" ht="28" x14ac:dyDescent="0.15">
      <c r="A156" s="3">
        <v>119</v>
      </c>
      <c r="B156" s="6" t="s">
        <v>46</v>
      </c>
      <c r="C156" s="7">
        <v>5</v>
      </c>
      <c r="D156" s="7">
        <v>7</v>
      </c>
      <c r="E156" s="7">
        <v>2023</v>
      </c>
      <c r="F156" s="5">
        <v>45112</v>
      </c>
      <c r="G156" s="6" t="s">
        <v>4</v>
      </c>
      <c r="H156" s="17">
        <v>0.12793950850661623</v>
      </c>
      <c r="I156" s="20">
        <f>ROUNDUP((Table2[[#This Row],[fGCM_Conc]]*10000),0)</f>
        <v>1280</v>
      </c>
      <c r="J156" s="3" t="str">
        <f>VLOOKUP(G156,'[1]Attributes(OUTDATED)'!$A$2:$C$19,2,FALSE)</f>
        <v>M</v>
      </c>
      <c r="K156" s="3" t="str">
        <f>VLOOKUP(G156,'[1]Attributes(OUTDATED)'!$A$2:$C$19,3,FALSE)</f>
        <v>J</v>
      </c>
      <c r="L156" s="3">
        <f>VLOOKUP(G156,'[1]Attributes(OUTDATED)'!$A$2:$H$19,8,FALSE)</f>
        <v>1055</v>
      </c>
      <c r="M156" s="3" t="str">
        <f>K156&amp;J156</f>
        <v>JM</v>
      </c>
      <c r="N156" s="3" t="e">
        <f>VLOOKUP(G156,#REF!,2,FALSE)</f>
        <v>#REF!</v>
      </c>
      <c r="O156" s="11">
        <v>45110</v>
      </c>
      <c r="P156" s="13">
        <v>22.9</v>
      </c>
      <c r="Q156" s="13">
        <v>13.6</v>
      </c>
      <c r="R156" s="13">
        <v>3.1</v>
      </c>
      <c r="S156" s="13">
        <f>Table2[[#This Row],[2_Temp_H]]-Table2[[#This Row],[2_Temp_L]]</f>
        <v>19.799999999999997</v>
      </c>
      <c r="T156" s="13">
        <v>44.6</v>
      </c>
      <c r="U156" s="13">
        <v>8</v>
      </c>
      <c r="V156" s="13">
        <v>1019.98</v>
      </c>
      <c r="W156" s="13">
        <v>1016.93</v>
      </c>
      <c r="X156" s="13">
        <v>0</v>
      </c>
      <c r="Y156" s="13" t="s">
        <v>147</v>
      </c>
      <c r="Z156" s="13" t="s">
        <v>141</v>
      </c>
      <c r="AA156" s="13" t="s">
        <v>26</v>
      </c>
      <c r="AB156" s="13" t="s">
        <v>144</v>
      </c>
      <c r="AC156" s="13" t="s">
        <v>146</v>
      </c>
      <c r="AD156" s="13" t="s">
        <v>137</v>
      </c>
      <c r="AE156" s="13">
        <f>VLOOKUP(Table2[[#This Row],[3_Elephant_ID]],'[1]Attributes(OUTDATED)'!$A$2:$N$19,12,FALSE)</f>
        <v>181</v>
      </c>
      <c r="AF156" s="13">
        <f>VLOOKUP(Table2[[#This Row],[3_Elephant_ID]],'[1]Attributes(OUTDATED)'!$A$2:$N$19,13,FALSE)</f>
        <v>7.3999999999999996E-2</v>
      </c>
      <c r="AG156" s="13">
        <f>VLOOKUP(Table2[[#This Row],[3_Elephant_ID]],'[1]Attributes(OUTDATED)'!$A$2:$N$19,14,FALSE)</f>
        <v>7.3914663535330896E-2</v>
      </c>
      <c r="AH156" s="13">
        <v>5</v>
      </c>
      <c r="AI156" s="13">
        <v>0</v>
      </c>
      <c r="AJ156" s="13">
        <v>0</v>
      </c>
      <c r="AK156" s="13">
        <v>0</v>
      </c>
      <c r="AL156" s="13">
        <f>VLOOKUP(Table2[[#This Row],[3_Elephant_ID]],'[1]Attributes(OUTDATED)'!$A$2:$P$19,16,FALSE)</f>
        <v>1</v>
      </c>
      <c r="AM156" s="13">
        <f>VLOOKUP(Table2[[#This Row],[3_Elephant_ID]],'[1]Attributes(OUTDATED)'!$A$2:$S$19,17,FALSE)</f>
        <v>7</v>
      </c>
      <c r="AN156" s="13">
        <f>VLOOKUP(Table2[[#This Row],[3_Elephant_ID]],'[1]Attributes(OUTDATED)'!$A$2:$S$19,18,FALSE)</f>
        <v>9</v>
      </c>
    </row>
    <row r="157" spans="1:40" ht="28" x14ac:dyDescent="0.15">
      <c r="A157" s="3">
        <v>117</v>
      </c>
      <c r="B157" s="6" t="s">
        <v>44</v>
      </c>
      <c r="C157" s="7">
        <v>6</v>
      </c>
      <c r="D157" s="7">
        <v>7</v>
      </c>
      <c r="E157" s="7">
        <v>2023</v>
      </c>
      <c r="F157" s="5">
        <v>45113</v>
      </c>
      <c r="G157" s="6" t="s">
        <v>16</v>
      </c>
      <c r="H157" s="17">
        <v>0.40194392523364492</v>
      </c>
      <c r="I157" s="20">
        <f>ROUNDUP((Table2[[#This Row],[fGCM_Conc]]*10000),0)</f>
        <v>4020</v>
      </c>
      <c r="J157" s="3" t="str">
        <f>VLOOKUP(G157,'[1]Attributes(OUTDATED)'!$A$2:$C$19,2,FALSE)</f>
        <v>F</v>
      </c>
      <c r="K157" s="3" t="str">
        <f>VLOOKUP(G157,'[1]Attributes(OUTDATED)'!$A$2:$C$19,3,FALSE)</f>
        <v>A</v>
      </c>
      <c r="L157" s="3">
        <f>VLOOKUP(G157,'[1]Attributes(OUTDATED)'!$A$2:$H$19,8,FALSE)</f>
        <v>1346</v>
      </c>
      <c r="M157" s="3" t="str">
        <f>K157&amp;J157</f>
        <v>AF</v>
      </c>
      <c r="N157" s="3" t="e">
        <f>VLOOKUP(G157,#REF!,2,FALSE)</f>
        <v>#REF!</v>
      </c>
      <c r="O157" s="11">
        <v>45111</v>
      </c>
      <c r="P157" s="13">
        <v>19.5</v>
      </c>
      <c r="Q157" s="13">
        <v>10.3</v>
      </c>
      <c r="R157" s="13">
        <v>3.3</v>
      </c>
      <c r="S157" s="13">
        <f>Table2[[#This Row],[2_Temp_H]]-Table2[[#This Row],[2_Temp_L]]</f>
        <v>16.2</v>
      </c>
      <c r="T157" s="13">
        <v>26.2</v>
      </c>
      <c r="U157" s="13">
        <v>6.5</v>
      </c>
      <c r="V157" s="13">
        <v>1019.98</v>
      </c>
      <c r="W157" s="13">
        <v>1016.93</v>
      </c>
      <c r="X157" s="13">
        <v>0</v>
      </c>
      <c r="Y157" s="13" t="s">
        <v>147</v>
      </c>
      <c r="Z157" s="13" t="s">
        <v>141</v>
      </c>
      <c r="AA157" s="13" t="s">
        <v>26</v>
      </c>
      <c r="AB157" s="13" t="s">
        <v>144</v>
      </c>
      <c r="AC157" s="13" t="s">
        <v>146</v>
      </c>
      <c r="AD157" s="13" t="s">
        <v>137</v>
      </c>
      <c r="AE157" s="13">
        <f>VLOOKUP(Table2[[#This Row],[3_Elephant_ID]],'[1]Attributes(OUTDATED)'!$A$2:$N$19,12,FALSE)</f>
        <v>474</v>
      </c>
      <c r="AF157" s="13">
        <f>VLOOKUP(Table2[[#This Row],[3_Elephant_ID]],'[1]Attributes(OUTDATED)'!$A$2:$N$19,13,FALSE)</f>
        <v>0.121</v>
      </c>
      <c r="AG157" s="13">
        <f>VLOOKUP(Table2[[#This Row],[3_Elephant_ID]],'[1]Attributes(OUTDATED)'!$A$2:$N$19,14,FALSE)</f>
        <v>0.1206993463154281</v>
      </c>
      <c r="AH157" s="13">
        <v>0</v>
      </c>
      <c r="AI157" s="13">
        <v>0</v>
      </c>
      <c r="AJ157" s="13">
        <v>0</v>
      </c>
      <c r="AK157" s="13">
        <v>0</v>
      </c>
      <c r="AL157" s="13">
        <f>VLOOKUP(Table2[[#This Row],[3_Elephant_ID]],'[1]Attributes(OUTDATED)'!$A$2:$P$19,16,FALSE)</f>
        <v>1</v>
      </c>
      <c r="AM157" s="13">
        <f>VLOOKUP(Table2[[#This Row],[3_Elephant_ID]],'[1]Attributes(OUTDATED)'!$A$2:$S$19,17,FALSE)</f>
        <v>16</v>
      </c>
      <c r="AN157" s="13">
        <f>VLOOKUP(Table2[[#This Row],[3_Elephant_ID]],'[1]Attributes(OUTDATED)'!$A$2:$S$19,18,FALSE)</f>
        <v>1</v>
      </c>
    </row>
    <row r="158" spans="1:40" ht="28" x14ac:dyDescent="0.15">
      <c r="A158" s="3">
        <v>116</v>
      </c>
      <c r="B158" s="6" t="s">
        <v>43</v>
      </c>
      <c r="C158" s="7">
        <v>6</v>
      </c>
      <c r="D158" s="7">
        <v>7</v>
      </c>
      <c r="E158" s="7">
        <v>2023</v>
      </c>
      <c r="F158" s="5">
        <v>45113</v>
      </c>
      <c r="G158" s="6" t="s">
        <v>6</v>
      </c>
      <c r="H158" s="17">
        <v>0.35903591682419655</v>
      </c>
      <c r="I158" s="20">
        <f>ROUNDUP((Table2[[#This Row],[fGCM_Conc]]*10000),0)</f>
        <v>3591</v>
      </c>
      <c r="J158" s="3" t="str">
        <f>VLOOKUP(G158,'[1]Attributes(OUTDATED)'!$A$2:$C$19,2,FALSE)</f>
        <v>F</v>
      </c>
      <c r="K158" s="3" t="str">
        <f>VLOOKUP(G158,'[1]Attributes(OUTDATED)'!$A$2:$C$19,3,FALSE)</f>
        <v>A</v>
      </c>
      <c r="L158" s="3">
        <f>VLOOKUP(G158,'[1]Attributes(OUTDATED)'!$A$2:$H$19,8,FALSE)</f>
        <v>1168</v>
      </c>
      <c r="M158" s="3" t="str">
        <f>K158&amp;J158</f>
        <v>AF</v>
      </c>
      <c r="N158" s="3" t="e">
        <f>VLOOKUP(G158,#REF!,2,FALSE)</f>
        <v>#REF!</v>
      </c>
      <c r="O158" s="11">
        <v>45111</v>
      </c>
      <c r="P158" s="13">
        <v>19.5</v>
      </c>
      <c r="Q158" s="13">
        <v>10.3</v>
      </c>
      <c r="R158" s="13">
        <v>3.3</v>
      </c>
      <c r="S158" s="13">
        <f>Table2[[#This Row],[2_Temp_H]]-Table2[[#This Row],[2_Temp_L]]</f>
        <v>16.2</v>
      </c>
      <c r="T158" s="13">
        <v>26.2</v>
      </c>
      <c r="U158" s="13">
        <v>6.5</v>
      </c>
      <c r="V158" s="13">
        <v>1019.98</v>
      </c>
      <c r="W158" s="13">
        <v>1016.93</v>
      </c>
      <c r="X158" s="13">
        <v>0</v>
      </c>
      <c r="Y158" s="13" t="s">
        <v>147</v>
      </c>
      <c r="Z158" s="13" t="s">
        <v>141</v>
      </c>
      <c r="AA158" s="13" t="s">
        <v>26</v>
      </c>
      <c r="AB158" s="13" t="s">
        <v>144</v>
      </c>
      <c r="AC158" s="13" t="s">
        <v>146</v>
      </c>
      <c r="AD158" s="13" t="s">
        <v>137</v>
      </c>
      <c r="AE158" s="13">
        <f>VLOOKUP(Table2[[#This Row],[3_Elephant_ID]],'[1]Attributes(OUTDATED)'!$A$2:$N$19,12,FALSE)</f>
        <v>286</v>
      </c>
      <c r="AF158" s="13">
        <f>VLOOKUP(Table2[[#This Row],[3_Elephant_ID]],'[1]Attributes(OUTDATED)'!$A$2:$N$19,13,FALSE)</f>
        <v>0.26800000000000002</v>
      </c>
      <c r="AG158" s="13">
        <f>VLOOKUP(Table2[[#This Row],[3_Elephant_ID]],'[1]Attributes(OUTDATED)'!$A$2:$N$19,14,FALSE)</f>
        <v>0.26721028245328138</v>
      </c>
      <c r="AH158" s="13">
        <v>0</v>
      </c>
      <c r="AI158" s="13">
        <v>0</v>
      </c>
      <c r="AJ158" s="13">
        <v>0</v>
      </c>
      <c r="AK158" s="13">
        <v>0</v>
      </c>
      <c r="AL158" s="13">
        <f>VLOOKUP(Table2[[#This Row],[3_Elephant_ID]],'[1]Attributes(OUTDATED)'!$A$2:$P$19,16,FALSE)</f>
        <v>2</v>
      </c>
      <c r="AM158" s="13">
        <f>VLOOKUP(Table2[[#This Row],[3_Elephant_ID]],'[1]Attributes(OUTDATED)'!$A$2:$S$19,17,FALSE)</f>
        <v>12</v>
      </c>
      <c r="AN158" s="13">
        <f>VLOOKUP(Table2[[#This Row],[3_Elephant_ID]],'[1]Attributes(OUTDATED)'!$A$2:$S$19,18,FALSE)</f>
        <v>5</v>
      </c>
    </row>
    <row r="159" spans="1:40" ht="28" x14ac:dyDescent="0.15">
      <c r="A159" s="3">
        <v>114</v>
      </c>
      <c r="B159" s="6" t="s">
        <v>41</v>
      </c>
      <c r="C159" s="7">
        <v>6</v>
      </c>
      <c r="D159" s="7">
        <v>7</v>
      </c>
      <c r="E159" s="7">
        <v>2023</v>
      </c>
      <c r="F159" s="5">
        <v>45113</v>
      </c>
      <c r="G159" s="6" t="s">
        <v>12</v>
      </c>
      <c r="H159" s="17">
        <v>0.26126865671641791</v>
      </c>
      <c r="I159" s="20">
        <f>ROUNDUP((Table2[[#This Row],[fGCM_Conc]]*10000),0)</f>
        <v>2613</v>
      </c>
      <c r="J159" s="3" t="str">
        <f>VLOOKUP(G159,'[1]Attributes(OUTDATED)'!$A$2:$C$19,2,FALSE)</f>
        <v>M</v>
      </c>
      <c r="K159" s="3" t="str">
        <f>VLOOKUP(G159,'[1]Attributes(OUTDATED)'!$A$2:$C$19,3,FALSE)</f>
        <v>A</v>
      </c>
      <c r="L159" s="3">
        <f>VLOOKUP(G159,'[1]Attributes(OUTDATED)'!$A$2:$H$19,8,FALSE)</f>
        <v>1509</v>
      </c>
      <c r="M159" s="3" t="str">
        <f>K159&amp;J159</f>
        <v>AM</v>
      </c>
      <c r="N159" s="3" t="e">
        <f>VLOOKUP(G159,#REF!,2,FALSE)</f>
        <v>#REF!</v>
      </c>
      <c r="O159" s="11">
        <v>45111</v>
      </c>
      <c r="P159" s="13">
        <v>19.5</v>
      </c>
      <c r="Q159" s="13">
        <v>10.3</v>
      </c>
      <c r="R159" s="13">
        <v>3.3</v>
      </c>
      <c r="S159" s="13">
        <f>Table2[[#This Row],[2_Temp_H]]-Table2[[#This Row],[2_Temp_L]]</f>
        <v>16.2</v>
      </c>
      <c r="T159" s="13">
        <v>26.2</v>
      </c>
      <c r="U159" s="13">
        <v>6.5</v>
      </c>
      <c r="V159" s="13">
        <v>1019.98</v>
      </c>
      <c r="W159" s="13">
        <v>1016.93</v>
      </c>
      <c r="X159" s="13">
        <v>0</v>
      </c>
      <c r="Y159" s="13" t="s">
        <v>147</v>
      </c>
      <c r="Z159" s="13" t="s">
        <v>141</v>
      </c>
      <c r="AA159" s="13" t="s">
        <v>26</v>
      </c>
      <c r="AB159" s="13" t="s">
        <v>144</v>
      </c>
      <c r="AC159" s="13" t="s">
        <v>146</v>
      </c>
      <c r="AD159" s="13" t="s">
        <v>137</v>
      </c>
      <c r="AE159" s="13">
        <f>VLOOKUP(Table2[[#This Row],[3_Elephant_ID]],'[1]Attributes(OUTDATED)'!$A$2:$N$19,12,FALSE)</f>
        <v>450</v>
      </c>
      <c r="AF159" s="13">
        <f>VLOOKUP(Table2[[#This Row],[3_Elephant_ID]],'[1]Attributes(OUTDATED)'!$A$2:$N$19,13,FALSE)</f>
        <v>0.375</v>
      </c>
      <c r="AG159" s="13">
        <f>VLOOKUP(Table2[[#This Row],[3_Elephant_ID]],'[1]Attributes(OUTDATED)'!$A$2:$N$19,14,FALSE)</f>
        <v>0.37414375430996583</v>
      </c>
      <c r="AH159" s="13">
        <v>0</v>
      </c>
      <c r="AI159" s="13">
        <v>0</v>
      </c>
      <c r="AJ159" s="13">
        <v>0</v>
      </c>
      <c r="AK159" s="13">
        <v>0</v>
      </c>
      <c r="AL159" s="13">
        <f>VLOOKUP(Table2[[#This Row],[3_Elephant_ID]],'[1]Attributes(OUTDATED)'!$A$2:$P$19,16,FALSE)</f>
        <v>1</v>
      </c>
      <c r="AM159" s="13">
        <f>VLOOKUP(Table2[[#This Row],[3_Elephant_ID]],'[1]Attributes(OUTDATED)'!$A$2:$S$19,17,FALSE)</f>
        <v>48</v>
      </c>
      <c r="AN159" s="13">
        <f>VLOOKUP(Table2[[#This Row],[3_Elephant_ID]],'[1]Attributes(OUTDATED)'!$A$2:$S$19,18,FALSE)</f>
        <v>3</v>
      </c>
    </row>
    <row r="160" spans="1:40" ht="28" x14ac:dyDescent="0.15">
      <c r="A160" s="3">
        <v>115</v>
      </c>
      <c r="B160" s="6" t="s">
        <v>42</v>
      </c>
      <c r="C160" s="7">
        <v>6</v>
      </c>
      <c r="D160" s="7">
        <v>7</v>
      </c>
      <c r="E160" s="7">
        <v>2023</v>
      </c>
      <c r="F160" s="5">
        <v>45113</v>
      </c>
      <c r="G160" s="6" t="s">
        <v>13</v>
      </c>
      <c r="H160" s="17">
        <v>0.23667896678966793</v>
      </c>
      <c r="I160" s="20">
        <f>ROUNDUP((Table2[[#This Row],[fGCM_Conc]]*10000),0)</f>
        <v>2367</v>
      </c>
      <c r="J160" s="3" t="str">
        <f>VLOOKUP(G160,'[1]Attributes(OUTDATED)'!$A$2:$C$19,2,FALSE)</f>
        <v>F</v>
      </c>
      <c r="K160" s="3" t="str">
        <f>VLOOKUP(G160,'[1]Attributes(OUTDATED)'!$A$2:$C$19,3,FALSE)</f>
        <v>A</v>
      </c>
      <c r="L160" s="3">
        <f>VLOOKUP(G160,'[1]Attributes(OUTDATED)'!$A$2:$H$19,8,FALSE)</f>
        <v>963</v>
      </c>
      <c r="M160" s="3" t="str">
        <f>K160&amp;J160</f>
        <v>AF</v>
      </c>
      <c r="N160" s="3" t="e">
        <f>VLOOKUP(G160,#REF!,2,FALSE)</f>
        <v>#REF!</v>
      </c>
      <c r="O160" s="11">
        <v>45111</v>
      </c>
      <c r="P160" s="13">
        <v>19.5</v>
      </c>
      <c r="Q160" s="13">
        <v>10.3</v>
      </c>
      <c r="R160" s="13">
        <v>3.3</v>
      </c>
      <c r="S160" s="13">
        <f>Table2[[#This Row],[2_Temp_H]]-Table2[[#This Row],[2_Temp_L]]</f>
        <v>16.2</v>
      </c>
      <c r="T160" s="13">
        <v>26.2</v>
      </c>
      <c r="U160" s="13">
        <v>6.5</v>
      </c>
      <c r="V160" s="13">
        <v>1019.98</v>
      </c>
      <c r="W160" s="13">
        <v>1016.93</v>
      </c>
      <c r="X160" s="13">
        <v>0</v>
      </c>
      <c r="Y160" s="13" t="s">
        <v>147</v>
      </c>
      <c r="Z160" s="13" t="s">
        <v>141</v>
      </c>
      <c r="AA160" s="13" t="s">
        <v>26</v>
      </c>
      <c r="AB160" s="13" t="s">
        <v>144</v>
      </c>
      <c r="AC160" s="13" t="s">
        <v>146</v>
      </c>
      <c r="AD160" s="13" t="s">
        <v>137</v>
      </c>
      <c r="AE160" s="13">
        <f>VLOOKUP(Table2[[#This Row],[3_Elephant_ID]],'[1]Attributes(OUTDATED)'!$A$2:$N$19,12,FALSE)</f>
        <v>289</v>
      </c>
      <c r="AF160" s="13">
        <f>VLOOKUP(Table2[[#This Row],[3_Elephant_ID]],'[1]Attributes(OUTDATED)'!$A$2:$N$19,13,FALSE)</f>
        <v>0.32400000000000001</v>
      </c>
      <c r="AG160" s="13">
        <f>VLOOKUP(Table2[[#This Row],[3_Elephant_ID]],'[1]Attributes(OUTDATED)'!$A$2:$N$19,14,FALSE)</f>
        <v>0.32380809109629533</v>
      </c>
      <c r="AH160" s="13">
        <v>0</v>
      </c>
      <c r="AI160" s="13">
        <v>0</v>
      </c>
      <c r="AJ160" s="13">
        <v>0</v>
      </c>
      <c r="AK160" s="13">
        <v>0</v>
      </c>
      <c r="AL160" s="13">
        <f>VLOOKUP(Table2[[#This Row],[3_Elephant_ID]],'[1]Attributes(OUTDATED)'!$A$2:$P$19,16,FALSE)</f>
        <v>2</v>
      </c>
      <c r="AM160" s="13">
        <f>VLOOKUP(Table2[[#This Row],[3_Elephant_ID]],'[1]Attributes(OUTDATED)'!$A$2:$S$19,17,FALSE)</f>
        <v>9</v>
      </c>
      <c r="AN160" s="13">
        <f>VLOOKUP(Table2[[#This Row],[3_Elephant_ID]],'[1]Attributes(OUTDATED)'!$A$2:$S$19,18,FALSE)</f>
        <v>9</v>
      </c>
    </row>
    <row r="161" spans="1:40" ht="28" x14ac:dyDescent="0.15">
      <c r="A161" s="3">
        <v>108</v>
      </c>
      <c r="B161" s="6" t="s">
        <v>35</v>
      </c>
      <c r="C161" s="7">
        <v>7</v>
      </c>
      <c r="D161" s="7">
        <v>7</v>
      </c>
      <c r="E161" s="7">
        <v>2023</v>
      </c>
      <c r="F161" s="5">
        <v>45114</v>
      </c>
      <c r="G161" s="6" t="s">
        <v>9</v>
      </c>
      <c r="H161" s="17">
        <v>0.42649903288201163</v>
      </c>
      <c r="I161" s="20">
        <f>ROUNDUP((Table2[[#This Row],[fGCM_Conc]]*10000),0)</f>
        <v>4265</v>
      </c>
      <c r="J161" s="3" t="str">
        <f>VLOOKUP(G161,'[1]Attributes(OUTDATED)'!$A$2:$C$19,2,FALSE)</f>
        <v>F</v>
      </c>
      <c r="K161" s="3" t="str">
        <f>VLOOKUP(G161,'[1]Attributes(OUTDATED)'!$A$2:$C$19,3,FALSE)</f>
        <v>J</v>
      </c>
      <c r="L161" s="3">
        <f>VLOOKUP(G161,'[1]Attributes(OUTDATED)'!$A$2:$H$19,8,FALSE)</f>
        <v>820</v>
      </c>
      <c r="M161" s="3" t="str">
        <f>K161&amp;J161</f>
        <v>JF</v>
      </c>
      <c r="N161" s="3" t="e">
        <f>VLOOKUP(G161,#REF!,2,FALSE)</f>
        <v>#REF!</v>
      </c>
      <c r="O161" s="11">
        <v>45112</v>
      </c>
      <c r="P161" s="13">
        <v>12</v>
      </c>
      <c r="Q161" s="13">
        <v>6.9</v>
      </c>
      <c r="R161" s="13">
        <v>1</v>
      </c>
      <c r="S161" s="13">
        <f>Table2[[#This Row],[2_Temp_H]]-Table2[[#This Row],[2_Temp_L]]</f>
        <v>11</v>
      </c>
      <c r="T161" s="13">
        <v>17.899999999999999</v>
      </c>
      <c r="U161" s="13">
        <v>3.5</v>
      </c>
      <c r="V161" s="13">
        <v>1021</v>
      </c>
      <c r="W161" s="13">
        <v>1018.96</v>
      </c>
      <c r="X161" s="13">
        <v>0</v>
      </c>
      <c r="Y161" s="13" t="s">
        <v>147</v>
      </c>
      <c r="Z161" s="13" t="s">
        <v>141</v>
      </c>
      <c r="AA161" s="13" t="s">
        <v>26</v>
      </c>
      <c r="AB161" s="13" t="s">
        <v>144</v>
      </c>
      <c r="AC161" s="13" t="s">
        <v>146</v>
      </c>
      <c r="AD161" s="13" t="s">
        <v>137</v>
      </c>
      <c r="AE161" s="13">
        <f>VLOOKUP(Table2[[#This Row],[3_Elephant_ID]],'[1]Attributes(OUTDATED)'!$A$2:$N$19,12,FALSE)</f>
        <v>305</v>
      </c>
      <c r="AF161" s="13">
        <f>VLOOKUP(Table2[[#This Row],[3_Elephant_ID]],'[1]Attributes(OUTDATED)'!$A$2:$N$19,13,FALSE)</f>
        <v>0.17499999999999999</v>
      </c>
      <c r="AG161" s="13">
        <f>VLOOKUP(Table2[[#This Row],[3_Elephant_ID]],'[1]Attributes(OUTDATED)'!$A$2:$N$19,14,FALSE)</f>
        <v>0.17467336145108631</v>
      </c>
      <c r="AH161" s="13">
        <v>2</v>
      </c>
      <c r="AI161" s="13">
        <v>0</v>
      </c>
      <c r="AJ161" s="13">
        <v>0</v>
      </c>
      <c r="AK161" s="13">
        <v>0</v>
      </c>
      <c r="AL161" s="13">
        <f>VLOOKUP(Table2[[#This Row],[3_Elephant_ID]],'[1]Attributes(OUTDATED)'!$A$2:$P$19,16,FALSE)</f>
        <v>2</v>
      </c>
      <c r="AM161" s="13">
        <f>VLOOKUP(Table2[[#This Row],[3_Elephant_ID]],'[1]Attributes(OUTDATED)'!$A$2:$S$19,17,FALSE)</f>
        <v>0</v>
      </c>
      <c r="AN161" s="13">
        <f>VLOOKUP(Table2[[#This Row],[3_Elephant_ID]],'[1]Attributes(OUTDATED)'!$A$2:$S$19,18,FALSE)</f>
        <v>4</v>
      </c>
    </row>
    <row r="162" spans="1:40" ht="28" x14ac:dyDescent="0.15">
      <c r="A162" s="3">
        <v>110</v>
      </c>
      <c r="B162" s="6" t="s">
        <v>37</v>
      </c>
      <c r="C162" s="7">
        <v>7</v>
      </c>
      <c r="D162" s="7">
        <v>7</v>
      </c>
      <c r="E162" s="7">
        <v>2023</v>
      </c>
      <c r="F162" s="5">
        <v>45114</v>
      </c>
      <c r="G162" s="6" t="s">
        <v>16</v>
      </c>
      <c r="H162" s="17">
        <v>0.41921052631578953</v>
      </c>
      <c r="I162" s="20">
        <f>ROUNDUP((Table2[[#This Row],[fGCM_Conc]]*10000),0)</f>
        <v>4193</v>
      </c>
      <c r="J162" s="3" t="str">
        <f>VLOOKUP(G162,'[1]Attributes(OUTDATED)'!$A$2:$C$19,2,FALSE)</f>
        <v>F</v>
      </c>
      <c r="K162" s="3" t="str">
        <f>VLOOKUP(G162,'[1]Attributes(OUTDATED)'!$A$2:$C$19,3,FALSE)</f>
        <v>A</v>
      </c>
      <c r="L162" s="3">
        <f>VLOOKUP(G162,'[1]Attributes(OUTDATED)'!$A$2:$H$19,8,FALSE)</f>
        <v>1346</v>
      </c>
      <c r="M162" s="3" t="str">
        <f>K162&amp;J162</f>
        <v>AF</v>
      </c>
      <c r="N162" s="3" t="e">
        <f>VLOOKUP(G162,#REF!,2,FALSE)</f>
        <v>#REF!</v>
      </c>
      <c r="O162" s="11">
        <v>45112</v>
      </c>
      <c r="P162" s="13">
        <v>12</v>
      </c>
      <c r="Q162" s="13">
        <v>6.9</v>
      </c>
      <c r="R162" s="13">
        <v>1</v>
      </c>
      <c r="S162" s="13">
        <f>Table2[[#This Row],[2_Temp_H]]-Table2[[#This Row],[2_Temp_L]]</f>
        <v>11</v>
      </c>
      <c r="T162" s="13">
        <v>17.899999999999999</v>
      </c>
      <c r="U162" s="13">
        <v>3.5</v>
      </c>
      <c r="V162" s="13">
        <v>1021</v>
      </c>
      <c r="W162" s="13">
        <v>1018.96</v>
      </c>
      <c r="X162" s="13">
        <v>0</v>
      </c>
      <c r="Y162" s="13" t="s">
        <v>147</v>
      </c>
      <c r="Z162" s="13" t="s">
        <v>141</v>
      </c>
      <c r="AA162" s="13" t="s">
        <v>26</v>
      </c>
      <c r="AB162" s="13" t="s">
        <v>144</v>
      </c>
      <c r="AC162" s="13" t="s">
        <v>146</v>
      </c>
      <c r="AD162" s="13" t="s">
        <v>137</v>
      </c>
      <c r="AE162" s="13">
        <f>VLOOKUP(Table2[[#This Row],[3_Elephant_ID]],'[1]Attributes(OUTDATED)'!$A$2:$N$19,12,FALSE)</f>
        <v>474</v>
      </c>
      <c r="AF162" s="13">
        <f>VLOOKUP(Table2[[#This Row],[3_Elephant_ID]],'[1]Attributes(OUTDATED)'!$A$2:$N$19,13,FALSE)</f>
        <v>0.121</v>
      </c>
      <c r="AG162" s="13">
        <f>VLOOKUP(Table2[[#This Row],[3_Elephant_ID]],'[1]Attributes(OUTDATED)'!$A$2:$N$19,14,FALSE)</f>
        <v>0.1206993463154281</v>
      </c>
      <c r="AH162" s="13">
        <v>2</v>
      </c>
      <c r="AI162" s="13">
        <v>0</v>
      </c>
      <c r="AJ162" s="13">
        <v>0</v>
      </c>
      <c r="AK162" s="13">
        <v>0</v>
      </c>
      <c r="AL162" s="13">
        <f>VLOOKUP(Table2[[#This Row],[3_Elephant_ID]],'[1]Attributes(OUTDATED)'!$A$2:$P$19,16,FALSE)</f>
        <v>1</v>
      </c>
      <c r="AM162" s="13">
        <f>VLOOKUP(Table2[[#This Row],[3_Elephant_ID]],'[1]Attributes(OUTDATED)'!$A$2:$S$19,17,FALSE)</f>
        <v>16</v>
      </c>
      <c r="AN162" s="13">
        <f>VLOOKUP(Table2[[#This Row],[3_Elephant_ID]],'[1]Attributes(OUTDATED)'!$A$2:$S$19,18,FALSE)</f>
        <v>1</v>
      </c>
    </row>
    <row r="163" spans="1:40" ht="28" x14ac:dyDescent="0.15">
      <c r="A163" s="3">
        <v>113</v>
      </c>
      <c r="B163" s="6" t="s">
        <v>40</v>
      </c>
      <c r="C163" s="7">
        <v>7</v>
      </c>
      <c r="D163" s="7">
        <v>7</v>
      </c>
      <c r="E163" s="7">
        <v>2023</v>
      </c>
      <c r="F163" s="5">
        <v>45114</v>
      </c>
      <c r="G163" s="6" t="s">
        <v>15</v>
      </c>
      <c r="H163" s="17">
        <v>0.40432075471698109</v>
      </c>
      <c r="I163" s="20">
        <f>ROUNDUP((Table2[[#This Row],[fGCM_Conc]]*10000),0)</f>
        <v>4044</v>
      </c>
      <c r="J163" s="3" t="str">
        <f>VLOOKUP(G163,'[1]Attributes(OUTDATED)'!$A$2:$C$19,2,FALSE)</f>
        <v>M</v>
      </c>
      <c r="K163" s="3" t="str">
        <f>VLOOKUP(G163,'[1]Attributes(OUTDATED)'!$A$2:$C$19,3,FALSE)</f>
        <v>J</v>
      </c>
      <c r="L163" s="3">
        <f>VLOOKUP(G163,'[1]Attributes(OUTDATED)'!$A$2:$H$19,8,FALSE)</f>
        <v>828</v>
      </c>
      <c r="M163" s="3" t="str">
        <f>K163&amp;J163</f>
        <v>JM</v>
      </c>
      <c r="N163" s="3" t="e">
        <f>VLOOKUP(G163,#REF!,2,FALSE)</f>
        <v>#REF!</v>
      </c>
      <c r="O163" s="11">
        <v>45112</v>
      </c>
      <c r="P163" s="13">
        <v>12</v>
      </c>
      <c r="Q163" s="13">
        <v>6.9</v>
      </c>
      <c r="R163" s="13">
        <v>1</v>
      </c>
      <c r="S163" s="13">
        <f>Table2[[#This Row],[2_Temp_H]]-Table2[[#This Row],[2_Temp_L]]</f>
        <v>11</v>
      </c>
      <c r="T163" s="13">
        <v>17.899999999999999</v>
      </c>
      <c r="U163" s="13">
        <v>3.5</v>
      </c>
      <c r="V163" s="13">
        <v>1021</v>
      </c>
      <c r="W163" s="13">
        <v>1018.96</v>
      </c>
      <c r="X163" s="13">
        <v>0</v>
      </c>
      <c r="Y163" s="13" t="s">
        <v>147</v>
      </c>
      <c r="Z163" s="13" t="s">
        <v>141</v>
      </c>
      <c r="AA163" s="13" t="s">
        <v>26</v>
      </c>
      <c r="AB163" s="13" t="s">
        <v>144</v>
      </c>
      <c r="AC163" s="13" t="s">
        <v>146</v>
      </c>
      <c r="AD163" s="13" t="s">
        <v>137</v>
      </c>
      <c r="AE163" s="13">
        <f>VLOOKUP(Table2[[#This Row],[3_Elephant_ID]],'[1]Attributes(OUTDATED)'!$A$2:$N$19,12,FALSE)</f>
        <v>219</v>
      </c>
      <c r="AF163" s="13">
        <f>VLOOKUP(Table2[[#This Row],[3_Elephant_ID]],'[1]Attributes(OUTDATED)'!$A$2:$N$19,13,FALSE)</f>
        <v>0.32300000000000001</v>
      </c>
      <c r="AG163" s="13">
        <f>VLOOKUP(Table2[[#This Row],[3_Elephant_ID]],'[1]Attributes(OUTDATED)'!$A$2:$N$19,14,FALSE)</f>
        <v>0.32257531484312868</v>
      </c>
      <c r="AH163" s="13">
        <v>2</v>
      </c>
      <c r="AI163" s="13">
        <v>0</v>
      </c>
      <c r="AJ163" s="13">
        <v>0</v>
      </c>
      <c r="AK163" s="13">
        <v>0</v>
      </c>
      <c r="AL163" s="13">
        <f>VLOOKUP(Table2[[#This Row],[3_Elephant_ID]],'[1]Attributes(OUTDATED)'!$A$2:$P$19,16,FALSE)</f>
        <v>2</v>
      </c>
      <c r="AM163" s="13">
        <f>VLOOKUP(Table2[[#This Row],[3_Elephant_ID]],'[1]Attributes(OUTDATED)'!$A$2:$S$19,17,FALSE)</f>
        <v>1</v>
      </c>
      <c r="AN163" s="13">
        <f>VLOOKUP(Table2[[#This Row],[3_Elephant_ID]],'[1]Attributes(OUTDATED)'!$A$2:$S$19,18,FALSE)</f>
        <v>6</v>
      </c>
    </row>
    <row r="164" spans="1:40" ht="28" x14ac:dyDescent="0.15">
      <c r="A164" s="3">
        <v>106</v>
      </c>
      <c r="B164" s="6" t="s">
        <v>33</v>
      </c>
      <c r="C164" s="7">
        <v>7</v>
      </c>
      <c r="D164" s="7">
        <v>7</v>
      </c>
      <c r="E164" s="7">
        <v>2023</v>
      </c>
      <c r="F164" s="5">
        <v>45114</v>
      </c>
      <c r="G164" s="6" t="s">
        <v>6</v>
      </c>
      <c r="H164" s="17">
        <v>0.39515094339622642</v>
      </c>
      <c r="I164" s="20">
        <f>ROUNDUP((Table2[[#This Row],[fGCM_Conc]]*10000),0)</f>
        <v>3952</v>
      </c>
      <c r="J164" s="3" t="str">
        <f>VLOOKUP(G164,'[1]Attributes(OUTDATED)'!$A$2:$C$19,2,FALSE)</f>
        <v>F</v>
      </c>
      <c r="K164" s="3" t="str">
        <f>VLOOKUP(G164,'[1]Attributes(OUTDATED)'!$A$2:$C$19,3,FALSE)</f>
        <v>A</v>
      </c>
      <c r="L164" s="3">
        <f>VLOOKUP(G164,'[1]Attributes(OUTDATED)'!$A$2:$H$19,8,FALSE)</f>
        <v>1168</v>
      </c>
      <c r="M164" s="3" t="str">
        <f>K164&amp;J164</f>
        <v>AF</v>
      </c>
      <c r="N164" s="3" t="e">
        <f>VLOOKUP(G164,#REF!,2,FALSE)</f>
        <v>#REF!</v>
      </c>
      <c r="O164" s="11">
        <v>45112</v>
      </c>
      <c r="P164" s="13">
        <v>12</v>
      </c>
      <c r="Q164" s="13">
        <v>6.9</v>
      </c>
      <c r="R164" s="13">
        <v>1</v>
      </c>
      <c r="S164" s="13">
        <f>Table2[[#This Row],[2_Temp_H]]-Table2[[#This Row],[2_Temp_L]]</f>
        <v>11</v>
      </c>
      <c r="T164" s="13">
        <v>17.899999999999999</v>
      </c>
      <c r="U164" s="13">
        <v>3.5</v>
      </c>
      <c r="V164" s="13">
        <v>1021</v>
      </c>
      <c r="W164" s="13">
        <v>1018.96</v>
      </c>
      <c r="X164" s="13">
        <v>0</v>
      </c>
      <c r="Y164" s="13" t="s">
        <v>147</v>
      </c>
      <c r="Z164" s="13" t="s">
        <v>141</v>
      </c>
      <c r="AA164" s="13" t="s">
        <v>26</v>
      </c>
      <c r="AB164" s="13" t="s">
        <v>144</v>
      </c>
      <c r="AC164" s="13" t="s">
        <v>146</v>
      </c>
      <c r="AD164" s="13" t="s">
        <v>137</v>
      </c>
      <c r="AE164" s="13">
        <f>VLOOKUP(Table2[[#This Row],[3_Elephant_ID]],'[1]Attributes(OUTDATED)'!$A$2:$N$19,12,FALSE)</f>
        <v>286</v>
      </c>
      <c r="AF164" s="13">
        <f>VLOOKUP(Table2[[#This Row],[3_Elephant_ID]],'[1]Attributes(OUTDATED)'!$A$2:$N$19,13,FALSE)</f>
        <v>0.26800000000000002</v>
      </c>
      <c r="AG164" s="13">
        <f>VLOOKUP(Table2[[#This Row],[3_Elephant_ID]],'[1]Attributes(OUTDATED)'!$A$2:$N$19,14,FALSE)</f>
        <v>0.26721028245328138</v>
      </c>
      <c r="AH164" s="13">
        <v>2</v>
      </c>
      <c r="AI164" s="13">
        <v>0</v>
      </c>
      <c r="AJ164" s="13">
        <v>0</v>
      </c>
      <c r="AK164" s="13">
        <v>0</v>
      </c>
      <c r="AL164" s="13">
        <f>VLOOKUP(Table2[[#This Row],[3_Elephant_ID]],'[1]Attributes(OUTDATED)'!$A$2:$P$19,16,FALSE)</f>
        <v>2</v>
      </c>
      <c r="AM164" s="13">
        <f>VLOOKUP(Table2[[#This Row],[3_Elephant_ID]],'[1]Attributes(OUTDATED)'!$A$2:$S$19,17,FALSE)</f>
        <v>12</v>
      </c>
      <c r="AN164" s="13">
        <f>VLOOKUP(Table2[[#This Row],[3_Elephant_ID]],'[1]Attributes(OUTDATED)'!$A$2:$S$19,18,FALSE)</f>
        <v>5</v>
      </c>
    </row>
    <row r="165" spans="1:40" ht="28" x14ac:dyDescent="0.15">
      <c r="A165" s="3">
        <v>105</v>
      </c>
      <c r="B165" s="6" t="s">
        <v>32</v>
      </c>
      <c r="C165" s="7">
        <v>7</v>
      </c>
      <c r="D165" s="7">
        <v>7</v>
      </c>
      <c r="E165" s="7">
        <v>2023</v>
      </c>
      <c r="F165" s="5">
        <v>45114</v>
      </c>
      <c r="G165" s="6" t="s">
        <v>10</v>
      </c>
      <c r="H165" s="17">
        <v>0.30891588785046731</v>
      </c>
      <c r="I165" s="20">
        <f>ROUNDUP((Table2[[#This Row],[fGCM_Conc]]*10000),0)</f>
        <v>3090</v>
      </c>
      <c r="J165" s="3" t="str">
        <f>VLOOKUP(G165,'[1]Attributes(OUTDATED)'!$A$2:$C$19,2,FALSE)</f>
        <v>F</v>
      </c>
      <c r="K165" s="3" t="str">
        <f>VLOOKUP(G165,'[1]Attributes(OUTDATED)'!$A$2:$C$19,3,FALSE)</f>
        <v>A</v>
      </c>
      <c r="L165" s="3">
        <f>VLOOKUP(G165,'[1]Attributes(OUTDATED)'!$A$2:$H$19,8,FALSE)</f>
        <v>1146</v>
      </c>
      <c r="M165" s="3" t="str">
        <f>K165&amp;J165</f>
        <v>AF</v>
      </c>
      <c r="N165" s="3" t="e">
        <f>VLOOKUP(G165,#REF!,2,FALSE)</f>
        <v>#REF!</v>
      </c>
      <c r="O165" s="11">
        <v>45112</v>
      </c>
      <c r="P165" s="13">
        <v>12</v>
      </c>
      <c r="Q165" s="13">
        <v>6.9</v>
      </c>
      <c r="R165" s="13">
        <v>1</v>
      </c>
      <c r="S165" s="13">
        <f>Table2[[#This Row],[2_Temp_H]]-Table2[[#This Row],[2_Temp_L]]</f>
        <v>11</v>
      </c>
      <c r="T165" s="13">
        <v>17.899999999999999</v>
      </c>
      <c r="U165" s="13">
        <v>3.5</v>
      </c>
      <c r="V165" s="13">
        <v>1021</v>
      </c>
      <c r="W165" s="13">
        <v>1018.96</v>
      </c>
      <c r="X165" s="13">
        <v>0</v>
      </c>
      <c r="Y165" s="13" t="s">
        <v>147</v>
      </c>
      <c r="Z165" s="13" t="s">
        <v>141</v>
      </c>
      <c r="AA165" s="13" t="s">
        <v>26</v>
      </c>
      <c r="AB165" s="13" t="s">
        <v>144</v>
      </c>
      <c r="AC165" s="13" t="s">
        <v>146</v>
      </c>
      <c r="AD165" s="13" t="s">
        <v>137</v>
      </c>
      <c r="AE165" s="13">
        <f>VLOOKUP(Table2[[#This Row],[3_Elephant_ID]],'[1]Attributes(OUTDATED)'!$A$2:$N$19,12,FALSE)</f>
        <v>424</v>
      </c>
      <c r="AF165" s="13">
        <f>VLOOKUP(Table2[[#This Row],[3_Elephant_ID]],'[1]Attributes(OUTDATED)'!$A$2:$N$19,13,FALSE)</f>
        <v>0.10299999999999999</v>
      </c>
      <c r="AG165" s="13">
        <f>VLOOKUP(Table2[[#This Row],[3_Elephant_ID]],'[1]Attributes(OUTDATED)'!$A$2:$N$19,14,FALSE)</f>
        <v>0.10282190709599449</v>
      </c>
      <c r="AH165" s="13">
        <v>2</v>
      </c>
      <c r="AI165" s="13">
        <v>0</v>
      </c>
      <c r="AJ165" s="13">
        <v>0</v>
      </c>
      <c r="AK165" s="13">
        <v>0</v>
      </c>
      <c r="AL165" s="13">
        <f>VLOOKUP(Table2[[#This Row],[3_Elephant_ID]],'[1]Attributes(OUTDATED)'!$A$2:$P$19,16,FALSE)</f>
        <v>1</v>
      </c>
      <c r="AM165" s="13">
        <f>VLOOKUP(Table2[[#This Row],[3_Elephant_ID]],'[1]Attributes(OUTDATED)'!$A$2:$S$19,17,FALSE)</f>
        <v>9</v>
      </c>
      <c r="AN165" s="13">
        <f>VLOOKUP(Table2[[#This Row],[3_Elephant_ID]],'[1]Attributes(OUTDATED)'!$A$2:$S$19,18,FALSE)</f>
        <v>8</v>
      </c>
    </row>
    <row r="166" spans="1:40" ht="28" x14ac:dyDescent="0.15">
      <c r="A166" s="3">
        <v>109</v>
      </c>
      <c r="B166" s="6" t="s">
        <v>36</v>
      </c>
      <c r="C166" s="7">
        <v>7</v>
      </c>
      <c r="D166" s="7">
        <v>7</v>
      </c>
      <c r="E166" s="7">
        <v>2023</v>
      </c>
      <c r="F166" s="5">
        <v>45114</v>
      </c>
      <c r="G166" s="6" t="s">
        <v>12</v>
      </c>
      <c r="H166" s="17">
        <v>0.28857988165680476</v>
      </c>
      <c r="I166" s="20">
        <f>ROUNDUP((Table2[[#This Row],[fGCM_Conc]]*10000),0)</f>
        <v>2886</v>
      </c>
      <c r="J166" s="3" t="str">
        <f>VLOOKUP(G166,'[1]Attributes(OUTDATED)'!$A$2:$C$19,2,FALSE)</f>
        <v>M</v>
      </c>
      <c r="K166" s="3" t="str">
        <f>VLOOKUP(G166,'[1]Attributes(OUTDATED)'!$A$2:$C$19,3,FALSE)</f>
        <v>A</v>
      </c>
      <c r="L166" s="3">
        <f>VLOOKUP(G166,'[1]Attributes(OUTDATED)'!$A$2:$H$19,8,FALSE)</f>
        <v>1509</v>
      </c>
      <c r="M166" s="3" t="str">
        <f>K166&amp;J166</f>
        <v>AM</v>
      </c>
      <c r="N166" s="3" t="e">
        <f>VLOOKUP(G166,#REF!,2,FALSE)</f>
        <v>#REF!</v>
      </c>
      <c r="O166" s="11">
        <v>45112</v>
      </c>
      <c r="P166" s="13">
        <v>12</v>
      </c>
      <c r="Q166" s="13">
        <v>6.9</v>
      </c>
      <c r="R166" s="13">
        <v>1</v>
      </c>
      <c r="S166" s="13">
        <f>Table2[[#This Row],[2_Temp_H]]-Table2[[#This Row],[2_Temp_L]]</f>
        <v>11</v>
      </c>
      <c r="T166" s="13">
        <v>17.899999999999999</v>
      </c>
      <c r="U166" s="13">
        <v>3.5</v>
      </c>
      <c r="V166" s="13">
        <v>1021</v>
      </c>
      <c r="W166" s="13">
        <v>1018.96</v>
      </c>
      <c r="X166" s="13">
        <v>0</v>
      </c>
      <c r="Y166" s="13" t="s">
        <v>147</v>
      </c>
      <c r="Z166" s="13" t="s">
        <v>141</v>
      </c>
      <c r="AA166" s="13" t="s">
        <v>26</v>
      </c>
      <c r="AB166" s="13" t="s">
        <v>144</v>
      </c>
      <c r="AC166" s="13" t="s">
        <v>146</v>
      </c>
      <c r="AD166" s="13" t="s">
        <v>137</v>
      </c>
      <c r="AE166" s="13">
        <f>VLOOKUP(Table2[[#This Row],[3_Elephant_ID]],'[1]Attributes(OUTDATED)'!$A$2:$N$19,12,FALSE)</f>
        <v>450</v>
      </c>
      <c r="AF166" s="13">
        <f>VLOOKUP(Table2[[#This Row],[3_Elephant_ID]],'[1]Attributes(OUTDATED)'!$A$2:$N$19,13,FALSE)</f>
        <v>0.375</v>
      </c>
      <c r="AG166" s="13">
        <f>VLOOKUP(Table2[[#This Row],[3_Elephant_ID]],'[1]Attributes(OUTDATED)'!$A$2:$N$19,14,FALSE)</f>
        <v>0.37414375430996583</v>
      </c>
      <c r="AH166" s="13">
        <v>2</v>
      </c>
      <c r="AI166" s="13">
        <v>0</v>
      </c>
      <c r="AJ166" s="13">
        <v>0</v>
      </c>
      <c r="AK166" s="13">
        <v>0</v>
      </c>
      <c r="AL166" s="13">
        <f>VLOOKUP(Table2[[#This Row],[3_Elephant_ID]],'[1]Attributes(OUTDATED)'!$A$2:$P$19,16,FALSE)</f>
        <v>1</v>
      </c>
      <c r="AM166" s="13">
        <f>VLOOKUP(Table2[[#This Row],[3_Elephant_ID]],'[1]Attributes(OUTDATED)'!$A$2:$S$19,17,FALSE)</f>
        <v>48</v>
      </c>
      <c r="AN166" s="13">
        <f>VLOOKUP(Table2[[#This Row],[3_Elephant_ID]],'[1]Attributes(OUTDATED)'!$A$2:$S$19,18,FALSE)</f>
        <v>3</v>
      </c>
    </row>
    <row r="167" spans="1:40" ht="28" x14ac:dyDescent="0.15">
      <c r="A167" s="3">
        <v>112</v>
      </c>
      <c r="B167" s="6" t="s">
        <v>39</v>
      </c>
      <c r="C167" s="7">
        <v>7</v>
      </c>
      <c r="D167" s="7">
        <v>7</v>
      </c>
      <c r="E167" s="7">
        <v>2023</v>
      </c>
      <c r="F167" s="5">
        <v>45114</v>
      </c>
      <c r="G167" s="6" t="s">
        <v>10</v>
      </c>
      <c r="H167" s="17">
        <v>0.28808905380333955</v>
      </c>
      <c r="I167" s="20">
        <f>ROUNDUP((Table2[[#This Row],[fGCM_Conc]]*10000),0)</f>
        <v>2881</v>
      </c>
      <c r="J167" s="3" t="str">
        <f>VLOOKUP(G167,'[1]Attributes(OUTDATED)'!$A$2:$C$19,2,FALSE)</f>
        <v>F</v>
      </c>
      <c r="K167" s="3" t="str">
        <f>VLOOKUP(G167,'[1]Attributes(OUTDATED)'!$A$2:$C$19,3,FALSE)</f>
        <v>A</v>
      </c>
      <c r="L167" s="3">
        <f>VLOOKUP(G167,'[1]Attributes(OUTDATED)'!$A$2:$H$19,8,FALSE)</f>
        <v>1146</v>
      </c>
      <c r="M167" s="3" t="str">
        <f>K167&amp;J167</f>
        <v>AF</v>
      </c>
      <c r="N167" s="3" t="e">
        <f>VLOOKUP(G167,#REF!,2,FALSE)</f>
        <v>#REF!</v>
      </c>
      <c r="O167" s="11">
        <v>45112</v>
      </c>
      <c r="P167" s="13">
        <v>12</v>
      </c>
      <c r="Q167" s="13">
        <v>6.9</v>
      </c>
      <c r="R167" s="13">
        <v>1</v>
      </c>
      <c r="S167" s="13">
        <f>Table2[[#This Row],[2_Temp_H]]-Table2[[#This Row],[2_Temp_L]]</f>
        <v>11</v>
      </c>
      <c r="T167" s="13">
        <v>17.899999999999999</v>
      </c>
      <c r="U167" s="13">
        <v>3.5</v>
      </c>
      <c r="V167" s="13">
        <v>1021</v>
      </c>
      <c r="W167" s="13">
        <v>1018.96</v>
      </c>
      <c r="X167" s="13">
        <v>0</v>
      </c>
      <c r="Y167" s="13" t="s">
        <v>147</v>
      </c>
      <c r="Z167" s="13" t="s">
        <v>141</v>
      </c>
      <c r="AA167" s="13" t="s">
        <v>26</v>
      </c>
      <c r="AB167" s="13" t="s">
        <v>144</v>
      </c>
      <c r="AC167" s="13" t="s">
        <v>146</v>
      </c>
      <c r="AD167" s="13" t="s">
        <v>137</v>
      </c>
      <c r="AE167" s="13">
        <f>VLOOKUP(Table2[[#This Row],[3_Elephant_ID]],'[1]Attributes(OUTDATED)'!$A$2:$N$19,12,FALSE)</f>
        <v>424</v>
      </c>
      <c r="AF167" s="13">
        <f>VLOOKUP(Table2[[#This Row],[3_Elephant_ID]],'[1]Attributes(OUTDATED)'!$A$2:$N$19,13,FALSE)</f>
        <v>0.10299999999999999</v>
      </c>
      <c r="AG167" s="13">
        <f>VLOOKUP(Table2[[#This Row],[3_Elephant_ID]],'[1]Attributes(OUTDATED)'!$A$2:$N$19,14,FALSE)</f>
        <v>0.10282190709599449</v>
      </c>
      <c r="AH167" s="13">
        <v>2</v>
      </c>
      <c r="AI167" s="13">
        <v>0</v>
      </c>
      <c r="AJ167" s="13">
        <v>0</v>
      </c>
      <c r="AK167" s="13">
        <v>0</v>
      </c>
      <c r="AL167" s="13">
        <f>VLOOKUP(Table2[[#This Row],[3_Elephant_ID]],'[1]Attributes(OUTDATED)'!$A$2:$P$19,16,FALSE)</f>
        <v>1</v>
      </c>
      <c r="AM167" s="13">
        <f>VLOOKUP(Table2[[#This Row],[3_Elephant_ID]],'[1]Attributes(OUTDATED)'!$A$2:$S$19,17,FALSE)</f>
        <v>9</v>
      </c>
      <c r="AN167" s="13">
        <f>VLOOKUP(Table2[[#This Row],[3_Elephant_ID]],'[1]Attributes(OUTDATED)'!$A$2:$S$19,18,FALSE)</f>
        <v>8</v>
      </c>
    </row>
    <row r="168" spans="1:40" ht="28" x14ac:dyDescent="0.15">
      <c r="A168" s="3">
        <v>107</v>
      </c>
      <c r="B168" s="6" t="s">
        <v>34</v>
      </c>
      <c r="C168" s="7">
        <v>7</v>
      </c>
      <c r="D168" s="7">
        <v>7</v>
      </c>
      <c r="E168" s="7">
        <v>2023</v>
      </c>
      <c r="F168" s="5">
        <v>45114</v>
      </c>
      <c r="G168" s="6" t="s">
        <v>3</v>
      </c>
      <c r="H168" s="17">
        <v>0.20862132352941176</v>
      </c>
      <c r="I168" s="20">
        <f>ROUNDUP((Table2[[#This Row],[fGCM_Conc]]*10000),0)</f>
        <v>2087</v>
      </c>
      <c r="J168" s="3" t="str">
        <f>VLOOKUP(G168,'[1]Attributes(OUTDATED)'!$A$2:$C$19,2,FALSE)</f>
        <v>M</v>
      </c>
      <c r="K168" s="3" t="str">
        <f>VLOOKUP(G168,'[1]Attributes(OUTDATED)'!$A$2:$C$19,3,FALSE)</f>
        <v>J</v>
      </c>
      <c r="L168" s="3">
        <f>VLOOKUP(G168,'[1]Attributes(OUTDATED)'!$A$2:$H$19,8,FALSE)</f>
        <v>1031</v>
      </c>
      <c r="M168" s="3" t="str">
        <f>K168&amp;J168</f>
        <v>JM</v>
      </c>
      <c r="N168" s="3" t="e">
        <f>VLOOKUP(G168,#REF!,2,FALSE)</f>
        <v>#REF!</v>
      </c>
      <c r="O168" s="11">
        <v>45112</v>
      </c>
      <c r="P168" s="13">
        <v>12</v>
      </c>
      <c r="Q168" s="13">
        <v>6.9</v>
      </c>
      <c r="R168" s="13">
        <v>1</v>
      </c>
      <c r="S168" s="13">
        <f>Table2[[#This Row],[2_Temp_H]]-Table2[[#This Row],[2_Temp_L]]</f>
        <v>11</v>
      </c>
      <c r="T168" s="13">
        <v>17.899999999999999</v>
      </c>
      <c r="U168" s="13">
        <v>3.5</v>
      </c>
      <c r="V168" s="13">
        <v>1021</v>
      </c>
      <c r="W168" s="13">
        <v>1018.96</v>
      </c>
      <c r="X168" s="13">
        <v>0</v>
      </c>
      <c r="Y168" s="13" t="s">
        <v>147</v>
      </c>
      <c r="Z168" s="13" t="s">
        <v>141</v>
      </c>
      <c r="AA168" s="13" t="s">
        <v>26</v>
      </c>
      <c r="AB168" s="13" t="s">
        <v>144</v>
      </c>
      <c r="AC168" s="13" t="s">
        <v>146</v>
      </c>
      <c r="AD168" s="13" t="s">
        <v>137</v>
      </c>
      <c r="AE168" s="13">
        <f>VLOOKUP(Table2[[#This Row],[3_Elephant_ID]],'[1]Attributes(OUTDATED)'!$A$2:$N$19,12,FALSE)</f>
        <v>234</v>
      </c>
      <c r="AF168" s="13">
        <f>VLOOKUP(Table2[[#This Row],[3_Elephant_ID]],'[1]Attributes(OUTDATED)'!$A$2:$N$19,13,FALSE)</f>
        <v>0.16500000000000001</v>
      </c>
      <c r="AG168" s="13">
        <f>VLOOKUP(Table2[[#This Row],[3_Elephant_ID]],'[1]Attributes(OUTDATED)'!$A$2:$N$19,14,FALSE)</f>
        <v>0.16420161303383449</v>
      </c>
      <c r="AH168" s="13">
        <v>2</v>
      </c>
      <c r="AI168" s="13">
        <v>0</v>
      </c>
      <c r="AJ168" s="13">
        <v>0</v>
      </c>
      <c r="AK168" s="13">
        <v>0</v>
      </c>
      <c r="AL168" s="13">
        <f>VLOOKUP(Table2[[#This Row],[3_Elephant_ID]],'[1]Attributes(OUTDATED)'!$A$2:$P$19,16,FALSE)</f>
        <v>1</v>
      </c>
      <c r="AM168" s="13">
        <f>VLOOKUP(Table2[[#This Row],[3_Elephant_ID]],'[1]Attributes(OUTDATED)'!$A$2:$S$19,17,FALSE)</f>
        <v>9</v>
      </c>
      <c r="AN168" s="13">
        <f>VLOOKUP(Table2[[#This Row],[3_Elephant_ID]],'[1]Attributes(OUTDATED)'!$A$2:$S$19,18,FALSE)</f>
        <v>9</v>
      </c>
    </row>
    <row r="169" spans="1:40" ht="28" x14ac:dyDescent="0.15">
      <c r="A169" s="3">
        <v>111</v>
      </c>
      <c r="B169" s="6" t="s">
        <v>38</v>
      </c>
      <c r="C169" s="7">
        <v>7</v>
      </c>
      <c r="D169" s="7">
        <v>7</v>
      </c>
      <c r="E169" s="7">
        <v>2023</v>
      </c>
      <c r="F169" s="5">
        <v>45114</v>
      </c>
      <c r="G169" s="6" t="s">
        <v>2</v>
      </c>
      <c r="H169" s="17">
        <v>0.20059615384615381</v>
      </c>
      <c r="I169" s="20">
        <f>ROUNDUP((Table2[[#This Row],[fGCM_Conc]]*10000),0)</f>
        <v>2006</v>
      </c>
      <c r="J169" s="3" t="str">
        <f>VLOOKUP(G169,'[1]Attributes(OUTDATED)'!$A$2:$C$19,2,FALSE)</f>
        <v>F</v>
      </c>
      <c r="K169" s="3" t="str">
        <f>VLOOKUP(G169,'[1]Attributes(OUTDATED)'!$A$2:$C$19,3,FALSE)</f>
        <v>A</v>
      </c>
      <c r="L169" s="3">
        <f>VLOOKUP(G169,'[1]Attributes(OUTDATED)'!$A$2:$H$19,8,FALSE)</f>
        <v>892</v>
      </c>
      <c r="M169" s="3" t="str">
        <f>K169&amp;J169</f>
        <v>AF</v>
      </c>
      <c r="N169" s="3" t="e">
        <f>VLOOKUP(G169,#REF!,2,FALSE)</f>
        <v>#REF!</v>
      </c>
      <c r="O169" s="11">
        <v>45112</v>
      </c>
      <c r="P169" s="13">
        <v>12</v>
      </c>
      <c r="Q169" s="13">
        <v>6.9</v>
      </c>
      <c r="R169" s="13">
        <v>1</v>
      </c>
      <c r="S169" s="13">
        <f>Table2[[#This Row],[2_Temp_H]]-Table2[[#This Row],[2_Temp_L]]</f>
        <v>11</v>
      </c>
      <c r="T169" s="13">
        <v>17.899999999999999</v>
      </c>
      <c r="U169" s="13">
        <v>3.5</v>
      </c>
      <c r="V169" s="13">
        <v>1021</v>
      </c>
      <c r="W169" s="13">
        <v>1018.96</v>
      </c>
      <c r="X169" s="13">
        <v>0</v>
      </c>
      <c r="Y169" s="13" t="s">
        <v>147</v>
      </c>
      <c r="Z169" s="13" t="s">
        <v>141</v>
      </c>
      <c r="AA169" s="13" t="s">
        <v>26</v>
      </c>
      <c r="AB169" s="13" t="s">
        <v>144</v>
      </c>
      <c r="AC169" s="13" t="s">
        <v>146</v>
      </c>
      <c r="AD169" s="13" t="s">
        <v>137</v>
      </c>
      <c r="AE169" s="13">
        <f>VLOOKUP(Table2[[#This Row],[3_Elephant_ID]],'[1]Attributes(OUTDATED)'!$A$2:$N$19,12,FALSE)</f>
        <v>378</v>
      </c>
      <c r="AF169" s="13">
        <f>VLOOKUP(Table2[[#This Row],[3_Elephant_ID]],'[1]Attributes(OUTDATED)'!$A$2:$N$19,13,FALSE)</f>
        <v>8.6999999999999994E-2</v>
      </c>
      <c r="AG169" s="13">
        <f>VLOOKUP(Table2[[#This Row],[3_Elephant_ID]],'[1]Attributes(OUTDATED)'!$A$2:$N$19,14,FALSE)</f>
        <v>8.6599138783086713E-2</v>
      </c>
      <c r="AH169" s="13">
        <v>2</v>
      </c>
      <c r="AI169" s="13">
        <v>1</v>
      </c>
      <c r="AJ169" s="13">
        <v>1</v>
      </c>
      <c r="AK169" s="13">
        <v>2</v>
      </c>
      <c r="AL169" s="13">
        <f>VLOOKUP(Table2[[#This Row],[3_Elephant_ID]],'[1]Attributes(OUTDATED)'!$A$2:$P$19,16,FALSE)</f>
        <v>1</v>
      </c>
      <c r="AM169" s="13">
        <f>VLOOKUP(Table2[[#This Row],[3_Elephant_ID]],'[1]Attributes(OUTDATED)'!$A$2:$S$19,17,FALSE)</f>
        <v>4</v>
      </c>
      <c r="AN169" s="13">
        <f>VLOOKUP(Table2[[#This Row],[3_Elephant_ID]],'[1]Attributes(OUTDATED)'!$A$2:$S$19,18,FALSE)</f>
        <v>20</v>
      </c>
    </row>
    <row r="170" spans="1:40" ht="28" x14ac:dyDescent="0.15">
      <c r="A170" s="3">
        <v>101</v>
      </c>
      <c r="B170" s="6">
        <v>1207231057</v>
      </c>
      <c r="C170" s="7">
        <v>12</v>
      </c>
      <c r="D170" s="7">
        <v>7</v>
      </c>
      <c r="E170" s="7">
        <v>2023</v>
      </c>
      <c r="F170" s="5">
        <v>45119</v>
      </c>
      <c r="G170" s="6" t="s">
        <v>16</v>
      </c>
      <c r="H170" s="17">
        <v>0.59111332007952289</v>
      </c>
      <c r="I170" s="20">
        <f>ROUNDUP((Table2[[#This Row],[fGCM_Conc]]*10000),0)</f>
        <v>5912</v>
      </c>
      <c r="J170" s="3" t="str">
        <f>VLOOKUP(G170,'[1]Attributes(OUTDATED)'!$A$2:$C$19,2,FALSE)</f>
        <v>F</v>
      </c>
      <c r="K170" s="3" t="str">
        <f>VLOOKUP(G170,'[1]Attributes(OUTDATED)'!$A$2:$C$19,3,FALSE)</f>
        <v>A</v>
      </c>
      <c r="L170" s="3">
        <f>VLOOKUP(G170,'[1]Attributes(OUTDATED)'!$A$2:$H$19,8,FALSE)</f>
        <v>1346</v>
      </c>
      <c r="M170" s="3" t="str">
        <f>K170&amp;J170</f>
        <v>AF</v>
      </c>
      <c r="N170" s="3" t="e">
        <f>VLOOKUP(G170,#REF!,2,FALSE)</f>
        <v>#REF!</v>
      </c>
      <c r="O170" s="11">
        <v>45117</v>
      </c>
      <c r="P170" s="13">
        <v>8</v>
      </c>
      <c r="Q170" s="13">
        <v>4.0999999999999996</v>
      </c>
      <c r="R170" s="13">
        <v>0.3</v>
      </c>
      <c r="S170" s="13">
        <f>Table2[[#This Row],[2_Temp_H]]-Table2[[#This Row],[2_Temp_L]]</f>
        <v>7.7</v>
      </c>
      <c r="T170" s="13">
        <v>15</v>
      </c>
      <c r="U170" s="13">
        <v>2.9</v>
      </c>
      <c r="V170" s="13">
        <v>1029.8</v>
      </c>
      <c r="W170" s="13">
        <v>1025.06</v>
      </c>
      <c r="X170" s="13">
        <v>8.64</v>
      </c>
      <c r="Y170" s="13" t="s">
        <v>147</v>
      </c>
      <c r="Z170" s="16" t="s">
        <v>171</v>
      </c>
      <c r="AA170" s="13" t="s">
        <v>137</v>
      </c>
      <c r="AB170" s="13" t="s">
        <v>144</v>
      </c>
      <c r="AC170" s="13" t="s">
        <v>146</v>
      </c>
      <c r="AD170" s="13" t="s">
        <v>137</v>
      </c>
      <c r="AE170" s="13">
        <f>VLOOKUP(Table2[[#This Row],[3_Elephant_ID]],'[1]Attributes(OUTDATED)'!$A$2:$N$19,12,FALSE)</f>
        <v>474</v>
      </c>
      <c r="AF170" s="13">
        <f>VLOOKUP(Table2[[#This Row],[3_Elephant_ID]],'[1]Attributes(OUTDATED)'!$A$2:$N$19,13,FALSE)</f>
        <v>0.121</v>
      </c>
      <c r="AG170" s="13">
        <f>VLOOKUP(Table2[[#This Row],[3_Elephant_ID]],'[1]Attributes(OUTDATED)'!$A$2:$N$19,14,FALSE)</f>
        <v>0.1206993463154281</v>
      </c>
      <c r="AH170" s="13">
        <v>0</v>
      </c>
      <c r="AI170" s="13">
        <v>0</v>
      </c>
      <c r="AJ170" s="13">
        <v>0</v>
      </c>
      <c r="AK170" s="13">
        <v>0</v>
      </c>
      <c r="AL170" s="13">
        <f>VLOOKUP(Table2[[#This Row],[3_Elephant_ID]],'[1]Attributes(OUTDATED)'!$A$2:$P$19,16,FALSE)</f>
        <v>1</v>
      </c>
      <c r="AM170" s="13">
        <f>VLOOKUP(Table2[[#This Row],[3_Elephant_ID]],'[1]Attributes(OUTDATED)'!$A$2:$S$19,17,FALSE)</f>
        <v>16</v>
      </c>
      <c r="AN170" s="13">
        <f>VLOOKUP(Table2[[#This Row],[3_Elephant_ID]],'[1]Attributes(OUTDATED)'!$A$2:$S$19,18,FALSE)</f>
        <v>1</v>
      </c>
    </row>
    <row r="171" spans="1:40" ht="28" x14ac:dyDescent="0.15">
      <c r="A171" s="3">
        <v>103</v>
      </c>
      <c r="B171" s="6">
        <v>1207230925</v>
      </c>
      <c r="C171" s="7">
        <v>12</v>
      </c>
      <c r="D171" s="7">
        <v>7</v>
      </c>
      <c r="E171" s="7">
        <v>2023</v>
      </c>
      <c r="F171" s="5">
        <v>45119</v>
      </c>
      <c r="G171" s="6" t="s">
        <v>8</v>
      </c>
      <c r="H171" s="17">
        <v>0.57787709497206707</v>
      </c>
      <c r="I171" s="20">
        <f>ROUNDUP((Table2[[#This Row],[fGCM_Conc]]*10000),0)</f>
        <v>5779</v>
      </c>
      <c r="J171" s="3" t="str">
        <f>VLOOKUP(G171,'[1]Attributes(OUTDATED)'!$A$2:$C$19,2,FALSE)</f>
        <v>F</v>
      </c>
      <c r="K171" s="3" t="str">
        <f>VLOOKUP(G171,'[1]Attributes(OUTDATED)'!$A$2:$C$19,3,FALSE)</f>
        <v>A</v>
      </c>
      <c r="L171" s="3">
        <f>VLOOKUP(G171,'[1]Attributes(OUTDATED)'!$A$2:$H$19,8,FALSE)</f>
        <v>1096</v>
      </c>
      <c r="M171" s="3" t="str">
        <f>K171&amp;J171</f>
        <v>AF</v>
      </c>
      <c r="N171" s="3" t="e">
        <f>VLOOKUP(G171,#REF!,2,FALSE)</f>
        <v>#REF!</v>
      </c>
      <c r="O171" s="11">
        <v>45117</v>
      </c>
      <c r="P171" s="13">
        <v>8</v>
      </c>
      <c r="Q171" s="13">
        <v>4.0999999999999996</v>
      </c>
      <c r="R171" s="13">
        <v>0.3</v>
      </c>
      <c r="S171" s="13">
        <f>Table2[[#This Row],[2_Temp_H]]-Table2[[#This Row],[2_Temp_L]]</f>
        <v>7.7</v>
      </c>
      <c r="T171" s="13">
        <v>15</v>
      </c>
      <c r="U171" s="13">
        <v>2.9</v>
      </c>
      <c r="V171" s="13">
        <v>1029.8</v>
      </c>
      <c r="W171" s="13">
        <v>1025.06</v>
      </c>
      <c r="X171" s="13">
        <v>8.64</v>
      </c>
      <c r="Y171" s="13" t="s">
        <v>147</v>
      </c>
      <c r="Z171" s="16" t="s">
        <v>171</v>
      </c>
      <c r="AA171" s="13" t="s">
        <v>137</v>
      </c>
      <c r="AB171" s="13" t="s">
        <v>144</v>
      </c>
      <c r="AC171" s="13" t="s">
        <v>146</v>
      </c>
      <c r="AD171" s="13" t="s">
        <v>137</v>
      </c>
      <c r="AE171" s="13">
        <f>VLOOKUP(Table2[[#This Row],[3_Elephant_ID]],'[1]Attributes(OUTDATED)'!$A$2:$N$19,12,FALSE)</f>
        <v>346</v>
      </c>
      <c r="AF171" s="13">
        <f>VLOOKUP(Table2[[#This Row],[3_Elephant_ID]],'[1]Attributes(OUTDATED)'!$A$2:$N$19,13,FALSE)</f>
        <v>0.28999999999999998</v>
      </c>
      <c r="AG171" s="13">
        <f>VLOOKUP(Table2[[#This Row],[3_Elephant_ID]],'[1]Attributes(OUTDATED)'!$A$2:$N$19,14,FALSE)</f>
        <v>0.28929989906834258</v>
      </c>
      <c r="AH171" s="13">
        <v>0</v>
      </c>
      <c r="AI171" s="13">
        <v>0</v>
      </c>
      <c r="AJ171" s="13">
        <v>0</v>
      </c>
      <c r="AK171" s="13">
        <v>0</v>
      </c>
      <c r="AL171" s="13">
        <f>VLOOKUP(Table2[[#This Row],[3_Elephant_ID]],'[1]Attributes(OUTDATED)'!$A$2:$P$19,16,FALSE)</f>
        <v>1</v>
      </c>
      <c r="AM171" s="13">
        <f>VLOOKUP(Table2[[#This Row],[3_Elephant_ID]],'[1]Attributes(OUTDATED)'!$A$2:$S$19,17,FALSE)</f>
        <v>11</v>
      </c>
      <c r="AN171" s="13">
        <f>VLOOKUP(Table2[[#This Row],[3_Elephant_ID]],'[1]Attributes(OUTDATED)'!$A$2:$S$19,18,FALSE)</f>
        <v>7</v>
      </c>
    </row>
    <row r="172" spans="1:40" ht="28" x14ac:dyDescent="0.15">
      <c r="A172" s="3">
        <v>97</v>
      </c>
      <c r="B172" s="6">
        <v>1207231526</v>
      </c>
      <c r="C172" s="7">
        <v>12</v>
      </c>
      <c r="D172" s="7">
        <v>7</v>
      </c>
      <c r="E172" s="7">
        <v>2023</v>
      </c>
      <c r="F172" s="5">
        <v>45119</v>
      </c>
      <c r="G172" s="6" t="s">
        <v>13</v>
      </c>
      <c r="H172" s="17">
        <v>0.50529411764705878</v>
      </c>
      <c r="I172" s="20">
        <f>ROUNDUP((Table2[[#This Row],[fGCM_Conc]]*10000),0)</f>
        <v>5053</v>
      </c>
      <c r="J172" s="3" t="str">
        <f>VLOOKUP(G172,'[1]Attributes(OUTDATED)'!$A$2:$C$19,2,FALSE)</f>
        <v>F</v>
      </c>
      <c r="K172" s="3" t="str">
        <f>VLOOKUP(G172,'[1]Attributes(OUTDATED)'!$A$2:$C$19,3,FALSE)</f>
        <v>A</v>
      </c>
      <c r="L172" s="3">
        <f>VLOOKUP(G172,'[1]Attributes(OUTDATED)'!$A$2:$H$19,8,FALSE)</f>
        <v>963</v>
      </c>
      <c r="M172" s="3" t="str">
        <f>K172&amp;J172</f>
        <v>AF</v>
      </c>
      <c r="N172" s="3" t="e">
        <f>VLOOKUP(G172,#REF!,2,FALSE)</f>
        <v>#REF!</v>
      </c>
      <c r="O172" s="11">
        <v>45117</v>
      </c>
      <c r="P172" s="13">
        <v>8</v>
      </c>
      <c r="Q172" s="13">
        <v>4.0999999999999996</v>
      </c>
      <c r="R172" s="13">
        <v>0.3</v>
      </c>
      <c r="S172" s="13">
        <f>Table2[[#This Row],[2_Temp_H]]-Table2[[#This Row],[2_Temp_L]]</f>
        <v>7.7</v>
      </c>
      <c r="T172" s="13">
        <v>15</v>
      </c>
      <c r="U172" s="13">
        <v>2.9</v>
      </c>
      <c r="V172" s="13">
        <v>1029.8</v>
      </c>
      <c r="W172" s="13">
        <v>1025.06</v>
      </c>
      <c r="X172" s="13">
        <v>8.64</v>
      </c>
      <c r="Y172" s="13" t="s">
        <v>147</v>
      </c>
      <c r="Z172" s="16" t="s">
        <v>171</v>
      </c>
      <c r="AA172" s="13" t="s">
        <v>137</v>
      </c>
      <c r="AB172" s="13" t="s">
        <v>144</v>
      </c>
      <c r="AC172" s="13" t="s">
        <v>146</v>
      </c>
      <c r="AD172" s="13" t="s">
        <v>137</v>
      </c>
      <c r="AE172" s="13">
        <f>VLOOKUP(Table2[[#This Row],[3_Elephant_ID]],'[1]Attributes(OUTDATED)'!$A$2:$N$19,12,FALSE)</f>
        <v>289</v>
      </c>
      <c r="AF172" s="13">
        <f>VLOOKUP(Table2[[#This Row],[3_Elephant_ID]],'[1]Attributes(OUTDATED)'!$A$2:$N$19,13,FALSE)</f>
        <v>0.32400000000000001</v>
      </c>
      <c r="AG172" s="13">
        <f>VLOOKUP(Table2[[#This Row],[3_Elephant_ID]],'[1]Attributes(OUTDATED)'!$A$2:$N$19,14,FALSE)</f>
        <v>0.32380809109629533</v>
      </c>
      <c r="AH172" s="13">
        <v>0</v>
      </c>
      <c r="AI172" s="13">
        <v>0</v>
      </c>
      <c r="AJ172" s="13">
        <v>0</v>
      </c>
      <c r="AK172" s="13">
        <v>0</v>
      </c>
      <c r="AL172" s="13">
        <f>VLOOKUP(Table2[[#This Row],[3_Elephant_ID]],'[1]Attributes(OUTDATED)'!$A$2:$P$19,16,FALSE)</f>
        <v>2</v>
      </c>
      <c r="AM172" s="13">
        <f>VLOOKUP(Table2[[#This Row],[3_Elephant_ID]],'[1]Attributes(OUTDATED)'!$A$2:$S$19,17,FALSE)</f>
        <v>9</v>
      </c>
      <c r="AN172" s="13">
        <f>VLOOKUP(Table2[[#This Row],[3_Elephant_ID]],'[1]Attributes(OUTDATED)'!$A$2:$S$19,18,FALSE)</f>
        <v>9</v>
      </c>
    </row>
    <row r="173" spans="1:40" ht="28" x14ac:dyDescent="0.15">
      <c r="A173" s="3">
        <v>102</v>
      </c>
      <c r="B173" s="6">
        <v>1207231000</v>
      </c>
      <c r="C173" s="7">
        <v>12</v>
      </c>
      <c r="D173" s="7">
        <v>7</v>
      </c>
      <c r="E173" s="7">
        <v>2023</v>
      </c>
      <c r="F173" s="5">
        <v>45119</v>
      </c>
      <c r="G173" s="6" t="s">
        <v>12</v>
      </c>
      <c r="H173" s="17">
        <v>0.44999999999999996</v>
      </c>
      <c r="I173" s="20">
        <f>ROUNDUP((Table2[[#This Row],[fGCM_Conc]]*10000),0)</f>
        <v>4500</v>
      </c>
      <c r="J173" s="3" t="str">
        <f>VLOOKUP(G173,'[1]Attributes(OUTDATED)'!$A$2:$C$19,2,FALSE)</f>
        <v>M</v>
      </c>
      <c r="K173" s="3" t="str">
        <f>VLOOKUP(G173,'[1]Attributes(OUTDATED)'!$A$2:$C$19,3,FALSE)</f>
        <v>A</v>
      </c>
      <c r="L173" s="3">
        <f>VLOOKUP(G173,'[1]Attributes(OUTDATED)'!$A$2:$H$19,8,FALSE)</f>
        <v>1509</v>
      </c>
      <c r="M173" s="3" t="str">
        <f>K173&amp;J173</f>
        <v>AM</v>
      </c>
      <c r="N173" s="3" t="e">
        <f>VLOOKUP(G173,#REF!,2,FALSE)</f>
        <v>#REF!</v>
      </c>
      <c r="O173" s="11">
        <v>45117</v>
      </c>
      <c r="P173" s="13">
        <v>8</v>
      </c>
      <c r="Q173" s="13">
        <v>4.0999999999999996</v>
      </c>
      <c r="R173" s="13">
        <v>0.3</v>
      </c>
      <c r="S173" s="13">
        <f>Table2[[#This Row],[2_Temp_H]]-Table2[[#This Row],[2_Temp_L]]</f>
        <v>7.7</v>
      </c>
      <c r="T173" s="13">
        <v>15</v>
      </c>
      <c r="U173" s="13">
        <v>2.9</v>
      </c>
      <c r="V173" s="13">
        <v>1029.8</v>
      </c>
      <c r="W173" s="13">
        <v>1025.06</v>
      </c>
      <c r="X173" s="13">
        <v>8.64</v>
      </c>
      <c r="Y173" s="13" t="s">
        <v>147</v>
      </c>
      <c r="Z173" s="16" t="s">
        <v>171</v>
      </c>
      <c r="AA173" s="13" t="s">
        <v>137</v>
      </c>
      <c r="AB173" s="13" t="s">
        <v>144</v>
      </c>
      <c r="AC173" s="13" t="s">
        <v>146</v>
      </c>
      <c r="AD173" s="13" t="s">
        <v>137</v>
      </c>
      <c r="AE173" s="13">
        <f>VLOOKUP(Table2[[#This Row],[3_Elephant_ID]],'[1]Attributes(OUTDATED)'!$A$2:$N$19,12,FALSE)</f>
        <v>450</v>
      </c>
      <c r="AF173" s="13">
        <f>VLOOKUP(Table2[[#This Row],[3_Elephant_ID]],'[1]Attributes(OUTDATED)'!$A$2:$N$19,13,FALSE)</f>
        <v>0.375</v>
      </c>
      <c r="AG173" s="13">
        <f>VLOOKUP(Table2[[#This Row],[3_Elephant_ID]],'[1]Attributes(OUTDATED)'!$A$2:$N$19,14,FALSE)</f>
        <v>0.37414375430996583</v>
      </c>
      <c r="AH173" s="13">
        <v>0</v>
      </c>
      <c r="AI173" s="13">
        <v>0</v>
      </c>
      <c r="AJ173" s="13">
        <v>0</v>
      </c>
      <c r="AK173" s="13">
        <v>0</v>
      </c>
      <c r="AL173" s="13">
        <f>VLOOKUP(Table2[[#This Row],[3_Elephant_ID]],'[1]Attributes(OUTDATED)'!$A$2:$P$19,16,FALSE)</f>
        <v>1</v>
      </c>
      <c r="AM173" s="13">
        <f>VLOOKUP(Table2[[#This Row],[3_Elephant_ID]],'[1]Attributes(OUTDATED)'!$A$2:$S$19,17,FALSE)</f>
        <v>48</v>
      </c>
      <c r="AN173" s="13">
        <f>VLOOKUP(Table2[[#This Row],[3_Elephant_ID]],'[1]Attributes(OUTDATED)'!$A$2:$S$19,18,FALSE)</f>
        <v>3</v>
      </c>
    </row>
    <row r="174" spans="1:40" ht="28" x14ac:dyDescent="0.15">
      <c r="A174" s="3">
        <v>104</v>
      </c>
      <c r="B174" s="6">
        <v>1207230929</v>
      </c>
      <c r="C174" s="7">
        <v>12</v>
      </c>
      <c r="D174" s="7">
        <v>7</v>
      </c>
      <c r="E174" s="7">
        <v>2023</v>
      </c>
      <c r="F174" s="5">
        <v>45119</v>
      </c>
      <c r="G174" s="6" t="s">
        <v>10</v>
      </c>
      <c r="H174" s="17">
        <v>0.4275147928994083</v>
      </c>
      <c r="I174" s="20">
        <f>ROUNDUP((Table2[[#This Row],[fGCM_Conc]]*10000),0)</f>
        <v>4276</v>
      </c>
      <c r="J174" s="3" t="str">
        <f>VLOOKUP(G174,'[1]Attributes(OUTDATED)'!$A$2:$C$19,2,FALSE)</f>
        <v>F</v>
      </c>
      <c r="K174" s="3" t="str">
        <f>VLOOKUP(G174,'[1]Attributes(OUTDATED)'!$A$2:$C$19,3,FALSE)</f>
        <v>A</v>
      </c>
      <c r="L174" s="3">
        <f>VLOOKUP(G174,'[1]Attributes(OUTDATED)'!$A$2:$H$19,8,FALSE)</f>
        <v>1146</v>
      </c>
      <c r="M174" s="3" t="str">
        <f>K174&amp;J174</f>
        <v>AF</v>
      </c>
      <c r="N174" s="3" t="e">
        <f>VLOOKUP(G174,#REF!,2,FALSE)</f>
        <v>#REF!</v>
      </c>
      <c r="O174" s="11">
        <v>45117</v>
      </c>
      <c r="P174" s="13">
        <v>8</v>
      </c>
      <c r="Q174" s="13">
        <v>4.0999999999999996</v>
      </c>
      <c r="R174" s="13">
        <v>0.3</v>
      </c>
      <c r="S174" s="13">
        <f>Table2[[#This Row],[2_Temp_H]]-Table2[[#This Row],[2_Temp_L]]</f>
        <v>7.7</v>
      </c>
      <c r="T174" s="13">
        <v>15</v>
      </c>
      <c r="U174" s="13">
        <v>2.9</v>
      </c>
      <c r="V174" s="13">
        <v>1029.8</v>
      </c>
      <c r="W174" s="13">
        <v>1025.06</v>
      </c>
      <c r="X174" s="13">
        <v>8.64</v>
      </c>
      <c r="Y174" s="13" t="s">
        <v>147</v>
      </c>
      <c r="Z174" s="16" t="s">
        <v>171</v>
      </c>
      <c r="AA174" s="13" t="s">
        <v>137</v>
      </c>
      <c r="AB174" s="13" t="s">
        <v>144</v>
      </c>
      <c r="AC174" s="13" t="s">
        <v>146</v>
      </c>
      <c r="AD174" s="13" t="s">
        <v>137</v>
      </c>
      <c r="AE174" s="13">
        <f>VLOOKUP(Table2[[#This Row],[3_Elephant_ID]],'[1]Attributes(OUTDATED)'!$A$2:$N$19,12,FALSE)</f>
        <v>424</v>
      </c>
      <c r="AF174" s="13">
        <f>VLOOKUP(Table2[[#This Row],[3_Elephant_ID]],'[1]Attributes(OUTDATED)'!$A$2:$N$19,13,FALSE)</f>
        <v>0.10299999999999999</v>
      </c>
      <c r="AG174" s="13">
        <f>VLOOKUP(Table2[[#This Row],[3_Elephant_ID]],'[1]Attributes(OUTDATED)'!$A$2:$N$19,14,FALSE)</f>
        <v>0.10282190709599449</v>
      </c>
      <c r="AH174" s="13">
        <v>0</v>
      </c>
      <c r="AI174" s="13">
        <v>0</v>
      </c>
      <c r="AJ174" s="13">
        <v>0</v>
      </c>
      <c r="AK174" s="13">
        <v>0</v>
      </c>
      <c r="AL174" s="13">
        <f>VLOOKUP(Table2[[#This Row],[3_Elephant_ID]],'[1]Attributes(OUTDATED)'!$A$2:$P$19,16,FALSE)</f>
        <v>1</v>
      </c>
      <c r="AM174" s="13">
        <f>VLOOKUP(Table2[[#This Row],[3_Elephant_ID]],'[1]Attributes(OUTDATED)'!$A$2:$S$19,17,FALSE)</f>
        <v>9</v>
      </c>
      <c r="AN174" s="13">
        <f>VLOOKUP(Table2[[#This Row],[3_Elephant_ID]],'[1]Attributes(OUTDATED)'!$A$2:$S$19,18,FALSE)</f>
        <v>8</v>
      </c>
    </row>
    <row r="175" spans="1:40" ht="28" x14ac:dyDescent="0.15">
      <c r="A175" s="3">
        <v>99</v>
      </c>
      <c r="B175" s="6">
        <v>1207231212</v>
      </c>
      <c r="C175" s="7">
        <v>12</v>
      </c>
      <c r="D175" s="7">
        <v>7</v>
      </c>
      <c r="E175" s="7">
        <v>2023</v>
      </c>
      <c r="F175" s="5">
        <v>45119</v>
      </c>
      <c r="G175" s="6" t="s">
        <v>2</v>
      </c>
      <c r="H175" s="17">
        <v>0.37537572254335261</v>
      </c>
      <c r="I175" s="20">
        <f>ROUNDUP((Table2[[#This Row],[fGCM_Conc]]*10000),0)</f>
        <v>3754</v>
      </c>
      <c r="J175" s="3" t="str">
        <f>VLOOKUP(G175,'[1]Attributes(OUTDATED)'!$A$2:$C$19,2,FALSE)</f>
        <v>F</v>
      </c>
      <c r="K175" s="3" t="str">
        <f>VLOOKUP(G175,'[1]Attributes(OUTDATED)'!$A$2:$C$19,3,FALSE)</f>
        <v>A</v>
      </c>
      <c r="L175" s="3">
        <f>VLOOKUP(G175,'[1]Attributes(OUTDATED)'!$A$2:$H$19,8,FALSE)</f>
        <v>892</v>
      </c>
      <c r="M175" s="3" t="str">
        <f>K175&amp;J175</f>
        <v>AF</v>
      </c>
      <c r="N175" s="3" t="e">
        <f>VLOOKUP(G175,#REF!,2,FALSE)</f>
        <v>#REF!</v>
      </c>
      <c r="O175" s="11">
        <v>45117</v>
      </c>
      <c r="P175" s="13">
        <v>8</v>
      </c>
      <c r="Q175" s="13">
        <v>4.0999999999999996</v>
      </c>
      <c r="R175" s="13">
        <v>0.3</v>
      </c>
      <c r="S175" s="13">
        <f>Table2[[#This Row],[2_Temp_H]]-Table2[[#This Row],[2_Temp_L]]</f>
        <v>7.7</v>
      </c>
      <c r="T175" s="13">
        <v>15</v>
      </c>
      <c r="U175" s="13">
        <v>2.9</v>
      </c>
      <c r="V175" s="13">
        <v>1029.8</v>
      </c>
      <c r="W175" s="13">
        <v>1025.06</v>
      </c>
      <c r="X175" s="13">
        <v>8.64</v>
      </c>
      <c r="Y175" s="13" t="s">
        <v>147</v>
      </c>
      <c r="Z175" s="16" t="s">
        <v>171</v>
      </c>
      <c r="AA175" s="13" t="s">
        <v>137</v>
      </c>
      <c r="AB175" s="13" t="s">
        <v>144</v>
      </c>
      <c r="AC175" s="13" t="s">
        <v>146</v>
      </c>
      <c r="AD175" s="13" t="s">
        <v>137</v>
      </c>
      <c r="AE175" s="13">
        <f>VLOOKUP(Table2[[#This Row],[3_Elephant_ID]],'[1]Attributes(OUTDATED)'!$A$2:$N$19,12,FALSE)</f>
        <v>378</v>
      </c>
      <c r="AF175" s="13">
        <f>VLOOKUP(Table2[[#This Row],[3_Elephant_ID]],'[1]Attributes(OUTDATED)'!$A$2:$N$19,13,FALSE)</f>
        <v>8.6999999999999994E-2</v>
      </c>
      <c r="AG175" s="13">
        <f>VLOOKUP(Table2[[#This Row],[3_Elephant_ID]],'[1]Attributes(OUTDATED)'!$A$2:$N$19,14,FALSE)</f>
        <v>8.6599138783086713E-2</v>
      </c>
      <c r="AH175" s="13">
        <v>0</v>
      </c>
      <c r="AI175" s="13">
        <v>0</v>
      </c>
      <c r="AJ175" s="13">
        <v>0</v>
      </c>
      <c r="AK175" s="13">
        <v>0</v>
      </c>
      <c r="AL175" s="13">
        <f>VLOOKUP(Table2[[#This Row],[3_Elephant_ID]],'[1]Attributes(OUTDATED)'!$A$2:$P$19,16,FALSE)</f>
        <v>1</v>
      </c>
      <c r="AM175" s="13">
        <f>VLOOKUP(Table2[[#This Row],[3_Elephant_ID]],'[1]Attributes(OUTDATED)'!$A$2:$S$19,17,FALSE)</f>
        <v>4</v>
      </c>
      <c r="AN175" s="13">
        <f>VLOOKUP(Table2[[#This Row],[3_Elephant_ID]],'[1]Attributes(OUTDATED)'!$A$2:$S$19,18,FALSE)</f>
        <v>20</v>
      </c>
    </row>
    <row r="176" spans="1:40" ht="28" x14ac:dyDescent="0.15">
      <c r="A176" s="3">
        <v>100</v>
      </c>
      <c r="B176" s="6">
        <v>1207231059</v>
      </c>
      <c r="C176" s="7">
        <v>12</v>
      </c>
      <c r="D176" s="7">
        <v>7</v>
      </c>
      <c r="E176" s="7">
        <v>2023</v>
      </c>
      <c r="F176" s="5">
        <v>45119</v>
      </c>
      <c r="G176" s="6" t="s">
        <v>2</v>
      </c>
      <c r="H176" s="17">
        <v>0.3406153846153846</v>
      </c>
      <c r="I176" s="20">
        <f>ROUNDUP((Table2[[#This Row],[fGCM_Conc]]*10000),0)</f>
        <v>3407</v>
      </c>
      <c r="J176" s="3" t="str">
        <f>VLOOKUP(G176,'[1]Attributes(OUTDATED)'!$A$2:$C$19,2,FALSE)</f>
        <v>F</v>
      </c>
      <c r="K176" s="3" t="str">
        <f>VLOOKUP(G176,'[1]Attributes(OUTDATED)'!$A$2:$C$19,3,FALSE)</f>
        <v>A</v>
      </c>
      <c r="L176" s="3">
        <f>VLOOKUP(G176,'[1]Attributes(OUTDATED)'!$A$2:$H$19,8,FALSE)</f>
        <v>892</v>
      </c>
      <c r="M176" s="3" t="str">
        <f>K176&amp;J176</f>
        <v>AF</v>
      </c>
      <c r="N176" s="3" t="e">
        <f>VLOOKUP(G176,#REF!,2,FALSE)</f>
        <v>#REF!</v>
      </c>
      <c r="O176" s="11">
        <v>45117</v>
      </c>
      <c r="P176" s="13">
        <v>8</v>
      </c>
      <c r="Q176" s="13">
        <v>4.0999999999999996</v>
      </c>
      <c r="R176" s="13">
        <v>0.3</v>
      </c>
      <c r="S176" s="13">
        <f>Table2[[#This Row],[2_Temp_H]]-Table2[[#This Row],[2_Temp_L]]</f>
        <v>7.7</v>
      </c>
      <c r="T176" s="13">
        <v>15</v>
      </c>
      <c r="U176" s="13">
        <v>2.9</v>
      </c>
      <c r="V176" s="13">
        <v>1029.8</v>
      </c>
      <c r="W176" s="13">
        <v>1025.06</v>
      </c>
      <c r="X176" s="13">
        <v>8.64</v>
      </c>
      <c r="Y176" s="13" t="s">
        <v>147</v>
      </c>
      <c r="Z176" s="16" t="s">
        <v>171</v>
      </c>
      <c r="AA176" s="13" t="s">
        <v>137</v>
      </c>
      <c r="AB176" s="13" t="s">
        <v>144</v>
      </c>
      <c r="AC176" s="13" t="s">
        <v>146</v>
      </c>
      <c r="AD176" s="13" t="s">
        <v>137</v>
      </c>
      <c r="AE176" s="13">
        <f>VLOOKUP(Table2[[#This Row],[3_Elephant_ID]],'[1]Attributes(OUTDATED)'!$A$2:$N$19,12,FALSE)</f>
        <v>378</v>
      </c>
      <c r="AF176" s="13">
        <f>VLOOKUP(Table2[[#This Row],[3_Elephant_ID]],'[1]Attributes(OUTDATED)'!$A$2:$N$19,13,FALSE)</f>
        <v>8.6999999999999994E-2</v>
      </c>
      <c r="AG176" s="13">
        <f>VLOOKUP(Table2[[#This Row],[3_Elephant_ID]],'[1]Attributes(OUTDATED)'!$A$2:$N$19,14,FALSE)</f>
        <v>8.6599138783086713E-2</v>
      </c>
      <c r="AH176" s="13">
        <v>0</v>
      </c>
      <c r="AI176" s="13">
        <v>0</v>
      </c>
      <c r="AJ176" s="13">
        <v>0</v>
      </c>
      <c r="AK176" s="13">
        <v>0</v>
      </c>
      <c r="AL176" s="13">
        <f>VLOOKUP(Table2[[#This Row],[3_Elephant_ID]],'[1]Attributes(OUTDATED)'!$A$2:$P$19,16,FALSE)</f>
        <v>1</v>
      </c>
      <c r="AM176" s="13">
        <f>VLOOKUP(Table2[[#This Row],[3_Elephant_ID]],'[1]Attributes(OUTDATED)'!$A$2:$S$19,17,FALSE)</f>
        <v>4</v>
      </c>
      <c r="AN176" s="13">
        <f>VLOOKUP(Table2[[#This Row],[3_Elephant_ID]],'[1]Attributes(OUTDATED)'!$A$2:$S$19,18,FALSE)</f>
        <v>20</v>
      </c>
    </row>
    <row r="177" spans="1:40" ht="28" x14ac:dyDescent="0.15">
      <c r="A177" s="3">
        <v>98</v>
      </c>
      <c r="B177" s="6">
        <v>1207231543</v>
      </c>
      <c r="C177" s="7">
        <v>12</v>
      </c>
      <c r="D177" s="7">
        <v>7</v>
      </c>
      <c r="E177" s="7">
        <v>2023</v>
      </c>
      <c r="F177" s="5">
        <v>45119</v>
      </c>
      <c r="G177" s="6" t="s">
        <v>1</v>
      </c>
      <c r="H177" s="17">
        <v>0.14906077348066296</v>
      </c>
      <c r="I177" s="20">
        <f>ROUNDUP((Table2[[#This Row],[fGCM_Conc]]*10000),0)</f>
        <v>1491</v>
      </c>
      <c r="J177" s="3" t="str">
        <f>VLOOKUP(G177,'[1]Attributes(OUTDATED)'!$A$2:$C$19,2,FALSE)</f>
        <v>F</v>
      </c>
      <c r="K177" s="3" t="str">
        <f>VLOOKUP(G177,'[1]Attributes(OUTDATED)'!$A$2:$C$19,3,FALSE)</f>
        <v>A</v>
      </c>
      <c r="L177" s="3">
        <f>VLOOKUP(G177,'[1]Attributes(OUTDATED)'!$A$2:$H$19,8,FALSE)</f>
        <v>929</v>
      </c>
      <c r="M177" s="3" t="str">
        <f>K177&amp;J177</f>
        <v>AF</v>
      </c>
      <c r="N177" s="3" t="e">
        <f>VLOOKUP(G177,#REF!,2,FALSE)</f>
        <v>#REF!</v>
      </c>
      <c r="O177" s="11">
        <v>45117</v>
      </c>
      <c r="P177" s="13">
        <v>8</v>
      </c>
      <c r="Q177" s="13">
        <v>4.0999999999999996</v>
      </c>
      <c r="R177" s="13">
        <v>0.3</v>
      </c>
      <c r="S177" s="13">
        <f>Table2[[#This Row],[2_Temp_H]]-Table2[[#This Row],[2_Temp_L]]</f>
        <v>7.7</v>
      </c>
      <c r="T177" s="13">
        <v>15</v>
      </c>
      <c r="U177" s="13">
        <v>2.9</v>
      </c>
      <c r="V177" s="13">
        <v>1029.8</v>
      </c>
      <c r="W177" s="13">
        <v>1025.06</v>
      </c>
      <c r="X177" s="13">
        <v>8.64</v>
      </c>
      <c r="Y177" s="13" t="s">
        <v>147</v>
      </c>
      <c r="Z177" s="16" t="s">
        <v>171</v>
      </c>
      <c r="AA177" s="13" t="s">
        <v>137</v>
      </c>
      <c r="AB177" s="13" t="s">
        <v>144</v>
      </c>
      <c r="AC177" s="13" t="s">
        <v>146</v>
      </c>
      <c r="AD177" s="13" t="s">
        <v>137</v>
      </c>
      <c r="AE177" s="13">
        <f>VLOOKUP(Table2[[#This Row],[3_Elephant_ID]],'[1]Attributes(OUTDATED)'!$A$2:$N$19,12,FALSE)</f>
        <v>321</v>
      </c>
      <c r="AF177" s="13">
        <f>VLOOKUP(Table2[[#This Row],[3_Elephant_ID]],'[1]Attributes(OUTDATED)'!$A$2:$N$19,13,FALSE)</f>
        <v>0.17599999999999999</v>
      </c>
      <c r="AG177" s="13">
        <f>VLOOKUP(Table2[[#This Row],[3_Elephant_ID]],'[1]Attributes(OUTDATED)'!$A$2:$N$19,14,FALSE)</f>
        <v>0.17530262753188491</v>
      </c>
      <c r="AH177" s="13">
        <v>0</v>
      </c>
      <c r="AI177" s="13">
        <v>0</v>
      </c>
      <c r="AJ177" s="13">
        <v>0</v>
      </c>
      <c r="AK177" s="13">
        <v>0</v>
      </c>
      <c r="AL177" s="13">
        <f>VLOOKUP(Table2[[#This Row],[3_Elephant_ID]],'[1]Attributes(OUTDATED)'!$A$2:$P$19,16,FALSE)</f>
        <v>1</v>
      </c>
      <c r="AM177" s="13">
        <f>VLOOKUP(Table2[[#This Row],[3_Elephant_ID]],'[1]Attributes(OUTDATED)'!$A$2:$S$19,17,FALSE)</f>
        <v>6</v>
      </c>
      <c r="AN177" s="13">
        <f>VLOOKUP(Table2[[#This Row],[3_Elephant_ID]],'[1]Attributes(OUTDATED)'!$A$2:$S$19,18,FALSE)</f>
        <v>8</v>
      </c>
    </row>
    <row r="178" spans="1:40" ht="28" x14ac:dyDescent="0.15">
      <c r="A178" s="3">
        <v>96</v>
      </c>
      <c r="B178" s="6">
        <v>1307231112</v>
      </c>
      <c r="C178" s="7">
        <v>13</v>
      </c>
      <c r="D178" s="7">
        <v>7</v>
      </c>
      <c r="E178" s="7">
        <v>2023</v>
      </c>
      <c r="F178" s="5">
        <v>45120</v>
      </c>
      <c r="G178" s="6" t="s">
        <v>4</v>
      </c>
      <c r="H178" s="17">
        <v>0.24998076923076923</v>
      </c>
      <c r="I178" s="20">
        <f>ROUNDUP((Table2[[#This Row],[fGCM_Conc]]*10000),0)</f>
        <v>2500</v>
      </c>
      <c r="J178" s="3" t="str">
        <f>VLOOKUP(G178,'[1]Attributes(OUTDATED)'!$A$2:$C$19,2,FALSE)</f>
        <v>M</v>
      </c>
      <c r="K178" s="3" t="str">
        <f>VLOOKUP(G178,'[1]Attributes(OUTDATED)'!$A$2:$C$19,3,FALSE)</f>
        <v>J</v>
      </c>
      <c r="L178" s="3">
        <f>VLOOKUP(G178,'[1]Attributes(OUTDATED)'!$A$2:$H$19,8,FALSE)</f>
        <v>1055</v>
      </c>
      <c r="M178" s="3" t="str">
        <f>K178&amp;J178</f>
        <v>JM</v>
      </c>
      <c r="N178" s="3" t="e">
        <f>VLOOKUP(G178,#REF!,2,FALSE)</f>
        <v>#REF!</v>
      </c>
      <c r="O178" s="11">
        <v>45118</v>
      </c>
      <c r="P178" s="13">
        <v>11.4</v>
      </c>
      <c r="Q178" s="13">
        <v>3.9</v>
      </c>
      <c r="R178" s="13">
        <v>-1.6</v>
      </c>
      <c r="S178" s="13">
        <f>Table2[[#This Row],[2_Temp_H]]-Table2[[#This Row],[2_Temp_L]]</f>
        <v>13</v>
      </c>
      <c r="T178" s="13">
        <v>8.1999999999999993</v>
      </c>
      <c r="U178" s="13">
        <v>2.2000000000000002</v>
      </c>
      <c r="V178" s="13">
        <v>1029.8</v>
      </c>
      <c r="W178" s="13">
        <v>1027.0899999999999</v>
      </c>
      <c r="X178" s="13">
        <v>0.25</v>
      </c>
      <c r="Y178" s="13" t="s">
        <v>147</v>
      </c>
      <c r="Z178" s="16" t="s">
        <v>171</v>
      </c>
      <c r="AA178" s="13" t="s">
        <v>137</v>
      </c>
      <c r="AB178" s="13" t="s">
        <v>144</v>
      </c>
      <c r="AC178" s="13" t="s">
        <v>146</v>
      </c>
      <c r="AD178" s="13" t="s">
        <v>137</v>
      </c>
      <c r="AE178" s="13">
        <f>VLOOKUP(Table2[[#This Row],[3_Elephant_ID]],'[1]Attributes(OUTDATED)'!$A$2:$N$19,12,FALSE)</f>
        <v>181</v>
      </c>
      <c r="AF178" s="13">
        <f>VLOOKUP(Table2[[#This Row],[3_Elephant_ID]],'[1]Attributes(OUTDATED)'!$A$2:$N$19,13,FALSE)</f>
        <v>7.3999999999999996E-2</v>
      </c>
      <c r="AG178" s="13">
        <f>VLOOKUP(Table2[[#This Row],[3_Elephant_ID]],'[1]Attributes(OUTDATED)'!$A$2:$N$19,14,FALSE)</f>
        <v>7.3914663535330896E-2</v>
      </c>
      <c r="AH178" s="13">
        <v>0</v>
      </c>
      <c r="AI178" s="13">
        <v>0</v>
      </c>
      <c r="AJ178" s="13">
        <v>0</v>
      </c>
      <c r="AK178" s="13">
        <v>0</v>
      </c>
      <c r="AL178" s="13">
        <f>VLOOKUP(Table2[[#This Row],[3_Elephant_ID]],'[1]Attributes(OUTDATED)'!$A$2:$P$19,16,FALSE)</f>
        <v>1</v>
      </c>
      <c r="AM178" s="13">
        <f>VLOOKUP(Table2[[#This Row],[3_Elephant_ID]],'[1]Attributes(OUTDATED)'!$A$2:$S$19,17,FALSE)</f>
        <v>7</v>
      </c>
      <c r="AN178" s="13">
        <f>VLOOKUP(Table2[[#This Row],[3_Elephant_ID]],'[1]Attributes(OUTDATED)'!$A$2:$S$19,18,FALSE)</f>
        <v>9</v>
      </c>
    </row>
    <row r="179" spans="1:40" ht="28" x14ac:dyDescent="0.15">
      <c r="A179" s="3">
        <v>95</v>
      </c>
      <c r="B179" s="6">
        <v>1307231512</v>
      </c>
      <c r="C179" s="7">
        <v>13</v>
      </c>
      <c r="D179" s="7">
        <v>7</v>
      </c>
      <c r="E179" s="7">
        <v>2023</v>
      </c>
      <c r="F179" s="5">
        <v>45120</v>
      </c>
      <c r="G179" s="6" t="s">
        <v>11</v>
      </c>
      <c r="H179" s="17">
        <v>0.24017681728880158</v>
      </c>
      <c r="I179" s="20">
        <f>ROUNDUP((Table2[[#This Row],[fGCM_Conc]]*10000),0)</f>
        <v>2402</v>
      </c>
      <c r="J179" s="3" t="str">
        <f>VLOOKUP(G179,'[1]Attributes(OUTDATED)'!$A$2:$C$19,2,FALSE)</f>
        <v>M</v>
      </c>
      <c r="K179" s="3" t="str">
        <f>VLOOKUP(G179,'[1]Attributes(OUTDATED)'!$A$2:$C$19,3,FALSE)</f>
        <v>A</v>
      </c>
      <c r="L179" s="3">
        <f>VLOOKUP(G179,'[1]Attributes(OUTDATED)'!$A$2:$H$19,8,FALSE)</f>
        <v>1223</v>
      </c>
      <c r="M179" s="3" t="str">
        <f>K179&amp;J179</f>
        <v>AM</v>
      </c>
      <c r="N179" s="3" t="e">
        <f>VLOOKUP(G179,#REF!,2,FALSE)</f>
        <v>#REF!</v>
      </c>
      <c r="O179" s="11">
        <v>45118</v>
      </c>
      <c r="P179" s="13">
        <v>11.4</v>
      </c>
      <c r="Q179" s="13">
        <v>3.9</v>
      </c>
      <c r="R179" s="13">
        <v>-1.6</v>
      </c>
      <c r="S179" s="13">
        <f>Table2[[#This Row],[2_Temp_H]]-Table2[[#This Row],[2_Temp_L]]</f>
        <v>13</v>
      </c>
      <c r="T179" s="13">
        <v>8.1999999999999993</v>
      </c>
      <c r="U179" s="13">
        <v>2.2000000000000002</v>
      </c>
      <c r="V179" s="13">
        <v>1029.8</v>
      </c>
      <c r="W179" s="13">
        <v>1027.0899999999999</v>
      </c>
      <c r="X179" s="13">
        <v>0.25</v>
      </c>
      <c r="Y179" s="13" t="s">
        <v>147</v>
      </c>
      <c r="Z179" s="16" t="s">
        <v>171</v>
      </c>
      <c r="AA179" s="13" t="s">
        <v>137</v>
      </c>
      <c r="AB179" s="13" t="s">
        <v>144</v>
      </c>
      <c r="AC179" s="13" t="s">
        <v>146</v>
      </c>
      <c r="AD179" s="13" t="s">
        <v>137</v>
      </c>
      <c r="AE179" s="13">
        <f>VLOOKUP(Table2[[#This Row],[3_Elephant_ID]],'[1]Attributes(OUTDATED)'!$A$2:$N$19,12,FALSE)</f>
        <v>404</v>
      </c>
      <c r="AF179" s="13">
        <f>VLOOKUP(Table2[[#This Row],[3_Elephant_ID]],'[1]Attributes(OUTDATED)'!$A$2:$N$19,13,FALSE)</f>
        <v>0.91700000000000004</v>
      </c>
      <c r="AG179" s="13">
        <f>VLOOKUP(Table2[[#This Row],[3_Elephant_ID]],'[1]Attributes(OUTDATED)'!$A$2:$N$19,14,FALSE)</f>
        <v>0.91664628583929353</v>
      </c>
      <c r="AH179" s="13">
        <v>0</v>
      </c>
      <c r="AI179" s="13">
        <v>0</v>
      </c>
      <c r="AJ179" s="13">
        <v>0</v>
      </c>
      <c r="AK179" s="13">
        <v>0</v>
      </c>
      <c r="AL179" s="13">
        <f>VLOOKUP(Table2[[#This Row],[3_Elephant_ID]],'[1]Attributes(OUTDATED)'!$A$2:$P$19,16,FALSE)</f>
        <v>1</v>
      </c>
      <c r="AM179" s="13">
        <f>VLOOKUP(Table2[[#This Row],[3_Elephant_ID]],'[1]Attributes(OUTDATED)'!$A$2:$S$19,17,FALSE)</f>
        <v>14</v>
      </c>
      <c r="AN179" s="13">
        <f>VLOOKUP(Table2[[#This Row],[3_Elephant_ID]],'[1]Attributes(OUTDATED)'!$A$2:$S$19,18,FALSE)</f>
        <v>17</v>
      </c>
    </row>
    <row r="180" spans="1:40" ht="28" x14ac:dyDescent="0.15">
      <c r="A180" s="3">
        <v>94</v>
      </c>
      <c r="B180" s="6">
        <v>1307231509</v>
      </c>
      <c r="C180" s="7">
        <v>13</v>
      </c>
      <c r="D180" s="7">
        <v>7</v>
      </c>
      <c r="E180" s="7">
        <v>2023</v>
      </c>
      <c r="F180" s="5">
        <v>45120</v>
      </c>
      <c r="G180" s="6" t="s">
        <v>15</v>
      </c>
      <c r="H180" s="17">
        <v>0.23160877513711156</v>
      </c>
      <c r="I180" s="20">
        <f>ROUNDUP((Table2[[#This Row],[fGCM_Conc]]*10000),0)</f>
        <v>2317</v>
      </c>
      <c r="J180" s="3" t="str">
        <f>VLOOKUP(G180,'[1]Attributes(OUTDATED)'!$A$2:$C$19,2,FALSE)</f>
        <v>M</v>
      </c>
      <c r="K180" s="3" t="str">
        <f>VLOOKUP(G180,'[1]Attributes(OUTDATED)'!$A$2:$C$19,3,FALSE)</f>
        <v>J</v>
      </c>
      <c r="L180" s="3">
        <f>VLOOKUP(G180,'[1]Attributes(OUTDATED)'!$A$2:$H$19,8,FALSE)</f>
        <v>828</v>
      </c>
      <c r="M180" s="3" t="str">
        <f>K180&amp;J180</f>
        <v>JM</v>
      </c>
      <c r="N180" s="3" t="e">
        <f>VLOOKUP(G180,#REF!,2,FALSE)</f>
        <v>#REF!</v>
      </c>
      <c r="O180" s="11">
        <v>45118</v>
      </c>
      <c r="P180" s="13">
        <v>11.4</v>
      </c>
      <c r="Q180" s="13">
        <v>3.9</v>
      </c>
      <c r="R180" s="13">
        <v>-1.6</v>
      </c>
      <c r="S180" s="13">
        <f>Table2[[#This Row],[2_Temp_H]]-Table2[[#This Row],[2_Temp_L]]</f>
        <v>13</v>
      </c>
      <c r="T180" s="13">
        <v>8.1999999999999993</v>
      </c>
      <c r="U180" s="13">
        <v>2.2000000000000002</v>
      </c>
      <c r="V180" s="13">
        <v>1029.8</v>
      </c>
      <c r="W180" s="13">
        <v>1027.0899999999999</v>
      </c>
      <c r="X180" s="13">
        <v>0.25</v>
      </c>
      <c r="Y180" s="13" t="s">
        <v>147</v>
      </c>
      <c r="Z180" s="16" t="s">
        <v>171</v>
      </c>
      <c r="AA180" s="13" t="s">
        <v>137</v>
      </c>
      <c r="AB180" s="13" t="s">
        <v>144</v>
      </c>
      <c r="AC180" s="13" t="s">
        <v>146</v>
      </c>
      <c r="AD180" s="13" t="s">
        <v>137</v>
      </c>
      <c r="AE180" s="13">
        <f>VLOOKUP(Table2[[#This Row],[3_Elephant_ID]],'[1]Attributes(OUTDATED)'!$A$2:$N$19,12,FALSE)</f>
        <v>219</v>
      </c>
      <c r="AF180" s="13">
        <f>VLOOKUP(Table2[[#This Row],[3_Elephant_ID]],'[1]Attributes(OUTDATED)'!$A$2:$N$19,13,FALSE)</f>
        <v>0.32300000000000001</v>
      </c>
      <c r="AG180" s="13">
        <f>VLOOKUP(Table2[[#This Row],[3_Elephant_ID]],'[1]Attributes(OUTDATED)'!$A$2:$N$19,14,FALSE)</f>
        <v>0.32257531484312868</v>
      </c>
      <c r="AH180" s="13">
        <v>0</v>
      </c>
      <c r="AI180" s="13">
        <v>0</v>
      </c>
      <c r="AJ180" s="13">
        <v>0</v>
      </c>
      <c r="AK180" s="13">
        <v>0</v>
      </c>
      <c r="AL180" s="13">
        <f>VLOOKUP(Table2[[#This Row],[3_Elephant_ID]],'[1]Attributes(OUTDATED)'!$A$2:$P$19,16,FALSE)</f>
        <v>2</v>
      </c>
      <c r="AM180" s="13">
        <f>VLOOKUP(Table2[[#This Row],[3_Elephant_ID]],'[1]Attributes(OUTDATED)'!$A$2:$S$19,17,FALSE)</f>
        <v>1</v>
      </c>
      <c r="AN180" s="13">
        <f>VLOOKUP(Table2[[#This Row],[3_Elephant_ID]],'[1]Attributes(OUTDATED)'!$A$2:$S$19,18,FALSE)</f>
        <v>6</v>
      </c>
    </row>
    <row r="181" spans="1:40" ht="28" x14ac:dyDescent="0.15">
      <c r="A181" s="3">
        <v>90</v>
      </c>
      <c r="B181" s="6">
        <v>1407231150</v>
      </c>
      <c r="C181" s="7">
        <v>14</v>
      </c>
      <c r="D181" s="7">
        <v>7</v>
      </c>
      <c r="E181" s="7">
        <v>2023</v>
      </c>
      <c r="F181" s="5">
        <v>45121</v>
      </c>
      <c r="G181" s="6" t="s">
        <v>6</v>
      </c>
      <c r="H181" s="17">
        <v>0.33177449168207024</v>
      </c>
      <c r="I181" s="20">
        <f>ROUNDUP((Table2[[#This Row],[fGCM_Conc]]*10000),0)</f>
        <v>3318</v>
      </c>
      <c r="J181" s="3" t="str">
        <f>VLOOKUP(G181,'[1]Attributes(OUTDATED)'!$A$2:$C$19,2,FALSE)</f>
        <v>F</v>
      </c>
      <c r="K181" s="3" t="str">
        <f>VLOOKUP(G181,'[1]Attributes(OUTDATED)'!$A$2:$C$19,3,FALSE)</f>
        <v>A</v>
      </c>
      <c r="L181" s="3">
        <f>VLOOKUP(G181,'[1]Attributes(OUTDATED)'!$A$2:$H$19,8,FALSE)</f>
        <v>1168</v>
      </c>
      <c r="M181" s="3" t="str">
        <f>K181&amp;J181</f>
        <v>AF</v>
      </c>
      <c r="N181" s="3" t="e">
        <f>VLOOKUP(G181,#REF!,2,FALSE)</f>
        <v>#REF!</v>
      </c>
      <c r="O181" s="11">
        <v>45119</v>
      </c>
      <c r="P181" s="13">
        <v>20.5</v>
      </c>
      <c r="Q181" s="13">
        <v>8.6</v>
      </c>
      <c r="R181" s="13">
        <v>0.9</v>
      </c>
      <c r="S181" s="13">
        <f>Table2[[#This Row],[2_Temp_H]]-Table2[[#This Row],[2_Temp_L]]</f>
        <v>19.600000000000001</v>
      </c>
      <c r="T181" s="13">
        <v>15</v>
      </c>
      <c r="U181" s="13">
        <v>3.8</v>
      </c>
      <c r="V181" s="13">
        <v>1027.0899999999999</v>
      </c>
      <c r="W181" s="13">
        <v>1023.03</v>
      </c>
      <c r="X181" s="13">
        <v>0</v>
      </c>
      <c r="Y181" s="13" t="s">
        <v>147</v>
      </c>
      <c r="Z181" s="16" t="s">
        <v>171</v>
      </c>
      <c r="AA181" s="13" t="s">
        <v>137</v>
      </c>
      <c r="AB181" s="13" t="s">
        <v>144</v>
      </c>
      <c r="AC181" s="13" t="s">
        <v>146</v>
      </c>
      <c r="AD181" s="13" t="s">
        <v>137</v>
      </c>
      <c r="AE181" s="13">
        <f>VLOOKUP(Table2[[#This Row],[3_Elephant_ID]],'[1]Attributes(OUTDATED)'!$A$2:$N$19,12,FALSE)</f>
        <v>286</v>
      </c>
      <c r="AF181" s="13">
        <f>VLOOKUP(Table2[[#This Row],[3_Elephant_ID]],'[1]Attributes(OUTDATED)'!$A$2:$N$19,13,FALSE)</f>
        <v>0.26800000000000002</v>
      </c>
      <c r="AG181" s="13">
        <f>VLOOKUP(Table2[[#This Row],[3_Elephant_ID]],'[1]Attributes(OUTDATED)'!$A$2:$N$19,14,FALSE)</f>
        <v>0.26721028245328138</v>
      </c>
      <c r="AH181" s="13">
        <v>1</v>
      </c>
      <c r="AI181" s="13">
        <v>0</v>
      </c>
      <c r="AJ181" s="13">
        <v>0</v>
      </c>
      <c r="AK181" s="13">
        <v>0</v>
      </c>
      <c r="AL181" s="13">
        <f>VLOOKUP(Table2[[#This Row],[3_Elephant_ID]],'[1]Attributes(OUTDATED)'!$A$2:$P$19,16,FALSE)</f>
        <v>2</v>
      </c>
      <c r="AM181" s="13">
        <f>VLOOKUP(Table2[[#This Row],[3_Elephant_ID]],'[1]Attributes(OUTDATED)'!$A$2:$S$19,17,FALSE)</f>
        <v>12</v>
      </c>
      <c r="AN181" s="13">
        <f>VLOOKUP(Table2[[#This Row],[3_Elephant_ID]],'[1]Attributes(OUTDATED)'!$A$2:$S$19,18,FALSE)</f>
        <v>5</v>
      </c>
    </row>
    <row r="182" spans="1:40" ht="28" x14ac:dyDescent="0.15">
      <c r="A182" s="3">
        <v>89</v>
      </c>
      <c r="B182" s="6">
        <v>1407231151</v>
      </c>
      <c r="C182" s="7">
        <v>14</v>
      </c>
      <c r="D182" s="7">
        <v>7</v>
      </c>
      <c r="E182" s="7">
        <v>2023</v>
      </c>
      <c r="F182" s="5">
        <v>45121</v>
      </c>
      <c r="G182" s="6" t="s">
        <v>31</v>
      </c>
      <c r="H182" s="17">
        <v>0.25235621521335805</v>
      </c>
      <c r="I182" s="20">
        <f>ROUNDUP((Table2[[#This Row],[fGCM_Conc]]*10000),0)</f>
        <v>2524</v>
      </c>
      <c r="J182" s="3" t="str">
        <f>VLOOKUP(G182,'[1]Attributes(OUTDATED)'!$A$2:$C$19,2,FALSE)</f>
        <v>F</v>
      </c>
      <c r="K182" s="3" t="str">
        <f>VLOOKUP(G182,'[1]Attributes(OUTDATED)'!$A$2:$C$19,3,FALSE)</f>
        <v>J</v>
      </c>
      <c r="L182" s="3">
        <f>VLOOKUP(G182,'[1]Attributes(OUTDATED)'!$A$2:$H$19,8,FALSE)</f>
        <v>765</v>
      </c>
      <c r="M182" s="3" t="str">
        <f>K182&amp;J182</f>
        <v>JF</v>
      </c>
      <c r="N182" s="3" t="e">
        <f>VLOOKUP(G182,#REF!,2,FALSE)</f>
        <v>#REF!</v>
      </c>
      <c r="O182" s="11">
        <v>45119</v>
      </c>
      <c r="P182" s="13">
        <v>20.5</v>
      </c>
      <c r="Q182" s="13">
        <v>8.6</v>
      </c>
      <c r="R182" s="13">
        <v>0.9</v>
      </c>
      <c r="S182" s="13">
        <f>Table2[[#This Row],[2_Temp_H]]-Table2[[#This Row],[2_Temp_L]]</f>
        <v>19.600000000000001</v>
      </c>
      <c r="T182" s="13">
        <v>15</v>
      </c>
      <c r="U182" s="13">
        <v>3.8</v>
      </c>
      <c r="V182" s="13">
        <v>1027.0899999999999</v>
      </c>
      <c r="W182" s="13">
        <v>1023.03</v>
      </c>
      <c r="X182" s="13">
        <v>0</v>
      </c>
      <c r="Y182" s="13" t="s">
        <v>147</v>
      </c>
      <c r="Z182" s="16" t="s">
        <v>171</v>
      </c>
      <c r="AA182" s="13" t="s">
        <v>137</v>
      </c>
      <c r="AB182" s="13" t="s">
        <v>144</v>
      </c>
      <c r="AC182" s="13" t="s">
        <v>146</v>
      </c>
      <c r="AD182" s="13" t="s">
        <v>137</v>
      </c>
      <c r="AE182" s="13">
        <f>VLOOKUP(Table2[[#This Row],[3_Elephant_ID]],'[1]Attributes(OUTDATED)'!$A$2:$N$19,12,FALSE)</f>
        <v>258</v>
      </c>
      <c r="AF182" s="13">
        <f>VLOOKUP(Table2[[#This Row],[3_Elephant_ID]],'[1]Attributes(OUTDATED)'!$A$2:$N$19,13,FALSE)</f>
        <v>0.25700000000000001</v>
      </c>
      <c r="AG182" s="13">
        <f>VLOOKUP(Table2[[#This Row],[3_Elephant_ID]],'[1]Attributes(OUTDATED)'!$A$2:$N$19,14,FALSE)</f>
        <v>0.25665547185998128</v>
      </c>
      <c r="AH182" s="13">
        <v>1</v>
      </c>
      <c r="AI182" s="13">
        <v>0</v>
      </c>
      <c r="AJ182" s="13">
        <v>0</v>
      </c>
      <c r="AK182" s="13">
        <v>0</v>
      </c>
      <c r="AL182" s="13">
        <f>VLOOKUP(Table2[[#This Row],[3_Elephant_ID]],'[1]Attributes(OUTDATED)'!$A$2:$P$19,16,FALSE)</f>
        <v>2</v>
      </c>
      <c r="AM182" s="13">
        <f>VLOOKUP(Table2[[#This Row],[3_Elephant_ID]],'[1]Attributes(OUTDATED)'!$A$2:$S$19,17,FALSE)</f>
        <v>1</v>
      </c>
      <c r="AN182" s="13">
        <f>VLOOKUP(Table2[[#This Row],[3_Elephant_ID]],'[1]Attributes(OUTDATED)'!$A$2:$S$19,18,FALSE)</f>
        <v>10</v>
      </c>
    </row>
    <row r="183" spans="1:40" ht="28" x14ac:dyDescent="0.15">
      <c r="A183" s="3">
        <v>92</v>
      </c>
      <c r="B183" s="6">
        <v>1407231133</v>
      </c>
      <c r="C183" s="7">
        <v>14</v>
      </c>
      <c r="D183" s="7">
        <v>7</v>
      </c>
      <c r="E183" s="7">
        <v>2023</v>
      </c>
      <c r="F183" s="5">
        <v>45121</v>
      </c>
      <c r="G183" s="6" t="s">
        <v>11</v>
      </c>
      <c r="H183" s="17">
        <v>0.24855468750000001</v>
      </c>
      <c r="I183" s="20">
        <f>ROUNDUP((Table2[[#This Row],[fGCM_Conc]]*10000),0)</f>
        <v>2486</v>
      </c>
      <c r="J183" s="3" t="str">
        <f>VLOOKUP(G183,'[1]Attributes(OUTDATED)'!$A$2:$C$19,2,FALSE)</f>
        <v>M</v>
      </c>
      <c r="K183" s="3" t="str">
        <f>VLOOKUP(G183,'[1]Attributes(OUTDATED)'!$A$2:$C$19,3,FALSE)</f>
        <v>A</v>
      </c>
      <c r="L183" s="3">
        <f>VLOOKUP(G183,'[1]Attributes(OUTDATED)'!$A$2:$H$19,8,FALSE)</f>
        <v>1223</v>
      </c>
      <c r="M183" s="3" t="str">
        <f>K183&amp;J183</f>
        <v>AM</v>
      </c>
      <c r="N183" s="3" t="e">
        <f>VLOOKUP(G183,#REF!,2,FALSE)</f>
        <v>#REF!</v>
      </c>
      <c r="O183" s="11">
        <v>45119</v>
      </c>
      <c r="P183" s="13">
        <v>20.5</v>
      </c>
      <c r="Q183" s="13">
        <v>8.6</v>
      </c>
      <c r="R183" s="13">
        <v>0.9</v>
      </c>
      <c r="S183" s="13">
        <f>Table2[[#This Row],[2_Temp_H]]-Table2[[#This Row],[2_Temp_L]]</f>
        <v>19.600000000000001</v>
      </c>
      <c r="T183" s="13">
        <v>15</v>
      </c>
      <c r="U183" s="13">
        <v>3.8</v>
      </c>
      <c r="V183" s="13">
        <v>1027.0899999999999</v>
      </c>
      <c r="W183" s="13">
        <v>1023.03</v>
      </c>
      <c r="X183" s="13">
        <v>0</v>
      </c>
      <c r="Y183" s="13" t="s">
        <v>147</v>
      </c>
      <c r="Z183" s="16" t="s">
        <v>171</v>
      </c>
      <c r="AA183" s="13" t="s">
        <v>137</v>
      </c>
      <c r="AB183" s="13" t="s">
        <v>144</v>
      </c>
      <c r="AC183" s="13" t="s">
        <v>146</v>
      </c>
      <c r="AD183" s="13" t="s">
        <v>137</v>
      </c>
      <c r="AE183" s="13">
        <f>VLOOKUP(Table2[[#This Row],[3_Elephant_ID]],'[1]Attributes(OUTDATED)'!$A$2:$N$19,12,FALSE)</f>
        <v>404</v>
      </c>
      <c r="AF183" s="13">
        <f>VLOOKUP(Table2[[#This Row],[3_Elephant_ID]],'[1]Attributes(OUTDATED)'!$A$2:$N$19,13,FALSE)</f>
        <v>0.91700000000000004</v>
      </c>
      <c r="AG183" s="13">
        <f>VLOOKUP(Table2[[#This Row],[3_Elephant_ID]],'[1]Attributes(OUTDATED)'!$A$2:$N$19,14,FALSE)</f>
        <v>0.91664628583929353</v>
      </c>
      <c r="AH183" s="13">
        <v>1</v>
      </c>
      <c r="AI183" s="13">
        <v>0</v>
      </c>
      <c r="AJ183" s="13">
        <v>0</v>
      </c>
      <c r="AK183" s="13">
        <v>0</v>
      </c>
      <c r="AL183" s="13">
        <f>VLOOKUP(Table2[[#This Row],[3_Elephant_ID]],'[1]Attributes(OUTDATED)'!$A$2:$P$19,16,FALSE)</f>
        <v>1</v>
      </c>
      <c r="AM183" s="13">
        <f>VLOOKUP(Table2[[#This Row],[3_Elephant_ID]],'[1]Attributes(OUTDATED)'!$A$2:$S$19,17,FALSE)</f>
        <v>14</v>
      </c>
      <c r="AN183" s="13">
        <f>VLOOKUP(Table2[[#This Row],[3_Elephant_ID]],'[1]Attributes(OUTDATED)'!$A$2:$S$19,18,FALSE)</f>
        <v>17</v>
      </c>
    </row>
    <row r="184" spans="1:40" ht="28" x14ac:dyDescent="0.15">
      <c r="A184" s="3">
        <v>93</v>
      </c>
      <c r="B184" s="6">
        <v>1407231118</v>
      </c>
      <c r="C184" s="7">
        <v>14</v>
      </c>
      <c r="D184" s="7">
        <v>7</v>
      </c>
      <c r="E184" s="7">
        <v>2023</v>
      </c>
      <c r="F184" s="5">
        <v>45121</v>
      </c>
      <c r="G184" s="6" t="s">
        <v>4</v>
      </c>
      <c r="H184" s="17">
        <v>0.21771897810218971</v>
      </c>
      <c r="I184" s="20">
        <f>ROUNDUP((Table2[[#This Row],[fGCM_Conc]]*10000),0)</f>
        <v>2178</v>
      </c>
      <c r="J184" s="3" t="str">
        <f>VLOOKUP(G184,'[1]Attributes(OUTDATED)'!$A$2:$C$19,2,FALSE)</f>
        <v>M</v>
      </c>
      <c r="K184" s="3" t="str">
        <f>VLOOKUP(G184,'[1]Attributes(OUTDATED)'!$A$2:$C$19,3,FALSE)</f>
        <v>J</v>
      </c>
      <c r="L184" s="3">
        <f>VLOOKUP(G184,'[1]Attributes(OUTDATED)'!$A$2:$H$19,8,FALSE)</f>
        <v>1055</v>
      </c>
      <c r="M184" s="3" t="str">
        <f>K184&amp;J184</f>
        <v>JM</v>
      </c>
      <c r="N184" s="3" t="e">
        <f>VLOOKUP(G184,#REF!,2,FALSE)</f>
        <v>#REF!</v>
      </c>
      <c r="O184" s="11">
        <v>45119</v>
      </c>
      <c r="P184" s="13">
        <v>20.5</v>
      </c>
      <c r="Q184" s="13">
        <v>8.6</v>
      </c>
      <c r="R184" s="13">
        <v>0.9</v>
      </c>
      <c r="S184" s="13">
        <f>Table2[[#This Row],[2_Temp_H]]-Table2[[#This Row],[2_Temp_L]]</f>
        <v>19.600000000000001</v>
      </c>
      <c r="T184" s="13">
        <v>15</v>
      </c>
      <c r="U184" s="13">
        <v>3.8</v>
      </c>
      <c r="V184" s="13">
        <v>1027.0899999999999</v>
      </c>
      <c r="W184" s="13">
        <v>1023.03</v>
      </c>
      <c r="X184" s="13">
        <v>0</v>
      </c>
      <c r="Y184" s="13" t="s">
        <v>147</v>
      </c>
      <c r="Z184" s="16" t="s">
        <v>171</v>
      </c>
      <c r="AA184" s="13" t="s">
        <v>137</v>
      </c>
      <c r="AB184" s="13" t="s">
        <v>144</v>
      </c>
      <c r="AC184" s="13" t="s">
        <v>146</v>
      </c>
      <c r="AD184" s="13" t="s">
        <v>137</v>
      </c>
      <c r="AE184" s="13">
        <f>VLOOKUP(Table2[[#This Row],[3_Elephant_ID]],'[1]Attributes(OUTDATED)'!$A$2:$N$19,12,FALSE)</f>
        <v>181</v>
      </c>
      <c r="AF184" s="13">
        <f>VLOOKUP(Table2[[#This Row],[3_Elephant_ID]],'[1]Attributes(OUTDATED)'!$A$2:$N$19,13,FALSE)</f>
        <v>7.3999999999999996E-2</v>
      </c>
      <c r="AG184" s="13">
        <f>VLOOKUP(Table2[[#This Row],[3_Elephant_ID]],'[1]Attributes(OUTDATED)'!$A$2:$N$19,14,FALSE)</f>
        <v>7.3914663535330896E-2</v>
      </c>
      <c r="AH184" s="13">
        <v>1</v>
      </c>
      <c r="AI184" s="13">
        <v>0</v>
      </c>
      <c r="AJ184" s="13">
        <v>0</v>
      </c>
      <c r="AK184" s="13">
        <v>0</v>
      </c>
      <c r="AL184" s="13">
        <f>VLOOKUP(Table2[[#This Row],[3_Elephant_ID]],'[1]Attributes(OUTDATED)'!$A$2:$P$19,16,FALSE)</f>
        <v>1</v>
      </c>
      <c r="AM184" s="13">
        <f>VLOOKUP(Table2[[#This Row],[3_Elephant_ID]],'[1]Attributes(OUTDATED)'!$A$2:$S$19,17,FALSE)</f>
        <v>7</v>
      </c>
      <c r="AN184" s="13">
        <f>VLOOKUP(Table2[[#This Row],[3_Elephant_ID]],'[1]Attributes(OUTDATED)'!$A$2:$S$19,18,FALSE)</f>
        <v>9</v>
      </c>
    </row>
    <row r="185" spans="1:40" ht="28" x14ac:dyDescent="0.15">
      <c r="A185" s="3">
        <v>91</v>
      </c>
      <c r="B185" s="6">
        <v>1407231141</v>
      </c>
      <c r="C185" s="7">
        <v>14</v>
      </c>
      <c r="D185" s="7">
        <v>7</v>
      </c>
      <c r="E185" s="7">
        <v>2023</v>
      </c>
      <c r="F185" s="5">
        <v>45121</v>
      </c>
      <c r="G185" s="6" t="s">
        <v>13</v>
      </c>
      <c r="H185" s="17">
        <v>0.13701492537313434</v>
      </c>
      <c r="I185" s="20">
        <f>ROUNDUP((Table2[[#This Row],[fGCM_Conc]]*10000),0)</f>
        <v>1371</v>
      </c>
      <c r="J185" s="3" t="str">
        <f>VLOOKUP(G185,'[1]Attributes(OUTDATED)'!$A$2:$C$19,2,FALSE)</f>
        <v>F</v>
      </c>
      <c r="K185" s="3" t="str">
        <f>VLOOKUP(G185,'[1]Attributes(OUTDATED)'!$A$2:$C$19,3,FALSE)</f>
        <v>A</v>
      </c>
      <c r="L185" s="3">
        <f>VLOOKUP(G185,'[1]Attributes(OUTDATED)'!$A$2:$H$19,8,FALSE)</f>
        <v>963</v>
      </c>
      <c r="M185" s="3" t="str">
        <f>K185&amp;J185</f>
        <v>AF</v>
      </c>
      <c r="N185" s="3" t="e">
        <f>VLOOKUP(G185,#REF!,2,FALSE)</f>
        <v>#REF!</v>
      </c>
      <c r="O185" s="11">
        <v>45119</v>
      </c>
      <c r="P185" s="13">
        <v>20.5</v>
      </c>
      <c r="Q185" s="13">
        <v>8.6</v>
      </c>
      <c r="R185" s="13">
        <v>0.9</v>
      </c>
      <c r="S185" s="13">
        <f>Table2[[#This Row],[2_Temp_H]]-Table2[[#This Row],[2_Temp_L]]</f>
        <v>19.600000000000001</v>
      </c>
      <c r="T185" s="13">
        <v>15</v>
      </c>
      <c r="U185" s="13">
        <v>3.8</v>
      </c>
      <c r="V185" s="13">
        <v>1027.0899999999999</v>
      </c>
      <c r="W185" s="13">
        <v>1023.03</v>
      </c>
      <c r="X185" s="13">
        <v>0</v>
      </c>
      <c r="Y185" s="13" t="s">
        <v>147</v>
      </c>
      <c r="Z185" s="16" t="s">
        <v>171</v>
      </c>
      <c r="AA185" s="13" t="s">
        <v>137</v>
      </c>
      <c r="AB185" s="13" t="s">
        <v>144</v>
      </c>
      <c r="AC185" s="13" t="s">
        <v>146</v>
      </c>
      <c r="AD185" s="13" t="s">
        <v>137</v>
      </c>
      <c r="AE185" s="13">
        <f>VLOOKUP(Table2[[#This Row],[3_Elephant_ID]],'[1]Attributes(OUTDATED)'!$A$2:$N$19,12,FALSE)</f>
        <v>289</v>
      </c>
      <c r="AF185" s="13">
        <f>VLOOKUP(Table2[[#This Row],[3_Elephant_ID]],'[1]Attributes(OUTDATED)'!$A$2:$N$19,13,FALSE)</f>
        <v>0.32400000000000001</v>
      </c>
      <c r="AG185" s="13">
        <f>VLOOKUP(Table2[[#This Row],[3_Elephant_ID]],'[1]Attributes(OUTDATED)'!$A$2:$N$19,14,FALSE)</f>
        <v>0.32380809109629533</v>
      </c>
      <c r="AH185" s="13">
        <v>1</v>
      </c>
      <c r="AI185" s="13">
        <v>1</v>
      </c>
      <c r="AJ185" s="13">
        <v>0</v>
      </c>
      <c r="AK185" s="13">
        <v>1</v>
      </c>
      <c r="AL185" s="13">
        <f>VLOOKUP(Table2[[#This Row],[3_Elephant_ID]],'[1]Attributes(OUTDATED)'!$A$2:$P$19,16,FALSE)</f>
        <v>2</v>
      </c>
      <c r="AM185" s="13">
        <f>VLOOKUP(Table2[[#This Row],[3_Elephant_ID]],'[1]Attributes(OUTDATED)'!$A$2:$S$19,17,FALSE)</f>
        <v>9</v>
      </c>
      <c r="AN185" s="13">
        <f>VLOOKUP(Table2[[#This Row],[3_Elephant_ID]],'[1]Attributes(OUTDATED)'!$A$2:$S$19,18,FALSE)</f>
        <v>9</v>
      </c>
    </row>
    <row r="186" spans="1:40" ht="28" x14ac:dyDescent="0.15">
      <c r="A186" s="3">
        <v>82</v>
      </c>
      <c r="B186" s="6">
        <v>1707231143</v>
      </c>
      <c r="C186" s="7">
        <v>17</v>
      </c>
      <c r="D186" s="7">
        <v>7</v>
      </c>
      <c r="E186" s="7">
        <v>2023</v>
      </c>
      <c r="F186" s="5">
        <v>45124</v>
      </c>
      <c r="G186" s="6" t="s">
        <v>8</v>
      </c>
      <c r="H186" s="17">
        <v>0.33381404174573059</v>
      </c>
      <c r="I186" s="20">
        <f>ROUNDUP((Table2[[#This Row],[fGCM_Conc]]*10000),0)</f>
        <v>3339</v>
      </c>
      <c r="J186" s="3" t="str">
        <f>VLOOKUP(G186,'[1]Attributes(OUTDATED)'!$A$2:$C$19,2,FALSE)</f>
        <v>F</v>
      </c>
      <c r="K186" s="3" t="str">
        <f>VLOOKUP(G186,'[1]Attributes(OUTDATED)'!$A$2:$C$19,3,FALSE)</f>
        <v>A</v>
      </c>
      <c r="L186" s="3">
        <f>VLOOKUP(G186,'[1]Attributes(OUTDATED)'!$A$2:$H$19,8,FALSE)</f>
        <v>1096</v>
      </c>
      <c r="M186" s="3" t="str">
        <f>K186&amp;J186</f>
        <v>AF</v>
      </c>
      <c r="N186" s="3" t="e">
        <f>VLOOKUP(G186,#REF!,2,FALSE)</f>
        <v>#REF!</v>
      </c>
      <c r="O186" s="11">
        <v>45122</v>
      </c>
      <c r="P186" s="13">
        <v>19.600000000000001</v>
      </c>
      <c r="Q186" s="13">
        <v>14.7</v>
      </c>
      <c r="R186" s="13">
        <v>7.5</v>
      </c>
      <c r="S186" s="13">
        <f>Table2[[#This Row],[2_Temp_H]]-Table2[[#This Row],[2_Temp_L]]</f>
        <v>12.100000000000001</v>
      </c>
      <c r="T186" s="13">
        <v>29.8</v>
      </c>
      <c r="U186" s="13">
        <v>9.4</v>
      </c>
      <c r="V186" s="13">
        <v>1014.9</v>
      </c>
      <c r="W186" s="13">
        <v>1010.84</v>
      </c>
      <c r="X186" s="13">
        <v>0</v>
      </c>
      <c r="Y186" s="13" t="s">
        <v>147</v>
      </c>
      <c r="Z186" s="13" t="s">
        <v>139</v>
      </c>
      <c r="AA186" s="13" t="s">
        <v>26</v>
      </c>
      <c r="AB186" s="13" t="s">
        <v>144</v>
      </c>
      <c r="AC186" s="13" t="s">
        <v>146</v>
      </c>
      <c r="AD186" s="13" t="s">
        <v>137</v>
      </c>
      <c r="AE186" s="13">
        <f>VLOOKUP(Table2[[#This Row],[3_Elephant_ID]],'[1]Attributes(OUTDATED)'!$A$2:$N$19,12,FALSE)</f>
        <v>346</v>
      </c>
      <c r="AF186" s="13">
        <f>VLOOKUP(Table2[[#This Row],[3_Elephant_ID]],'[1]Attributes(OUTDATED)'!$A$2:$N$19,13,FALSE)</f>
        <v>0.28999999999999998</v>
      </c>
      <c r="AG186" s="13">
        <f>VLOOKUP(Table2[[#This Row],[3_Elephant_ID]],'[1]Attributes(OUTDATED)'!$A$2:$N$19,14,FALSE)</f>
        <v>0.28929989906834258</v>
      </c>
      <c r="AH186" s="13">
        <v>0</v>
      </c>
      <c r="AI186" s="13">
        <v>0</v>
      </c>
      <c r="AJ186" s="13">
        <v>0</v>
      </c>
      <c r="AK186" s="13">
        <v>0</v>
      </c>
      <c r="AL186" s="13">
        <f>VLOOKUP(Table2[[#This Row],[3_Elephant_ID]],'[1]Attributes(OUTDATED)'!$A$2:$P$19,16,FALSE)</f>
        <v>1</v>
      </c>
      <c r="AM186" s="13">
        <f>VLOOKUP(Table2[[#This Row],[3_Elephant_ID]],'[1]Attributes(OUTDATED)'!$A$2:$S$19,17,FALSE)</f>
        <v>11</v>
      </c>
      <c r="AN186" s="13">
        <f>VLOOKUP(Table2[[#This Row],[3_Elephant_ID]],'[1]Attributes(OUTDATED)'!$A$2:$S$19,18,FALSE)</f>
        <v>7</v>
      </c>
    </row>
    <row r="187" spans="1:40" ht="28" x14ac:dyDescent="0.15">
      <c r="A187" s="3">
        <v>87</v>
      </c>
      <c r="B187" s="6">
        <v>1707231226</v>
      </c>
      <c r="C187" s="7">
        <v>17</v>
      </c>
      <c r="D187" s="7">
        <v>7</v>
      </c>
      <c r="E187" s="7">
        <v>2023</v>
      </c>
      <c r="F187" s="5">
        <v>45124</v>
      </c>
      <c r="G187" s="6" t="s">
        <v>9</v>
      </c>
      <c r="H187" s="17">
        <v>0.33332061068702284</v>
      </c>
      <c r="I187" s="20">
        <f>ROUNDUP((Table2[[#This Row],[fGCM_Conc]]*10000),0)</f>
        <v>3334</v>
      </c>
      <c r="J187" s="3" t="str">
        <f>VLOOKUP(G187,'[1]Attributes(OUTDATED)'!$A$2:$C$19,2,FALSE)</f>
        <v>F</v>
      </c>
      <c r="K187" s="3" t="str">
        <f>VLOOKUP(G187,'[1]Attributes(OUTDATED)'!$A$2:$C$19,3,FALSE)</f>
        <v>J</v>
      </c>
      <c r="L187" s="3">
        <f>VLOOKUP(G187,'[1]Attributes(OUTDATED)'!$A$2:$H$19,8,FALSE)</f>
        <v>820</v>
      </c>
      <c r="M187" s="3" t="str">
        <f>K187&amp;J187</f>
        <v>JF</v>
      </c>
      <c r="N187" s="3" t="e">
        <f>VLOOKUP(G187,#REF!,2,FALSE)</f>
        <v>#REF!</v>
      </c>
      <c r="O187" s="11">
        <v>45122</v>
      </c>
      <c r="P187" s="13">
        <v>19.600000000000001</v>
      </c>
      <c r="Q187" s="13">
        <v>14.7</v>
      </c>
      <c r="R187" s="13">
        <v>7.5</v>
      </c>
      <c r="S187" s="13">
        <f>Table2[[#This Row],[2_Temp_H]]-Table2[[#This Row],[2_Temp_L]]</f>
        <v>12.100000000000001</v>
      </c>
      <c r="T187" s="13">
        <v>29.8</v>
      </c>
      <c r="U187" s="13">
        <v>9.4</v>
      </c>
      <c r="V187" s="13">
        <v>1014.9</v>
      </c>
      <c r="W187" s="13">
        <v>1010.84</v>
      </c>
      <c r="X187" s="13">
        <v>0</v>
      </c>
      <c r="Y187" s="13" t="s">
        <v>147</v>
      </c>
      <c r="Z187" s="13" t="s">
        <v>139</v>
      </c>
      <c r="AA187" s="13" t="s">
        <v>26</v>
      </c>
      <c r="AB187" s="13" t="s">
        <v>144</v>
      </c>
      <c r="AC187" s="13" t="s">
        <v>146</v>
      </c>
      <c r="AD187" s="13" t="s">
        <v>137</v>
      </c>
      <c r="AE187" s="13">
        <f>VLOOKUP(Table2[[#This Row],[3_Elephant_ID]],'[1]Attributes(OUTDATED)'!$A$2:$N$19,12,FALSE)</f>
        <v>305</v>
      </c>
      <c r="AF187" s="13">
        <f>VLOOKUP(Table2[[#This Row],[3_Elephant_ID]],'[1]Attributes(OUTDATED)'!$A$2:$N$19,13,FALSE)</f>
        <v>0.17499999999999999</v>
      </c>
      <c r="AG187" s="13">
        <f>VLOOKUP(Table2[[#This Row],[3_Elephant_ID]],'[1]Attributes(OUTDATED)'!$A$2:$N$19,14,FALSE)</f>
        <v>0.17467336145108631</v>
      </c>
      <c r="AH187" s="13">
        <v>0</v>
      </c>
      <c r="AI187" s="13">
        <v>0</v>
      </c>
      <c r="AJ187" s="13">
        <v>0</v>
      </c>
      <c r="AK187" s="13">
        <v>0</v>
      </c>
      <c r="AL187" s="13">
        <f>VLOOKUP(Table2[[#This Row],[3_Elephant_ID]],'[1]Attributes(OUTDATED)'!$A$2:$P$19,16,FALSE)</f>
        <v>2</v>
      </c>
      <c r="AM187" s="13">
        <f>VLOOKUP(Table2[[#This Row],[3_Elephant_ID]],'[1]Attributes(OUTDATED)'!$A$2:$S$19,17,FALSE)</f>
        <v>0</v>
      </c>
      <c r="AN187" s="13">
        <f>VLOOKUP(Table2[[#This Row],[3_Elephant_ID]],'[1]Attributes(OUTDATED)'!$A$2:$S$19,18,FALSE)</f>
        <v>4</v>
      </c>
    </row>
    <row r="188" spans="1:40" ht="28" x14ac:dyDescent="0.15">
      <c r="A188" s="3">
        <v>80</v>
      </c>
      <c r="B188" s="6">
        <v>1707231053</v>
      </c>
      <c r="C188" s="7">
        <v>17</v>
      </c>
      <c r="D188" s="7">
        <v>7</v>
      </c>
      <c r="E188" s="7">
        <v>2023</v>
      </c>
      <c r="F188" s="5">
        <v>45124</v>
      </c>
      <c r="G188" s="6" t="s">
        <v>12</v>
      </c>
      <c r="H188" s="17">
        <v>0.32922794117647058</v>
      </c>
      <c r="I188" s="20">
        <f>ROUNDUP((Table2[[#This Row],[fGCM_Conc]]*10000),0)</f>
        <v>3293</v>
      </c>
      <c r="J188" s="3" t="str">
        <f>VLOOKUP(G188,'[1]Attributes(OUTDATED)'!$A$2:$C$19,2,FALSE)</f>
        <v>M</v>
      </c>
      <c r="K188" s="3" t="str">
        <f>VLOOKUP(G188,'[1]Attributes(OUTDATED)'!$A$2:$C$19,3,FALSE)</f>
        <v>A</v>
      </c>
      <c r="L188" s="3">
        <f>VLOOKUP(G188,'[1]Attributes(OUTDATED)'!$A$2:$H$19,8,FALSE)</f>
        <v>1509</v>
      </c>
      <c r="M188" s="3" t="str">
        <f>K188&amp;J188</f>
        <v>AM</v>
      </c>
      <c r="N188" s="3" t="e">
        <f>VLOOKUP(G188,#REF!,2,FALSE)</f>
        <v>#REF!</v>
      </c>
      <c r="O188" s="11">
        <v>45122</v>
      </c>
      <c r="P188" s="13">
        <v>19.600000000000001</v>
      </c>
      <c r="Q188" s="13">
        <v>14.7</v>
      </c>
      <c r="R188" s="13">
        <v>7.5</v>
      </c>
      <c r="S188" s="13">
        <f>Table2[[#This Row],[2_Temp_H]]-Table2[[#This Row],[2_Temp_L]]</f>
        <v>12.100000000000001</v>
      </c>
      <c r="T188" s="13">
        <v>29.8</v>
      </c>
      <c r="U188" s="13">
        <v>9.4</v>
      </c>
      <c r="V188" s="13">
        <v>1014.9</v>
      </c>
      <c r="W188" s="13">
        <v>1010.84</v>
      </c>
      <c r="X188" s="13">
        <v>0</v>
      </c>
      <c r="Y188" s="13" t="s">
        <v>147</v>
      </c>
      <c r="Z188" s="13" t="s">
        <v>139</v>
      </c>
      <c r="AA188" s="13" t="s">
        <v>26</v>
      </c>
      <c r="AB188" s="13" t="s">
        <v>144</v>
      </c>
      <c r="AC188" s="13" t="s">
        <v>146</v>
      </c>
      <c r="AD188" s="13" t="s">
        <v>137</v>
      </c>
      <c r="AE188" s="13">
        <f>VLOOKUP(Table2[[#This Row],[3_Elephant_ID]],'[1]Attributes(OUTDATED)'!$A$2:$N$19,12,FALSE)</f>
        <v>450</v>
      </c>
      <c r="AF188" s="13">
        <f>VLOOKUP(Table2[[#This Row],[3_Elephant_ID]],'[1]Attributes(OUTDATED)'!$A$2:$N$19,13,FALSE)</f>
        <v>0.375</v>
      </c>
      <c r="AG188" s="13">
        <f>VLOOKUP(Table2[[#This Row],[3_Elephant_ID]],'[1]Attributes(OUTDATED)'!$A$2:$N$19,14,FALSE)</f>
        <v>0.37414375430996583</v>
      </c>
      <c r="AH188" s="13">
        <v>0</v>
      </c>
      <c r="AI188" s="13">
        <v>0</v>
      </c>
      <c r="AJ188" s="13">
        <v>0</v>
      </c>
      <c r="AK188" s="13">
        <v>0</v>
      </c>
      <c r="AL188" s="13">
        <f>VLOOKUP(Table2[[#This Row],[3_Elephant_ID]],'[1]Attributes(OUTDATED)'!$A$2:$P$19,16,FALSE)</f>
        <v>1</v>
      </c>
      <c r="AM188" s="13">
        <f>VLOOKUP(Table2[[#This Row],[3_Elephant_ID]],'[1]Attributes(OUTDATED)'!$A$2:$S$19,17,FALSE)</f>
        <v>48</v>
      </c>
      <c r="AN188" s="13">
        <f>VLOOKUP(Table2[[#This Row],[3_Elephant_ID]],'[1]Attributes(OUTDATED)'!$A$2:$S$19,18,FALSE)</f>
        <v>3</v>
      </c>
    </row>
    <row r="189" spans="1:40" ht="28" x14ac:dyDescent="0.15">
      <c r="A189" s="3">
        <v>86</v>
      </c>
      <c r="B189" s="6">
        <v>1707231217</v>
      </c>
      <c r="C189" s="7">
        <v>17</v>
      </c>
      <c r="D189" s="7">
        <v>7</v>
      </c>
      <c r="E189" s="7">
        <v>2023</v>
      </c>
      <c r="F189" s="5">
        <v>45124</v>
      </c>
      <c r="G189" s="6" t="s">
        <v>6</v>
      </c>
      <c r="H189" s="17">
        <v>0.28635338345864664</v>
      </c>
      <c r="I189" s="20">
        <f>ROUNDUP((Table2[[#This Row],[fGCM_Conc]]*10000),0)</f>
        <v>2864</v>
      </c>
      <c r="J189" s="3" t="str">
        <f>VLOOKUP(G189,'[1]Attributes(OUTDATED)'!$A$2:$C$19,2,FALSE)</f>
        <v>F</v>
      </c>
      <c r="K189" s="3" t="str">
        <f>VLOOKUP(G189,'[1]Attributes(OUTDATED)'!$A$2:$C$19,3,FALSE)</f>
        <v>A</v>
      </c>
      <c r="L189" s="3">
        <f>VLOOKUP(G189,'[1]Attributes(OUTDATED)'!$A$2:$H$19,8,FALSE)</f>
        <v>1168</v>
      </c>
      <c r="M189" s="3" t="str">
        <f>K189&amp;J189</f>
        <v>AF</v>
      </c>
      <c r="N189" s="3" t="e">
        <f>VLOOKUP(G189,#REF!,2,FALSE)</f>
        <v>#REF!</v>
      </c>
      <c r="O189" s="11">
        <v>45122</v>
      </c>
      <c r="P189" s="13">
        <v>19.600000000000001</v>
      </c>
      <c r="Q189" s="13">
        <v>14.7</v>
      </c>
      <c r="R189" s="13">
        <v>7.5</v>
      </c>
      <c r="S189" s="13">
        <f>Table2[[#This Row],[2_Temp_H]]-Table2[[#This Row],[2_Temp_L]]</f>
        <v>12.100000000000001</v>
      </c>
      <c r="T189" s="13">
        <v>29.8</v>
      </c>
      <c r="U189" s="13">
        <v>9.4</v>
      </c>
      <c r="V189" s="13">
        <v>1014.9</v>
      </c>
      <c r="W189" s="13">
        <v>1010.84</v>
      </c>
      <c r="X189" s="13">
        <v>0</v>
      </c>
      <c r="Y189" s="13" t="s">
        <v>147</v>
      </c>
      <c r="Z189" s="13" t="s">
        <v>139</v>
      </c>
      <c r="AA189" s="13" t="s">
        <v>26</v>
      </c>
      <c r="AB189" s="13" t="s">
        <v>144</v>
      </c>
      <c r="AC189" s="13" t="s">
        <v>146</v>
      </c>
      <c r="AD189" s="13" t="s">
        <v>137</v>
      </c>
      <c r="AE189" s="13">
        <f>VLOOKUP(Table2[[#This Row],[3_Elephant_ID]],'[1]Attributes(OUTDATED)'!$A$2:$N$19,12,FALSE)</f>
        <v>286</v>
      </c>
      <c r="AF189" s="13">
        <f>VLOOKUP(Table2[[#This Row],[3_Elephant_ID]],'[1]Attributes(OUTDATED)'!$A$2:$N$19,13,FALSE)</f>
        <v>0.26800000000000002</v>
      </c>
      <c r="AG189" s="13">
        <f>VLOOKUP(Table2[[#This Row],[3_Elephant_ID]],'[1]Attributes(OUTDATED)'!$A$2:$N$19,14,FALSE)</f>
        <v>0.26721028245328138</v>
      </c>
      <c r="AH189" s="13">
        <v>0</v>
      </c>
      <c r="AI189" s="13">
        <v>0</v>
      </c>
      <c r="AJ189" s="13">
        <v>0</v>
      </c>
      <c r="AK189" s="13">
        <v>0</v>
      </c>
      <c r="AL189" s="13">
        <f>VLOOKUP(Table2[[#This Row],[3_Elephant_ID]],'[1]Attributes(OUTDATED)'!$A$2:$P$19,16,FALSE)</f>
        <v>2</v>
      </c>
      <c r="AM189" s="13">
        <f>VLOOKUP(Table2[[#This Row],[3_Elephant_ID]],'[1]Attributes(OUTDATED)'!$A$2:$S$19,17,FALSE)</f>
        <v>12</v>
      </c>
      <c r="AN189" s="13">
        <f>VLOOKUP(Table2[[#This Row],[3_Elephant_ID]],'[1]Attributes(OUTDATED)'!$A$2:$S$19,18,FALSE)</f>
        <v>5</v>
      </c>
    </row>
    <row r="190" spans="1:40" ht="28" x14ac:dyDescent="0.15">
      <c r="A190" s="3">
        <v>83</v>
      </c>
      <c r="B190" s="6">
        <v>1707231152</v>
      </c>
      <c r="C190" s="7">
        <v>17</v>
      </c>
      <c r="D190" s="7">
        <v>7</v>
      </c>
      <c r="E190" s="7">
        <v>2023</v>
      </c>
      <c r="F190" s="5">
        <v>45124</v>
      </c>
      <c r="G190" s="6" t="s">
        <v>15</v>
      </c>
      <c r="H190" s="17">
        <v>0.25896810506566603</v>
      </c>
      <c r="I190" s="20">
        <f>ROUNDUP((Table2[[#This Row],[fGCM_Conc]]*10000),0)</f>
        <v>2590</v>
      </c>
      <c r="J190" s="3" t="str">
        <f>VLOOKUP(G190,'[1]Attributes(OUTDATED)'!$A$2:$C$19,2,FALSE)</f>
        <v>M</v>
      </c>
      <c r="K190" s="3" t="str">
        <f>VLOOKUP(G190,'[1]Attributes(OUTDATED)'!$A$2:$C$19,3,FALSE)</f>
        <v>J</v>
      </c>
      <c r="L190" s="3">
        <f>VLOOKUP(G190,'[1]Attributes(OUTDATED)'!$A$2:$H$19,8,FALSE)</f>
        <v>828</v>
      </c>
      <c r="M190" s="3" t="str">
        <f>K190&amp;J190</f>
        <v>JM</v>
      </c>
      <c r="N190" s="3" t="e">
        <f>VLOOKUP(G190,#REF!,2,FALSE)</f>
        <v>#REF!</v>
      </c>
      <c r="O190" s="11">
        <v>45122</v>
      </c>
      <c r="P190" s="13">
        <v>19.600000000000001</v>
      </c>
      <c r="Q190" s="13">
        <v>14.7</v>
      </c>
      <c r="R190" s="13">
        <v>7.5</v>
      </c>
      <c r="S190" s="13">
        <f>Table2[[#This Row],[2_Temp_H]]-Table2[[#This Row],[2_Temp_L]]</f>
        <v>12.100000000000001</v>
      </c>
      <c r="T190" s="13">
        <v>29.8</v>
      </c>
      <c r="U190" s="13">
        <v>9.4</v>
      </c>
      <c r="V190" s="13">
        <v>1014.9</v>
      </c>
      <c r="W190" s="13">
        <v>1010.84</v>
      </c>
      <c r="X190" s="13">
        <v>0</v>
      </c>
      <c r="Y190" s="13" t="s">
        <v>147</v>
      </c>
      <c r="Z190" s="13" t="s">
        <v>139</v>
      </c>
      <c r="AA190" s="13" t="s">
        <v>26</v>
      </c>
      <c r="AB190" s="13" t="s">
        <v>144</v>
      </c>
      <c r="AC190" s="13" t="s">
        <v>146</v>
      </c>
      <c r="AD190" s="13" t="s">
        <v>137</v>
      </c>
      <c r="AE190" s="13">
        <f>VLOOKUP(Table2[[#This Row],[3_Elephant_ID]],'[1]Attributes(OUTDATED)'!$A$2:$N$19,12,FALSE)</f>
        <v>219</v>
      </c>
      <c r="AF190" s="13">
        <f>VLOOKUP(Table2[[#This Row],[3_Elephant_ID]],'[1]Attributes(OUTDATED)'!$A$2:$N$19,13,FALSE)</f>
        <v>0.32300000000000001</v>
      </c>
      <c r="AG190" s="13">
        <f>VLOOKUP(Table2[[#This Row],[3_Elephant_ID]],'[1]Attributes(OUTDATED)'!$A$2:$N$19,14,FALSE)</f>
        <v>0.32257531484312868</v>
      </c>
      <c r="AH190" s="13">
        <v>0</v>
      </c>
      <c r="AI190" s="13">
        <v>0</v>
      </c>
      <c r="AJ190" s="13">
        <v>0</v>
      </c>
      <c r="AK190" s="13">
        <v>0</v>
      </c>
      <c r="AL190" s="13">
        <f>VLOOKUP(Table2[[#This Row],[3_Elephant_ID]],'[1]Attributes(OUTDATED)'!$A$2:$P$19,16,FALSE)</f>
        <v>2</v>
      </c>
      <c r="AM190" s="13">
        <f>VLOOKUP(Table2[[#This Row],[3_Elephant_ID]],'[1]Attributes(OUTDATED)'!$A$2:$S$19,17,FALSE)</f>
        <v>1</v>
      </c>
      <c r="AN190" s="13">
        <f>VLOOKUP(Table2[[#This Row],[3_Elephant_ID]],'[1]Attributes(OUTDATED)'!$A$2:$S$19,18,FALSE)</f>
        <v>6</v>
      </c>
    </row>
    <row r="191" spans="1:40" ht="28" x14ac:dyDescent="0.15">
      <c r="A191" s="3">
        <v>85</v>
      </c>
      <c r="B191" s="6">
        <v>1707231235</v>
      </c>
      <c r="C191" s="7">
        <v>17</v>
      </c>
      <c r="D191" s="7">
        <v>7</v>
      </c>
      <c r="E191" s="7">
        <v>2023</v>
      </c>
      <c r="F191" s="5">
        <v>45124</v>
      </c>
      <c r="G191" s="6" t="s">
        <v>13</v>
      </c>
      <c r="H191" s="17">
        <v>0.23491428571428571</v>
      </c>
      <c r="I191" s="20">
        <f>ROUNDUP((Table2[[#This Row],[fGCM_Conc]]*10000),0)</f>
        <v>2350</v>
      </c>
      <c r="J191" s="3" t="str">
        <f>VLOOKUP(G191,'[1]Attributes(OUTDATED)'!$A$2:$C$19,2,FALSE)</f>
        <v>F</v>
      </c>
      <c r="K191" s="3" t="str">
        <f>VLOOKUP(G191,'[1]Attributes(OUTDATED)'!$A$2:$C$19,3,FALSE)</f>
        <v>A</v>
      </c>
      <c r="L191" s="3">
        <f>VLOOKUP(G191,'[1]Attributes(OUTDATED)'!$A$2:$H$19,8,FALSE)</f>
        <v>963</v>
      </c>
      <c r="M191" s="3" t="str">
        <f>K191&amp;J191</f>
        <v>AF</v>
      </c>
      <c r="N191" s="3" t="e">
        <f>VLOOKUP(G191,#REF!,2,FALSE)</f>
        <v>#REF!</v>
      </c>
      <c r="O191" s="11">
        <v>45122</v>
      </c>
      <c r="P191" s="13">
        <v>19.600000000000001</v>
      </c>
      <c r="Q191" s="13">
        <v>14.7</v>
      </c>
      <c r="R191" s="13">
        <v>7.5</v>
      </c>
      <c r="S191" s="13">
        <f>Table2[[#This Row],[2_Temp_H]]-Table2[[#This Row],[2_Temp_L]]</f>
        <v>12.100000000000001</v>
      </c>
      <c r="T191" s="13">
        <v>29.8</v>
      </c>
      <c r="U191" s="13">
        <v>9.4</v>
      </c>
      <c r="V191" s="13">
        <v>1014.9</v>
      </c>
      <c r="W191" s="13">
        <v>1010.84</v>
      </c>
      <c r="X191" s="13">
        <v>0</v>
      </c>
      <c r="Y191" s="13" t="s">
        <v>147</v>
      </c>
      <c r="Z191" s="13" t="s">
        <v>139</v>
      </c>
      <c r="AA191" s="13" t="s">
        <v>26</v>
      </c>
      <c r="AB191" s="13" t="s">
        <v>144</v>
      </c>
      <c r="AC191" s="13" t="s">
        <v>146</v>
      </c>
      <c r="AD191" s="13" t="s">
        <v>137</v>
      </c>
      <c r="AE191" s="13">
        <f>VLOOKUP(Table2[[#This Row],[3_Elephant_ID]],'[1]Attributes(OUTDATED)'!$A$2:$N$19,12,FALSE)</f>
        <v>289</v>
      </c>
      <c r="AF191" s="13">
        <f>VLOOKUP(Table2[[#This Row],[3_Elephant_ID]],'[1]Attributes(OUTDATED)'!$A$2:$N$19,13,FALSE)</f>
        <v>0.32400000000000001</v>
      </c>
      <c r="AG191" s="13">
        <f>VLOOKUP(Table2[[#This Row],[3_Elephant_ID]],'[1]Attributes(OUTDATED)'!$A$2:$N$19,14,FALSE)</f>
        <v>0.32380809109629533</v>
      </c>
      <c r="AH191" s="13">
        <v>0</v>
      </c>
      <c r="AI191" s="13">
        <v>0</v>
      </c>
      <c r="AJ191" s="13">
        <v>0</v>
      </c>
      <c r="AK191" s="13">
        <v>0</v>
      </c>
      <c r="AL191" s="13">
        <f>VLOOKUP(Table2[[#This Row],[3_Elephant_ID]],'[1]Attributes(OUTDATED)'!$A$2:$P$19,16,FALSE)</f>
        <v>2</v>
      </c>
      <c r="AM191" s="13">
        <f>VLOOKUP(Table2[[#This Row],[3_Elephant_ID]],'[1]Attributes(OUTDATED)'!$A$2:$S$19,17,FALSE)</f>
        <v>9</v>
      </c>
      <c r="AN191" s="13">
        <f>VLOOKUP(Table2[[#This Row],[3_Elephant_ID]],'[1]Attributes(OUTDATED)'!$A$2:$S$19,18,FALSE)</f>
        <v>9</v>
      </c>
    </row>
    <row r="192" spans="1:40" ht="28" x14ac:dyDescent="0.15">
      <c r="A192" s="3">
        <v>88</v>
      </c>
      <c r="B192" s="6">
        <v>1707231151</v>
      </c>
      <c r="C192" s="7">
        <v>17</v>
      </c>
      <c r="D192" s="7">
        <v>7</v>
      </c>
      <c r="E192" s="7">
        <v>2023</v>
      </c>
      <c r="F192" s="5">
        <v>45124</v>
      </c>
      <c r="G192" s="6" t="s">
        <v>11</v>
      </c>
      <c r="H192" s="17">
        <v>0.23169847328244272</v>
      </c>
      <c r="I192" s="20">
        <f>ROUNDUP((Table2[[#This Row],[fGCM_Conc]]*10000),0)</f>
        <v>2317</v>
      </c>
      <c r="J192" s="3" t="str">
        <f>VLOOKUP(G192,'[1]Attributes(OUTDATED)'!$A$2:$C$19,2,FALSE)</f>
        <v>M</v>
      </c>
      <c r="K192" s="3" t="str">
        <f>VLOOKUP(G192,'[1]Attributes(OUTDATED)'!$A$2:$C$19,3,FALSE)</f>
        <v>A</v>
      </c>
      <c r="L192" s="3">
        <f>VLOOKUP(G192,'[1]Attributes(OUTDATED)'!$A$2:$H$19,8,FALSE)</f>
        <v>1223</v>
      </c>
      <c r="M192" s="3" t="str">
        <f>K192&amp;J192</f>
        <v>AM</v>
      </c>
      <c r="N192" s="3" t="e">
        <f>VLOOKUP(G192,#REF!,2,FALSE)</f>
        <v>#REF!</v>
      </c>
      <c r="O192" s="11">
        <v>45122</v>
      </c>
      <c r="P192" s="13">
        <v>19.600000000000001</v>
      </c>
      <c r="Q192" s="13">
        <v>14.7</v>
      </c>
      <c r="R192" s="13">
        <v>7.5</v>
      </c>
      <c r="S192" s="13">
        <f>Table2[[#This Row],[2_Temp_H]]-Table2[[#This Row],[2_Temp_L]]</f>
        <v>12.100000000000001</v>
      </c>
      <c r="T192" s="13">
        <v>29.8</v>
      </c>
      <c r="U192" s="13">
        <v>9.4</v>
      </c>
      <c r="V192" s="13">
        <v>1014.9</v>
      </c>
      <c r="W192" s="13">
        <v>1010.84</v>
      </c>
      <c r="X192" s="13">
        <v>0</v>
      </c>
      <c r="Y192" s="13" t="s">
        <v>147</v>
      </c>
      <c r="Z192" s="13" t="s">
        <v>139</v>
      </c>
      <c r="AA192" s="13" t="s">
        <v>26</v>
      </c>
      <c r="AB192" s="13" t="s">
        <v>144</v>
      </c>
      <c r="AC192" s="13" t="s">
        <v>146</v>
      </c>
      <c r="AD192" s="13" t="s">
        <v>137</v>
      </c>
      <c r="AE192" s="13">
        <f>VLOOKUP(Table2[[#This Row],[3_Elephant_ID]],'[1]Attributes(OUTDATED)'!$A$2:$N$19,12,FALSE)</f>
        <v>404</v>
      </c>
      <c r="AF192" s="13">
        <f>VLOOKUP(Table2[[#This Row],[3_Elephant_ID]],'[1]Attributes(OUTDATED)'!$A$2:$N$19,13,FALSE)</f>
        <v>0.91700000000000004</v>
      </c>
      <c r="AG192" s="13">
        <f>VLOOKUP(Table2[[#This Row],[3_Elephant_ID]],'[1]Attributes(OUTDATED)'!$A$2:$N$19,14,FALSE)</f>
        <v>0.91664628583929353</v>
      </c>
      <c r="AH192" s="13">
        <v>0</v>
      </c>
      <c r="AI192" s="13">
        <v>0</v>
      </c>
      <c r="AJ192" s="13">
        <v>0</v>
      </c>
      <c r="AK192" s="13">
        <v>0</v>
      </c>
      <c r="AL192" s="13">
        <f>VLOOKUP(Table2[[#This Row],[3_Elephant_ID]],'[1]Attributes(OUTDATED)'!$A$2:$P$19,16,FALSE)</f>
        <v>1</v>
      </c>
      <c r="AM192" s="13">
        <f>VLOOKUP(Table2[[#This Row],[3_Elephant_ID]],'[1]Attributes(OUTDATED)'!$A$2:$S$19,17,FALSE)</f>
        <v>14</v>
      </c>
      <c r="AN192" s="13">
        <f>VLOOKUP(Table2[[#This Row],[3_Elephant_ID]],'[1]Attributes(OUTDATED)'!$A$2:$S$19,18,FALSE)</f>
        <v>17</v>
      </c>
    </row>
    <row r="193" spans="1:40" ht="28" x14ac:dyDescent="0.15">
      <c r="A193" s="3">
        <v>84</v>
      </c>
      <c r="B193" s="6">
        <v>1707231236</v>
      </c>
      <c r="C193" s="7">
        <v>17</v>
      </c>
      <c r="D193" s="7">
        <v>7</v>
      </c>
      <c r="E193" s="7">
        <v>2023</v>
      </c>
      <c r="F193" s="5">
        <v>45124</v>
      </c>
      <c r="G193" s="6" t="s">
        <v>31</v>
      </c>
      <c r="H193" s="17">
        <v>0.18648956356736246</v>
      </c>
      <c r="I193" s="20">
        <f>ROUNDUP((Table2[[#This Row],[fGCM_Conc]]*10000),0)</f>
        <v>1865</v>
      </c>
      <c r="J193" s="3" t="str">
        <f>VLOOKUP(G193,'[1]Attributes(OUTDATED)'!$A$2:$C$19,2,FALSE)</f>
        <v>F</v>
      </c>
      <c r="K193" s="3" t="str">
        <f>VLOOKUP(G193,'[1]Attributes(OUTDATED)'!$A$2:$C$19,3,FALSE)</f>
        <v>J</v>
      </c>
      <c r="L193" s="3">
        <f>VLOOKUP(G193,'[1]Attributes(OUTDATED)'!$A$2:$H$19,8,FALSE)</f>
        <v>765</v>
      </c>
      <c r="M193" s="3" t="str">
        <f>K193&amp;J193</f>
        <v>JF</v>
      </c>
      <c r="N193" s="3" t="e">
        <f>VLOOKUP(G193,#REF!,2,FALSE)</f>
        <v>#REF!</v>
      </c>
      <c r="O193" s="11">
        <v>45122</v>
      </c>
      <c r="P193" s="13">
        <v>19.600000000000001</v>
      </c>
      <c r="Q193" s="13">
        <v>14.7</v>
      </c>
      <c r="R193" s="13">
        <v>7.5</v>
      </c>
      <c r="S193" s="13">
        <f>Table2[[#This Row],[2_Temp_H]]-Table2[[#This Row],[2_Temp_L]]</f>
        <v>12.100000000000001</v>
      </c>
      <c r="T193" s="13">
        <v>29.8</v>
      </c>
      <c r="U193" s="13">
        <v>9.4</v>
      </c>
      <c r="V193" s="13">
        <v>1014.9</v>
      </c>
      <c r="W193" s="13">
        <v>1010.84</v>
      </c>
      <c r="X193" s="13">
        <v>0</v>
      </c>
      <c r="Y193" s="13" t="s">
        <v>147</v>
      </c>
      <c r="Z193" s="13" t="s">
        <v>139</v>
      </c>
      <c r="AA193" s="13" t="s">
        <v>26</v>
      </c>
      <c r="AB193" s="13" t="s">
        <v>144</v>
      </c>
      <c r="AC193" s="13" t="s">
        <v>146</v>
      </c>
      <c r="AD193" s="13" t="s">
        <v>137</v>
      </c>
      <c r="AE193" s="13">
        <f>VLOOKUP(Table2[[#This Row],[3_Elephant_ID]],'[1]Attributes(OUTDATED)'!$A$2:$N$19,12,FALSE)</f>
        <v>258</v>
      </c>
      <c r="AF193" s="13">
        <f>VLOOKUP(Table2[[#This Row],[3_Elephant_ID]],'[1]Attributes(OUTDATED)'!$A$2:$N$19,13,FALSE)</f>
        <v>0.25700000000000001</v>
      </c>
      <c r="AG193" s="13">
        <f>VLOOKUP(Table2[[#This Row],[3_Elephant_ID]],'[1]Attributes(OUTDATED)'!$A$2:$N$19,14,FALSE)</f>
        <v>0.25665547185998128</v>
      </c>
      <c r="AH193" s="13">
        <v>0</v>
      </c>
      <c r="AI193" s="13">
        <v>0</v>
      </c>
      <c r="AJ193" s="13">
        <v>0</v>
      </c>
      <c r="AK193" s="13">
        <v>0</v>
      </c>
      <c r="AL193" s="13">
        <f>VLOOKUP(Table2[[#This Row],[3_Elephant_ID]],'[1]Attributes(OUTDATED)'!$A$2:$P$19,16,FALSE)</f>
        <v>2</v>
      </c>
      <c r="AM193" s="13">
        <f>VLOOKUP(Table2[[#This Row],[3_Elephant_ID]],'[1]Attributes(OUTDATED)'!$A$2:$S$19,17,FALSE)</f>
        <v>1</v>
      </c>
      <c r="AN193" s="13">
        <f>VLOOKUP(Table2[[#This Row],[3_Elephant_ID]],'[1]Attributes(OUTDATED)'!$A$2:$S$19,18,FALSE)</f>
        <v>10</v>
      </c>
    </row>
    <row r="194" spans="1:40" ht="28" x14ac:dyDescent="0.15">
      <c r="A194" s="3">
        <v>81</v>
      </c>
      <c r="B194" s="6">
        <v>1707231113</v>
      </c>
      <c r="C194" s="7">
        <v>17</v>
      </c>
      <c r="D194" s="7">
        <v>7</v>
      </c>
      <c r="E194" s="7">
        <v>2023</v>
      </c>
      <c r="F194" s="5">
        <v>45124</v>
      </c>
      <c r="G194" s="6" t="s">
        <v>17</v>
      </c>
      <c r="H194" s="17">
        <v>0.15077777777777779</v>
      </c>
      <c r="I194" s="20">
        <f>ROUNDUP((Table2[[#This Row],[fGCM_Conc]]*10000),0)</f>
        <v>1508</v>
      </c>
      <c r="J194" s="3" t="str">
        <f>VLOOKUP(G194,'[1]Attributes(OUTDATED)'!$A$2:$C$19,2,FALSE)</f>
        <v>M</v>
      </c>
      <c r="K194" s="3" t="str">
        <f>VLOOKUP(G194,'[1]Attributes(OUTDATED)'!$A$2:$C$19,3,FALSE)</f>
        <v>J</v>
      </c>
      <c r="L194" s="3">
        <f>VLOOKUP(G194,'[1]Attributes(OUTDATED)'!$A$2:$H$19,8,FALSE)</f>
        <v>699</v>
      </c>
      <c r="M194" s="3" t="str">
        <f>K194&amp;J194</f>
        <v>JM</v>
      </c>
      <c r="N194" s="3" t="e">
        <f>VLOOKUP(G194,#REF!,2,FALSE)</f>
        <v>#REF!</v>
      </c>
      <c r="O194" s="11">
        <v>45122</v>
      </c>
      <c r="P194" s="13">
        <v>19.600000000000001</v>
      </c>
      <c r="Q194" s="13">
        <v>14.7</v>
      </c>
      <c r="R194" s="13">
        <v>7.5</v>
      </c>
      <c r="S194" s="13">
        <f>Table2[[#This Row],[2_Temp_H]]-Table2[[#This Row],[2_Temp_L]]</f>
        <v>12.100000000000001</v>
      </c>
      <c r="T194" s="13">
        <v>29.8</v>
      </c>
      <c r="U194" s="13">
        <v>9.4</v>
      </c>
      <c r="V194" s="13">
        <v>1014.9</v>
      </c>
      <c r="W194" s="13">
        <v>1010.84</v>
      </c>
      <c r="X194" s="13">
        <v>0</v>
      </c>
      <c r="Y194" s="13" t="s">
        <v>147</v>
      </c>
      <c r="Z194" s="13" t="s">
        <v>139</v>
      </c>
      <c r="AA194" s="13" t="s">
        <v>26</v>
      </c>
      <c r="AB194" s="13" t="s">
        <v>144</v>
      </c>
      <c r="AC194" s="13" t="s">
        <v>146</v>
      </c>
      <c r="AD194" s="13" t="s">
        <v>137</v>
      </c>
      <c r="AE194" s="13">
        <f>VLOOKUP(Table2[[#This Row],[3_Elephant_ID]],'[1]Attributes(OUTDATED)'!$A$2:$N$19,12,FALSE)</f>
        <v>343</v>
      </c>
      <c r="AF194" s="13">
        <f>VLOOKUP(Table2[[#This Row],[3_Elephant_ID]],'[1]Attributes(OUTDATED)'!$A$2:$N$19,13,FALSE)</f>
        <v>0.81</v>
      </c>
      <c r="AG194" s="13">
        <f>VLOOKUP(Table2[[#This Row],[3_Elephant_ID]],'[1]Attributes(OUTDATED)'!$A$2:$N$19,14,FALSE)</f>
        <v>0.80966774571167055</v>
      </c>
      <c r="AH194" s="13">
        <v>0</v>
      </c>
      <c r="AI194" s="13">
        <v>0</v>
      </c>
      <c r="AJ194" s="13">
        <v>0</v>
      </c>
      <c r="AK194" s="13">
        <v>0</v>
      </c>
      <c r="AL194" s="13">
        <f>VLOOKUP(Table2[[#This Row],[3_Elephant_ID]],'[1]Attributes(OUTDATED)'!$A$2:$P$19,16,FALSE)</f>
        <v>1</v>
      </c>
      <c r="AM194" s="13">
        <f>VLOOKUP(Table2[[#This Row],[3_Elephant_ID]],'[1]Attributes(OUTDATED)'!$A$2:$S$19,17,FALSE)</f>
        <v>0</v>
      </c>
      <c r="AN194" s="13">
        <f>VLOOKUP(Table2[[#This Row],[3_Elephant_ID]],'[1]Attributes(OUTDATED)'!$A$2:$S$19,18,FALSE)</f>
        <v>8</v>
      </c>
    </row>
    <row r="195" spans="1:40" ht="28" x14ac:dyDescent="0.15">
      <c r="A195" s="3">
        <v>79</v>
      </c>
      <c r="B195" s="6">
        <v>2007231139</v>
      </c>
      <c r="C195" s="7">
        <v>20</v>
      </c>
      <c r="D195" s="7">
        <v>7</v>
      </c>
      <c r="E195" s="7">
        <v>2023</v>
      </c>
      <c r="F195" s="5">
        <v>45127</v>
      </c>
      <c r="G195" s="6" t="s">
        <v>4</v>
      </c>
      <c r="H195" s="17">
        <v>0.2911111111111111</v>
      </c>
      <c r="I195" s="20">
        <f>ROUNDUP((Table2[[#This Row],[fGCM_Conc]]*10000),0)</f>
        <v>2912</v>
      </c>
      <c r="J195" s="3" t="str">
        <f>VLOOKUP(G195,'[1]Attributes(OUTDATED)'!$A$2:$C$19,2,FALSE)</f>
        <v>M</v>
      </c>
      <c r="K195" s="3" t="str">
        <f>VLOOKUP(G195,'[1]Attributes(OUTDATED)'!$A$2:$C$19,3,FALSE)</f>
        <v>J</v>
      </c>
      <c r="L195" s="3">
        <f>VLOOKUP(G195,'[1]Attributes(OUTDATED)'!$A$2:$H$19,8,FALSE)</f>
        <v>1055</v>
      </c>
      <c r="M195" s="3" t="str">
        <f>K195&amp;J195</f>
        <v>JM</v>
      </c>
      <c r="N195" s="3" t="e">
        <f>VLOOKUP(G195,#REF!,2,FALSE)</f>
        <v>#REF!</v>
      </c>
      <c r="O195" s="11">
        <v>45125</v>
      </c>
      <c r="P195" s="13">
        <v>24.1</v>
      </c>
      <c r="Q195" s="13">
        <v>18.8</v>
      </c>
      <c r="R195" s="13">
        <v>11.2</v>
      </c>
      <c r="S195" s="13">
        <f>Table2[[#This Row],[2_Temp_H]]-Table2[[#This Row],[2_Temp_L]]</f>
        <v>12.900000000000002</v>
      </c>
      <c r="T195" s="13">
        <v>55</v>
      </c>
      <c r="U195" s="13">
        <v>12.3</v>
      </c>
      <c r="V195" s="13">
        <v>1015.92</v>
      </c>
      <c r="W195" s="13">
        <v>1009.82</v>
      </c>
      <c r="X195" s="13">
        <v>0</v>
      </c>
      <c r="Y195" s="13" t="s">
        <v>147</v>
      </c>
      <c r="Z195" s="13" t="s">
        <v>139</v>
      </c>
      <c r="AA195" s="13" t="s">
        <v>26</v>
      </c>
      <c r="AB195" s="13" t="s">
        <v>144</v>
      </c>
      <c r="AC195" s="13" t="s">
        <v>146</v>
      </c>
      <c r="AD195" s="13" t="s">
        <v>137</v>
      </c>
      <c r="AE195" s="13">
        <f>VLOOKUP(Table2[[#This Row],[3_Elephant_ID]],'[1]Attributes(OUTDATED)'!$A$2:$N$19,12,FALSE)</f>
        <v>181</v>
      </c>
      <c r="AF195" s="13">
        <f>VLOOKUP(Table2[[#This Row],[3_Elephant_ID]],'[1]Attributes(OUTDATED)'!$A$2:$N$19,13,FALSE)</f>
        <v>7.3999999999999996E-2</v>
      </c>
      <c r="AG195" s="13">
        <f>VLOOKUP(Table2[[#This Row],[3_Elephant_ID]],'[1]Attributes(OUTDATED)'!$A$2:$N$19,14,FALSE)</f>
        <v>7.3914663535330896E-2</v>
      </c>
      <c r="AH195" s="13">
        <v>0</v>
      </c>
      <c r="AI195" s="13">
        <v>0</v>
      </c>
      <c r="AJ195" s="13">
        <v>0</v>
      </c>
      <c r="AK195" s="13">
        <v>0</v>
      </c>
      <c r="AL195" s="13">
        <f>VLOOKUP(Table2[[#This Row],[3_Elephant_ID]],'[1]Attributes(OUTDATED)'!$A$2:$P$19,16,FALSE)</f>
        <v>1</v>
      </c>
      <c r="AM195" s="13">
        <f>VLOOKUP(Table2[[#This Row],[3_Elephant_ID]],'[1]Attributes(OUTDATED)'!$A$2:$S$19,17,FALSE)</f>
        <v>7</v>
      </c>
      <c r="AN195" s="13">
        <f>VLOOKUP(Table2[[#This Row],[3_Elephant_ID]],'[1]Attributes(OUTDATED)'!$A$2:$S$19,18,FALSE)</f>
        <v>9</v>
      </c>
    </row>
    <row r="196" spans="1:40" ht="28" x14ac:dyDescent="0.15">
      <c r="A196" s="3">
        <v>197</v>
      </c>
      <c r="B196" s="6">
        <v>2207231213</v>
      </c>
      <c r="C196" s="7">
        <v>22</v>
      </c>
      <c r="D196" s="7">
        <v>7</v>
      </c>
      <c r="E196" s="7">
        <v>2023</v>
      </c>
      <c r="F196" s="5">
        <v>45129</v>
      </c>
      <c r="G196" s="6" t="s">
        <v>14</v>
      </c>
      <c r="H196" s="17">
        <v>0.47691011235955061</v>
      </c>
      <c r="I196" s="20">
        <f>ROUNDUP((Table2[[#This Row],[fGCM_Conc]]*10000),0)</f>
        <v>4770</v>
      </c>
      <c r="J196" s="3" t="str">
        <f>VLOOKUP(G196,'[1]Attributes(OUTDATED)'!$A$2:$C$19,2,FALSE)</f>
        <v>F</v>
      </c>
      <c r="K196" s="3" t="str">
        <f>VLOOKUP(G196,'[1]Attributes(OUTDATED)'!$A$2:$C$19,3,FALSE)</f>
        <v>J</v>
      </c>
      <c r="L196" s="3">
        <f>VLOOKUP(G196,'[1]Attributes(OUTDATED)'!$A$2:$H$19,8,FALSE)</f>
        <v>879</v>
      </c>
      <c r="M196" s="3" t="str">
        <f>K196&amp;J196</f>
        <v>JF</v>
      </c>
      <c r="N196" s="3" t="e">
        <f>VLOOKUP(G196,#REF!,2,FALSE)</f>
        <v>#REF!</v>
      </c>
      <c r="O196" s="11">
        <v>45127</v>
      </c>
      <c r="P196" s="13">
        <v>8.9</v>
      </c>
      <c r="Q196" s="13">
        <v>4.5</v>
      </c>
      <c r="R196" s="13">
        <v>2.4</v>
      </c>
      <c r="S196" s="13">
        <f>Table2[[#This Row],[2_Temp_H]]-Table2[[#This Row],[2_Temp_L]]</f>
        <v>6.5</v>
      </c>
      <c r="T196" s="13">
        <v>24.5</v>
      </c>
      <c r="U196" s="13">
        <v>4.0999999999999996</v>
      </c>
      <c r="V196" s="13">
        <v>1026.08</v>
      </c>
      <c r="W196" s="13">
        <v>1024.04</v>
      </c>
      <c r="X196" s="13">
        <v>0.25</v>
      </c>
      <c r="Y196" s="13" t="s">
        <v>147</v>
      </c>
      <c r="Z196" s="16" t="s">
        <v>171</v>
      </c>
      <c r="AA196" s="13" t="s">
        <v>137</v>
      </c>
      <c r="AB196" s="13" t="s">
        <v>144</v>
      </c>
      <c r="AC196" s="13" t="s">
        <v>146</v>
      </c>
      <c r="AD196" s="13" t="s">
        <v>137</v>
      </c>
      <c r="AE196" s="13">
        <f>VLOOKUP(Table2[[#This Row],[3_Elephant_ID]],'[1]Attributes(OUTDATED)'!$A$2:$N$19,12,FALSE)</f>
        <v>269</v>
      </c>
      <c r="AF196" s="13">
        <f>VLOOKUP(Table2[[#This Row],[3_Elephant_ID]],'[1]Attributes(OUTDATED)'!$A$2:$N$19,13,FALSE)</f>
        <v>0.65800000000000003</v>
      </c>
      <c r="AG196" s="13">
        <f>VLOOKUP(Table2[[#This Row],[3_Elephant_ID]],'[1]Attributes(OUTDATED)'!$A$2:$N$19,14,FALSE)</f>
        <v>0.65767064449315993</v>
      </c>
      <c r="AH196" s="13">
        <v>1</v>
      </c>
      <c r="AI196" s="13">
        <v>0</v>
      </c>
      <c r="AJ196" s="13">
        <v>0</v>
      </c>
      <c r="AK196" s="13">
        <v>0</v>
      </c>
      <c r="AL196" s="13">
        <f>VLOOKUP(Table2[[#This Row],[3_Elephant_ID]],'[1]Attributes(OUTDATED)'!$A$2:$P$19,16,FALSE)</f>
        <v>1</v>
      </c>
      <c r="AM196" s="13">
        <f>VLOOKUP(Table2[[#This Row],[3_Elephant_ID]],'[1]Attributes(OUTDATED)'!$A$2:$S$19,17,FALSE)</f>
        <v>3</v>
      </c>
      <c r="AN196" s="13">
        <f>VLOOKUP(Table2[[#This Row],[3_Elephant_ID]],'[1]Attributes(OUTDATED)'!$A$2:$S$19,18,FALSE)</f>
        <v>9</v>
      </c>
    </row>
    <row r="197" spans="1:40" ht="28" x14ac:dyDescent="0.15">
      <c r="A197" s="3">
        <v>195</v>
      </c>
      <c r="B197" s="6">
        <v>2207231337</v>
      </c>
      <c r="C197" s="7">
        <v>22</v>
      </c>
      <c r="D197" s="7">
        <v>7</v>
      </c>
      <c r="E197" s="7">
        <v>2023</v>
      </c>
      <c r="F197" s="5">
        <v>45129</v>
      </c>
      <c r="G197" s="6" t="s">
        <v>12</v>
      </c>
      <c r="H197" s="17">
        <v>0.36956848030018763</v>
      </c>
      <c r="I197" s="20">
        <f>ROUNDUP((Table2[[#This Row],[fGCM_Conc]]*10000),0)</f>
        <v>3696</v>
      </c>
      <c r="J197" s="3" t="str">
        <f>VLOOKUP(G197,'[1]Attributes(OUTDATED)'!$A$2:$C$19,2,FALSE)</f>
        <v>M</v>
      </c>
      <c r="K197" s="3" t="str">
        <f>VLOOKUP(G197,'[1]Attributes(OUTDATED)'!$A$2:$C$19,3,FALSE)</f>
        <v>A</v>
      </c>
      <c r="L197" s="3">
        <f>VLOOKUP(G197,'[1]Attributes(OUTDATED)'!$A$2:$H$19,8,FALSE)</f>
        <v>1509</v>
      </c>
      <c r="M197" s="3" t="str">
        <f>K197&amp;J197</f>
        <v>AM</v>
      </c>
      <c r="N197" s="3" t="e">
        <f>VLOOKUP(G197,#REF!,2,FALSE)</f>
        <v>#REF!</v>
      </c>
      <c r="O197" s="11">
        <v>45127</v>
      </c>
      <c r="P197" s="13">
        <v>8.9</v>
      </c>
      <c r="Q197" s="13">
        <v>4.5</v>
      </c>
      <c r="R197" s="13">
        <v>2.4</v>
      </c>
      <c r="S197" s="13">
        <f>Table2[[#This Row],[2_Temp_H]]-Table2[[#This Row],[2_Temp_L]]</f>
        <v>6.5</v>
      </c>
      <c r="T197" s="13">
        <v>24.5</v>
      </c>
      <c r="U197" s="13">
        <v>4.0999999999999996</v>
      </c>
      <c r="V197" s="13">
        <v>1026.08</v>
      </c>
      <c r="W197" s="13">
        <v>1024.04</v>
      </c>
      <c r="X197" s="13">
        <v>0.25</v>
      </c>
      <c r="Y197" s="13" t="s">
        <v>147</v>
      </c>
      <c r="Z197" s="16" t="s">
        <v>171</v>
      </c>
      <c r="AA197" s="13" t="s">
        <v>137</v>
      </c>
      <c r="AB197" s="13" t="s">
        <v>144</v>
      </c>
      <c r="AC197" s="13" t="s">
        <v>146</v>
      </c>
      <c r="AD197" s="13" t="s">
        <v>137</v>
      </c>
      <c r="AE197" s="13">
        <f>VLOOKUP(Table2[[#This Row],[3_Elephant_ID]],'[1]Attributes(OUTDATED)'!$A$2:$N$19,12,FALSE)</f>
        <v>450</v>
      </c>
      <c r="AF197" s="13">
        <f>VLOOKUP(Table2[[#This Row],[3_Elephant_ID]],'[1]Attributes(OUTDATED)'!$A$2:$N$19,13,FALSE)</f>
        <v>0.375</v>
      </c>
      <c r="AG197" s="13">
        <f>VLOOKUP(Table2[[#This Row],[3_Elephant_ID]],'[1]Attributes(OUTDATED)'!$A$2:$N$19,14,FALSE)</f>
        <v>0.37414375430996583</v>
      </c>
      <c r="AH197" s="13">
        <v>1</v>
      </c>
      <c r="AI197" s="13">
        <v>0</v>
      </c>
      <c r="AJ197" s="13">
        <v>0</v>
      </c>
      <c r="AK197" s="13">
        <v>0</v>
      </c>
      <c r="AL197" s="13">
        <f>VLOOKUP(Table2[[#This Row],[3_Elephant_ID]],'[1]Attributes(OUTDATED)'!$A$2:$P$19,16,FALSE)</f>
        <v>1</v>
      </c>
      <c r="AM197" s="13">
        <f>VLOOKUP(Table2[[#This Row],[3_Elephant_ID]],'[1]Attributes(OUTDATED)'!$A$2:$S$19,17,FALSE)</f>
        <v>48</v>
      </c>
      <c r="AN197" s="13">
        <f>VLOOKUP(Table2[[#This Row],[3_Elephant_ID]],'[1]Attributes(OUTDATED)'!$A$2:$S$19,18,FALSE)</f>
        <v>3</v>
      </c>
    </row>
    <row r="198" spans="1:40" ht="28" x14ac:dyDescent="0.15">
      <c r="A198" s="3">
        <v>196</v>
      </c>
      <c r="B198" s="6">
        <v>2207231309</v>
      </c>
      <c r="C198" s="7">
        <v>22</v>
      </c>
      <c r="D198" s="7">
        <v>7</v>
      </c>
      <c r="E198" s="7">
        <v>2023</v>
      </c>
      <c r="F198" s="5">
        <v>45129</v>
      </c>
      <c r="G198" s="6" t="s">
        <v>10</v>
      </c>
      <c r="H198" s="17">
        <v>0.36618525896414333</v>
      </c>
      <c r="I198" s="20">
        <f>ROUNDUP((Table2[[#This Row],[fGCM_Conc]]*10000),0)</f>
        <v>3662</v>
      </c>
      <c r="J198" s="3" t="str">
        <f>VLOOKUP(G198,'[1]Attributes(OUTDATED)'!$A$2:$C$19,2,FALSE)</f>
        <v>F</v>
      </c>
      <c r="K198" s="3" t="str">
        <f>VLOOKUP(G198,'[1]Attributes(OUTDATED)'!$A$2:$C$19,3,FALSE)</f>
        <v>A</v>
      </c>
      <c r="L198" s="3">
        <f>VLOOKUP(G198,'[1]Attributes(OUTDATED)'!$A$2:$H$19,8,FALSE)</f>
        <v>1146</v>
      </c>
      <c r="M198" s="3" t="str">
        <f>K198&amp;J198</f>
        <v>AF</v>
      </c>
      <c r="N198" s="3" t="e">
        <f>VLOOKUP(G198,#REF!,2,FALSE)</f>
        <v>#REF!</v>
      </c>
      <c r="O198" s="11">
        <v>45127</v>
      </c>
      <c r="P198" s="13">
        <v>8.9</v>
      </c>
      <c r="Q198" s="13">
        <v>4.5</v>
      </c>
      <c r="R198" s="13">
        <v>2.4</v>
      </c>
      <c r="S198" s="13">
        <f>Table2[[#This Row],[2_Temp_H]]-Table2[[#This Row],[2_Temp_L]]</f>
        <v>6.5</v>
      </c>
      <c r="T198" s="13">
        <v>24.5</v>
      </c>
      <c r="U198" s="13">
        <v>4.0999999999999996</v>
      </c>
      <c r="V198" s="13">
        <v>1026.08</v>
      </c>
      <c r="W198" s="13">
        <v>1024.04</v>
      </c>
      <c r="X198" s="13">
        <v>0.25</v>
      </c>
      <c r="Y198" s="13" t="s">
        <v>147</v>
      </c>
      <c r="Z198" s="16" t="s">
        <v>171</v>
      </c>
      <c r="AA198" s="13" t="s">
        <v>137</v>
      </c>
      <c r="AB198" s="13" t="s">
        <v>144</v>
      </c>
      <c r="AC198" s="13" t="s">
        <v>146</v>
      </c>
      <c r="AD198" s="13" t="s">
        <v>137</v>
      </c>
      <c r="AE198" s="13">
        <f>VLOOKUP(Table2[[#This Row],[3_Elephant_ID]],'[1]Attributes(OUTDATED)'!$A$2:$N$19,12,FALSE)</f>
        <v>424</v>
      </c>
      <c r="AF198" s="13">
        <f>VLOOKUP(Table2[[#This Row],[3_Elephant_ID]],'[1]Attributes(OUTDATED)'!$A$2:$N$19,13,FALSE)</f>
        <v>0.10299999999999999</v>
      </c>
      <c r="AG198" s="13">
        <f>VLOOKUP(Table2[[#This Row],[3_Elephant_ID]],'[1]Attributes(OUTDATED)'!$A$2:$N$19,14,FALSE)</f>
        <v>0.10282190709599449</v>
      </c>
      <c r="AH198" s="13">
        <v>1</v>
      </c>
      <c r="AI198" s="13">
        <v>0</v>
      </c>
      <c r="AJ198" s="13">
        <v>0</v>
      </c>
      <c r="AK198" s="13">
        <v>0</v>
      </c>
      <c r="AL198" s="13">
        <f>VLOOKUP(Table2[[#This Row],[3_Elephant_ID]],'[1]Attributes(OUTDATED)'!$A$2:$P$19,16,FALSE)</f>
        <v>1</v>
      </c>
      <c r="AM198" s="13">
        <f>VLOOKUP(Table2[[#This Row],[3_Elephant_ID]],'[1]Attributes(OUTDATED)'!$A$2:$S$19,17,FALSE)</f>
        <v>9</v>
      </c>
      <c r="AN198" s="13">
        <f>VLOOKUP(Table2[[#This Row],[3_Elephant_ID]],'[1]Attributes(OUTDATED)'!$A$2:$S$19,18,FALSE)</f>
        <v>8</v>
      </c>
    </row>
    <row r="199" spans="1:40" ht="28" x14ac:dyDescent="0.15">
      <c r="A199" s="3">
        <v>199</v>
      </c>
      <c r="B199" s="6">
        <v>2207231215</v>
      </c>
      <c r="C199" s="7">
        <v>22</v>
      </c>
      <c r="D199" s="7">
        <v>7</v>
      </c>
      <c r="E199" s="7">
        <v>2023</v>
      </c>
      <c r="F199" s="5">
        <v>45129</v>
      </c>
      <c r="G199" s="6" t="s">
        <v>5</v>
      </c>
      <c r="H199" s="17">
        <v>0.30938247011952191</v>
      </c>
      <c r="I199" s="20">
        <f>ROUNDUP((Table2[[#This Row],[fGCM_Conc]]*10000),0)</f>
        <v>3094</v>
      </c>
      <c r="J199" s="3" t="str">
        <f>VLOOKUP(G199,'[1]Attributes(OUTDATED)'!$A$2:$C$19,2,FALSE)</f>
        <v>M</v>
      </c>
      <c r="K199" s="3" t="str">
        <f>VLOOKUP(G199,'[1]Attributes(OUTDATED)'!$A$2:$C$19,3,FALSE)</f>
        <v>J</v>
      </c>
      <c r="L199" s="3">
        <f>VLOOKUP(G199,'[1]Attributes(OUTDATED)'!$A$2:$H$19,8,FALSE)</f>
        <v>940</v>
      </c>
      <c r="M199" s="3" t="str">
        <f>K199&amp;J199</f>
        <v>JM</v>
      </c>
      <c r="N199" s="3" t="e">
        <f>VLOOKUP(G199,#REF!,2,FALSE)</f>
        <v>#REF!</v>
      </c>
      <c r="O199" s="11">
        <v>45127</v>
      </c>
      <c r="P199" s="13">
        <v>8.9</v>
      </c>
      <c r="Q199" s="13">
        <v>4.5</v>
      </c>
      <c r="R199" s="13">
        <v>2.4</v>
      </c>
      <c r="S199" s="13">
        <f>Table2[[#This Row],[2_Temp_H]]-Table2[[#This Row],[2_Temp_L]]</f>
        <v>6.5</v>
      </c>
      <c r="T199" s="13">
        <v>24.5</v>
      </c>
      <c r="U199" s="13">
        <v>4.0999999999999996</v>
      </c>
      <c r="V199" s="13">
        <v>1026.08</v>
      </c>
      <c r="W199" s="13">
        <v>1024.04</v>
      </c>
      <c r="X199" s="13">
        <v>0.25</v>
      </c>
      <c r="Y199" s="13" t="s">
        <v>147</v>
      </c>
      <c r="Z199" s="16" t="s">
        <v>171</v>
      </c>
      <c r="AA199" s="13" t="s">
        <v>137</v>
      </c>
      <c r="AB199" s="13" t="s">
        <v>144</v>
      </c>
      <c r="AC199" s="13" t="s">
        <v>146</v>
      </c>
      <c r="AD199" s="13" t="s">
        <v>137</v>
      </c>
      <c r="AE199" s="13">
        <f>VLOOKUP(Table2[[#This Row],[3_Elephant_ID]],'[1]Attributes(OUTDATED)'!$A$2:$N$19,12,FALSE)</f>
        <v>361</v>
      </c>
      <c r="AF199" s="13">
        <f>VLOOKUP(Table2[[#This Row],[3_Elephant_ID]],'[1]Attributes(OUTDATED)'!$A$2:$N$19,13,FALSE)</f>
        <v>0.40600000000000003</v>
      </c>
      <c r="AG199" s="13">
        <f>VLOOKUP(Table2[[#This Row],[3_Elephant_ID]],'[1]Attributes(OUTDATED)'!$A$2:$N$19,14,FALSE)</f>
        <v>0.40590323220736402</v>
      </c>
      <c r="AH199" s="13">
        <v>1</v>
      </c>
      <c r="AI199" s="13">
        <v>0</v>
      </c>
      <c r="AJ199" s="13">
        <v>0</v>
      </c>
      <c r="AK199" s="13">
        <v>0</v>
      </c>
      <c r="AL199" s="13">
        <f>VLOOKUP(Table2[[#This Row],[3_Elephant_ID]],'[1]Attributes(OUTDATED)'!$A$2:$P$19,16,FALSE)</f>
        <v>1</v>
      </c>
      <c r="AM199" s="13">
        <f>VLOOKUP(Table2[[#This Row],[3_Elephant_ID]],'[1]Attributes(OUTDATED)'!$A$2:$S$19,17,FALSE)</f>
        <v>2</v>
      </c>
      <c r="AN199" s="13">
        <f>VLOOKUP(Table2[[#This Row],[3_Elephant_ID]],'[1]Attributes(OUTDATED)'!$A$2:$S$19,18,FALSE)</f>
        <v>7</v>
      </c>
    </row>
    <row r="200" spans="1:40" ht="28" x14ac:dyDescent="0.15">
      <c r="A200" s="3">
        <v>198</v>
      </c>
      <c r="B200" s="6">
        <v>2207231206</v>
      </c>
      <c r="C200" s="7">
        <v>22</v>
      </c>
      <c r="D200" s="7">
        <v>7</v>
      </c>
      <c r="E200" s="7">
        <v>2023</v>
      </c>
      <c r="F200" s="5">
        <v>45129</v>
      </c>
      <c r="G200" s="6" t="s">
        <v>2</v>
      </c>
      <c r="H200" s="17">
        <v>0.20557377049180325</v>
      </c>
      <c r="I200" s="20">
        <f>ROUNDUP((Table2[[#This Row],[fGCM_Conc]]*10000),0)</f>
        <v>2056</v>
      </c>
      <c r="J200" s="3" t="str">
        <f>VLOOKUP(G200,'[1]Attributes(OUTDATED)'!$A$2:$C$19,2,FALSE)</f>
        <v>F</v>
      </c>
      <c r="K200" s="3" t="str">
        <f>VLOOKUP(G200,'[1]Attributes(OUTDATED)'!$A$2:$C$19,3,FALSE)</f>
        <v>A</v>
      </c>
      <c r="L200" s="3">
        <f>VLOOKUP(G200,'[1]Attributes(OUTDATED)'!$A$2:$H$19,8,FALSE)</f>
        <v>892</v>
      </c>
      <c r="M200" s="3" t="str">
        <f>K200&amp;J200</f>
        <v>AF</v>
      </c>
      <c r="N200" s="3" t="e">
        <f>VLOOKUP(G200,#REF!,2,FALSE)</f>
        <v>#REF!</v>
      </c>
      <c r="O200" s="11">
        <v>45127</v>
      </c>
      <c r="P200" s="13">
        <v>8.9</v>
      </c>
      <c r="Q200" s="13">
        <v>4.5</v>
      </c>
      <c r="R200" s="13">
        <v>2.4</v>
      </c>
      <c r="S200" s="13">
        <f>Table2[[#This Row],[2_Temp_H]]-Table2[[#This Row],[2_Temp_L]]</f>
        <v>6.5</v>
      </c>
      <c r="T200" s="13">
        <v>24.5</v>
      </c>
      <c r="U200" s="13">
        <v>4.0999999999999996</v>
      </c>
      <c r="V200" s="13">
        <v>1026.08</v>
      </c>
      <c r="W200" s="13">
        <v>1024.04</v>
      </c>
      <c r="X200" s="13">
        <v>0.25</v>
      </c>
      <c r="Y200" s="13" t="s">
        <v>147</v>
      </c>
      <c r="Z200" s="16" t="s">
        <v>171</v>
      </c>
      <c r="AA200" s="13" t="s">
        <v>137</v>
      </c>
      <c r="AB200" s="13" t="s">
        <v>144</v>
      </c>
      <c r="AC200" s="13" t="s">
        <v>146</v>
      </c>
      <c r="AD200" s="13" t="s">
        <v>137</v>
      </c>
      <c r="AE200" s="13">
        <f>VLOOKUP(Table2[[#This Row],[3_Elephant_ID]],'[1]Attributes(OUTDATED)'!$A$2:$N$19,12,FALSE)</f>
        <v>378</v>
      </c>
      <c r="AF200" s="13">
        <f>VLOOKUP(Table2[[#This Row],[3_Elephant_ID]],'[1]Attributes(OUTDATED)'!$A$2:$N$19,13,FALSE)</f>
        <v>8.6999999999999994E-2</v>
      </c>
      <c r="AG200" s="13">
        <f>VLOOKUP(Table2[[#This Row],[3_Elephant_ID]],'[1]Attributes(OUTDATED)'!$A$2:$N$19,14,FALSE)</f>
        <v>8.6599138783086713E-2</v>
      </c>
      <c r="AH200" s="13">
        <v>1</v>
      </c>
      <c r="AI200" s="13">
        <v>0</v>
      </c>
      <c r="AJ200" s="13">
        <v>0</v>
      </c>
      <c r="AK200" s="13">
        <v>0</v>
      </c>
      <c r="AL200" s="13">
        <f>VLOOKUP(Table2[[#This Row],[3_Elephant_ID]],'[1]Attributes(OUTDATED)'!$A$2:$P$19,16,FALSE)</f>
        <v>1</v>
      </c>
      <c r="AM200" s="13">
        <f>VLOOKUP(Table2[[#This Row],[3_Elephant_ID]],'[1]Attributes(OUTDATED)'!$A$2:$S$19,17,FALSE)</f>
        <v>4</v>
      </c>
      <c r="AN200" s="13">
        <f>VLOOKUP(Table2[[#This Row],[3_Elephant_ID]],'[1]Attributes(OUTDATED)'!$A$2:$S$19,18,FALSE)</f>
        <v>20</v>
      </c>
    </row>
    <row r="201" spans="1:40" ht="28" x14ac:dyDescent="0.15">
      <c r="A201" s="3">
        <v>232</v>
      </c>
      <c r="B201" s="6">
        <v>2307231456</v>
      </c>
      <c r="C201" s="7">
        <v>23</v>
      </c>
      <c r="D201" s="7">
        <v>7</v>
      </c>
      <c r="E201" s="7">
        <v>2023</v>
      </c>
      <c r="F201" s="5">
        <v>45130</v>
      </c>
      <c r="G201" s="6" t="s">
        <v>10</v>
      </c>
      <c r="H201" s="17">
        <v>0.48543893129770987</v>
      </c>
      <c r="I201" s="20">
        <f>ROUNDUP((Table2[[#This Row],[fGCM_Conc]]*10000),0)</f>
        <v>4855</v>
      </c>
      <c r="J201" s="3" t="str">
        <f>VLOOKUP(G201,'[1]Attributes(OUTDATED)'!$A$2:$C$19,2,FALSE)</f>
        <v>F</v>
      </c>
      <c r="K201" s="3" t="str">
        <f>VLOOKUP(G201,'[1]Attributes(OUTDATED)'!$A$2:$C$19,3,FALSE)</f>
        <v>A</v>
      </c>
      <c r="L201" s="3">
        <f>VLOOKUP(G201,'[1]Attributes(OUTDATED)'!$A$2:$H$19,8,FALSE)</f>
        <v>1146</v>
      </c>
      <c r="M201" s="3" t="str">
        <f>K201&amp;J201</f>
        <v>AF</v>
      </c>
      <c r="N201" s="3" t="e">
        <f>VLOOKUP(G201,#REF!,2,FALSE)</f>
        <v>#REF!</v>
      </c>
      <c r="O201" s="11">
        <v>45128</v>
      </c>
      <c r="P201" s="13">
        <v>13.3</v>
      </c>
      <c r="Q201" s="13">
        <v>12.1</v>
      </c>
      <c r="R201" s="13">
        <v>9.9</v>
      </c>
      <c r="S201" s="13">
        <f>Table2[[#This Row],[2_Temp_H]]-Table2[[#This Row],[2_Temp_L]]</f>
        <v>3.4000000000000004</v>
      </c>
      <c r="T201" s="13">
        <v>38.1</v>
      </c>
      <c r="U201" s="13">
        <v>19</v>
      </c>
      <c r="V201" s="13">
        <v>1019.98</v>
      </c>
      <c r="W201" s="13">
        <v>1013.88</v>
      </c>
      <c r="X201" s="13">
        <v>1.02</v>
      </c>
      <c r="Y201" s="13" t="s">
        <v>147</v>
      </c>
      <c r="Z201" s="16" t="s">
        <v>171</v>
      </c>
      <c r="AA201" s="13" t="s">
        <v>137</v>
      </c>
      <c r="AB201" s="13" t="s">
        <v>144</v>
      </c>
      <c r="AC201" s="13" t="s">
        <v>146</v>
      </c>
      <c r="AD201" s="13" t="s">
        <v>137</v>
      </c>
      <c r="AE201" s="13">
        <f>VLOOKUP(Table2[[#This Row],[3_Elephant_ID]],'[1]Attributes(OUTDATED)'!$A$2:$N$19,12,FALSE)</f>
        <v>424</v>
      </c>
      <c r="AF201" s="13">
        <f>VLOOKUP(Table2[[#This Row],[3_Elephant_ID]],'[1]Attributes(OUTDATED)'!$A$2:$N$19,13,FALSE)</f>
        <v>0.10299999999999999</v>
      </c>
      <c r="AG201" s="13">
        <f>VLOOKUP(Table2[[#This Row],[3_Elephant_ID]],'[1]Attributes(OUTDATED)'!$A$2:$N$19,14,FALSE)</f>
        <v>0.10282190709599449</v>
      </c>
      <c r="AH201" s="13">
        <v>0</v>
      </c>
      <c r="AI201" s="13">
        <v>0</v>
      </c>
      <c r="AJ201" s="13">
        <v>0</v>
      </c>
      <c r="AK201" s="13">
        <v>0</v>
      </c>
      <c r="AL201" s="13">
        <f>VLOOKUP(Table2[[#This Row],[3_Elephant_ID]],'[1]Attributes(OUTDATED)'!$A$2:$P$19,16,FALSE)</f>
        <v>1</v>
      </c>
      <c r="AM201" s="13">
        <f>VLOOKUP(Table2[[#This Row],[3_Elephant_ID]],'[1]Attributes(OUTDATED)'!$A$2:$S$19,17,FALSE)</f>
        <v>9</v>
      </c>
      <c r="AN201" s="13">
        <f>VLOOKUP(Table2[[#This Row],[3_Elephant_ID]],'[1]Attributes(OUTDATED)'!$A$2:$S$19,18,FALSE)</f>
        <v>8</v>
      </c>
    </row>
    <row r="202" spans="1:40" ht="28" x14ac:dyDescent="0.15">
      <c r="A202" s="3">
        <v>231</v>
      </c>
      <c r="B202" s="6">
        <v>2307231505</v>
      </c>
      <c r="C202" s="7">
        <v>23</v>
      </c>
      <c r="D202" s="7">
        <v>7</v>
      </c>
      <c r="E202" s="7">
        <v>2023</v>
      </c>
      <c r="F202" s="5">
        <v>45130</v>
      </c>
      <c r="G202" s="6" t="s">
        <v>8</v>
      </c>
      <c r="H202" s="17">
        <v>0.38803738317757008</v>
      </c>
      <c r="I202" s="20">
        <f>ROUNDUP((Table2[[#This Row],[fGCM_Conc]]*10000),0)</f>
        <v>3881</v>
      </c>
      <c r="J202" s="3" t="str">
        <f>VLOOKUP(G202,'[1]Attributes(OUTDATED)'!$A$2:$C$19,2,FALSE)</f>
        <v>F</v>
      </c>
      <c r="K202" s="3" t="str">
        <f>VLOOKUP(G202,'[1]Attributes(OUTDATED)'!$A$2:$C$19,3,FALSE)</f>
        <v>A</v>
      </c>
      <c r="L202" s="3">
        <f>VLOOKUP(G202,'[1]Attributes(OUTDATED)'!$A$2:$H$19,8,FALSE)</f>
        <v>1096</v>
      </c>
      <c r="M202" s="3" t="str">
        <f>K202&amp;J202</f>
        <v>AF</v>
      </c>
      <c r="N202" s="3" t="e">
        <f>VLOOKUP(G202,#REF!,2,FALSE)</f>
        <v>#REF!</v>
      </c>
      <c r="O202" s="11">
        <v>45128</v>
      </c>
      <c r="P202" s="13">
        <v>13.3</v>
      </c>
      <c r="Q202" s="13">
        <v>12.1</v>
      </c>
      <c r="R202" s="13">
        <v>9.9</v>
      </c>
      <c r="S202" s="13">
        <f>Table2[[#This Row],[2_Temp_H]]-Table2[[#This Row],[2_Temp_L]]</f>
        <v>3.4000000000000004</v>
      </c>
      <c r="T202" s="13">
        <v>38.1</v>
      </c>
      <c r="U202" s="13">
        <v>19</v>
      </c>
      <c r="V202" s="13">
        <v>1019.98</v>
      </c>
      <c r="W202" s="13">
        <v>1013.88</v>
      </c>
      <c r="X202" s="13">
        <v>1.02</v>
      </c>
      <c r="Y202" s="13" t="s">
        <v>147</v>
      </c>
      <c r="Z202" s="16" t="s">
        <v>171</v>
      </c>
      <c r="AA202" s="13" t="s">
        <v>137</v>
      </c>
      <c r="AB202" s="13" t="s">
        <v>144</v>
      </c>
      <c r="AC202" s="13" t="s">
        <v>146</v>
      </c>
      <c r="AD202" s="13" t="s">
        <v>137</v>
      </c>
      <c r="AE202" s="13">
        <f>VLOOKUP(Table2[[#This Row],[3_Elephant_ID]],'[1]Attributes(OUTDATED)'!$A$2:$N$19,12,FALSE)</f>
        <v>346</v>
      </c>
      <c r="AF202" s="13">
        <f>VLOOKUP(Table2[[#This Row],[3_Elephant_ID]],'[1]Attributes(OUTDATED)'!$A$2:$N$19,13,FALSE)</f>
        <v>0.28999999999999998</v>
      </c>
      <c r="AG202" s="13">
        <f>VLOOKUP(Table2[[#This Row],[3_Elephant_ID]],'[1]Attributes(OUTDATED)'!$A$2:$N$19,14,FALSE)</f>
        <v>0.28929989906834258</v>
      </c>
      <c r="AH202" s="13">
        <v>0</v>
      </c>
      <c r="AI202" s="13">
        <v>0</v>
      </c>
      <c r="AJ202" s="13">
        <v>0</v>
      </c>
      <c r="AK202" s="13">
        <v>0</v>
      </c>
      <c r="AL202" s="13">
        <f>VLOOKUP(Table2[[#This Row],[3_Elephant_ID]],'[1]Attributes(OUTDATED)'!$A$2:$P$19,16,FALSE)</f>
        <v>1</v>
      </c>
      <c r="AM202" s="13">
        <f>VLOOKUP(Table2[[#This Row],[3_Elephant_ID]],'[1]Attributes(OUTDATED)'!$A$2:$S$19,17,FALSE)</f>
        <v>11</v>
      </c>
      <c r="AN202" s="13">
        <f>VLOOKUP(Table2[[#This Row],[3_Elephant_ID]],'[1]Attributes(OUTDATED)'!$A$2:$S$19,18,FALSE)</f>
        <v>7</v>
      </c>
    </row>
    <row r="203" spans="1:40" ht="28" x14ac:dyDescent="0.15">
      <c r="A203" s="3">
        <v>229</v>
      </c>
      <c r="B203" s="6">
        <v>2307231604</v>
      </c>
      <c r="C203" s="7">
        <v>23</v>
      </c>
      <c r="D203" s="7">
        <v>7</v>
      </c>
      <c r="E203" s="7">
        <v>2023</v>
      </c>
      <c r="F203" s="5">
        <v>45130</v>
      </c>
      <c r="G203" s="6" t="s">
        <v>3</v>
      </c>
      <c r="H203" s="17">
        <v>0.37360146252285198</v>
      </c>
      <c r="I203" s="20">
        <f>ROUNDUP((Table2[[#This Row],[fGCM_Conc]]*10000),0)</f>
        <v>3737</v>
      </c>
      <c r="J203" s="3" t="str">
        <f>VLOOKUP(G203,'[1]Attributes(OUTDATED)'!$A$2:$C$19,2,FALSE)</f>
        <v>M</v>
      </c>
      <c r="K203" s="3" t="str">
        <f>VLOOKUP(G203,'[1]Attributes(OUTDATED)'!$A$2:$C$19,3,FALSE)</f>
        <v>J</v>
      </c>
      <c r="L203" s="3">
        <f>VLOOKUP(G203,'[1]Attributes(OUTDATED)'!$A$2:$H$19,8,FALSE)</f>
        <v>1031</v>
      </c>
      <c r="M203" s="3" t="str">
        <f>K203&amp;J203</f>
        <v>JM</v>
      </c>
      <c r="N203" s="3" t="e">
        <f>VLOOKUP(G203,#REF!,2,FALSE)</f>
        <v>#REF!</v>
      </c>
      <c r="O203" s="11">
        <v>45128</v>
      </c>
      <c r="P203" s="13">
        <v>13.3</v>
      </c>
      <c r="Q203" s="13">
        <v>12.1</v>
      </c>
      <c r="R203" s="13">
        <v>9.9</v>
      </c>
      <c r="S203" s="13">
        <f>Table2[[#This Row],[2_Temp_H]]-Table2[[#This Row],[2_Temp_L]]</f>
        <v>3.4000000000000004</v>
      </c>
      <c r="T203" s="13">
        <v>38.1</v>
      </c>
      <c r="U203" s="13">
        <v>19</v>
      </c>
      <c r="V203" s="13">
        <v>1019.98</v>
      </c>
      <c r="W203" s="13">
        <v>1013.88</v>
      </c>
      <c r="X203" s="13">
        <v>1.02</v>
      </c>
      <c r="Y203" s="13" t="s">
        <v>147</v>
      </c>
      <c r="Z203" s="16" t="s">
        <v>171</v>
      </c>
      <c r="AA203" s="13" t="s">
        <v>137</v>
      </c>
      <c r="AB203" s="13" t="s">
        <v>144</v>
      </c>
      <c r="AC203" s="13" t="s">
        <v>146</v>
      </c>
      <c r="AD203" s="13" t="s">
        <v>137</v>
      </c>
      <c r="AE203" s="13">
        <f>VLOOKUP(Table2[[#This Row],[3_Elephant_ID]],'[1]Attributes(OUTDATED)'!$A$2:$N$19,12,FALSE)</f>
        <v>234</v>
      </c>
      <c r="AF203" s="13">
        <f>VLOOKUP(Table2[[#This Row],[3_Elephant_ID]],'[1]Attributes(OUTDATED)'!$A$2:$N$19,13,FALSE)</f>
        <v>0.16500000000000001</v>
      </c>
      <c r="AG203" s="13">
        <f>VLOOKUP(Table2[[#This Row],[3_Elephant_ID]],'[1]Attributes(OUTDATED)'!$A$2:$N$19,14,FALSE)</f>
        <v>0.16420161303383449</v>
      </c>
      <c r="AH203" s="13">
        <v>0</v>
      </c>
      <c r="AI203" s="13">
        <v>0</v>
      </c>
      <c r="AJ203" s="13">
        <v>0</v>
      </c>
      <c r="AK203" s="13">
        <v>0</v>
      </c>
      <c r="AL203" s="13">
        <f>VLOOKUP(Table2[[#This Row],[3_Elephant_ID]],'[1]Attributes(OUTDATED)'!$A$2:$P$19,16,FALSE)</f>
        <v>1</v>
      </c>
      <c r="AM203" s="13">
        <f>VLOOKUP(Table2[[#This Row],[3_Elephant_ID]],'[1]Attributes(OUTDATED)'!$A$2:$S$19,17,FALSE)</f>
        <v>9</v>
      </c>
      <c r="AN203" s="13">
        <f>VLOOKUP(Table2[[#This Row],[3_Elephant_ID]],'[1]Attributes(OUTDATED)'!$A$2:$S$19,18,FALSE)</f>
        <v>9</v>
      </c>
    </row>
    <row r="204" spans="1:40" ht="28" x14ac:dyDescent="0.15">
      <c r="A204" s="3">
        <v>236</v>
      </c>
      <c r="B204" s="6">
        <v>2307231242</v>
      </c>
      <c r="C204" s="7">
        <v>23</v>
      </c>
      <c r="D204" s="7">
        <v>7</v>
      </c>
      <c r="E204" s="7">
        <v>2023</v>
      </c>
      <c r="F204" s="5">
        <v>45130</v>
      </c>
      <c r="G204" s="6" t="s">
        <v>9</v>
      </c>
      <c r="H204" s="17">
        <v>0.37279999999999991</v>
      </c>
      <c r="I204" s="20">
        <f>ROUNDUP((Table2[[#This Row],[fGCM_Conc]]*10000),0)</f>
        <v>3728</v>
      </c>
      <c r="J204" s="3" t="str">
        <f>VLOOKUP(G204,'[1]Attributes(OUTDATED)'!$A$2:$C$19,2,FALSE)</f>
        <v>F</v>
      </c>
      <c r="K204" s="3" t="str">
        <f>VLOOKUP(G204,'[1]Attributes(OUTDATED)'!$A$2:$C$19,3,FALSE)</f>
        <v>J</v>
      </c>
      <c r="L204" s="3">
        <f>VLOOKUP(G204,'[1]Attributes(OUTDATED)'!$A$2:$H$19,8,FALSE)</f>
        <v>820</v>
      </c>
      <c r="M204" s="3" t="str">
        <f>K204&amp;J204</f>
        <v>JF</v>
      </c>
      <c r="N204" s="3" t="e">
        <f>VLOOKUP(G204,#REF!,2,FALSE)</f>
        <v>#REF!</v>
      </c>
      <c r="O204" s="11">
        <v>45128</v>
      </c>
      <c r="P204" s="13">
        <v>13.3</v>
      </c>
      <c r="Q204" s="13">
        <v>12.1</v>
      </c>
      <c r="R204" s="13">
        <v>9.9</v>
      </c>
      <c r="S204" s="13">
        <f>Table2[[#This Row],[2_Temp_H]]-Table2[[#This Row],[2_Temp_L]]</f>
        <v>3.4000000000000004</v>
      </c>
      <c r="T204" s="13">
        <v>38.1</v>
      </c>
      <c r="U204" s="13">
        <v>19</v>
      </c>
      <c r="V204" s="13">
        <v>1019.98</v>
      </c>
      <c r="W204" s="13">
        <v>1013.88</v>
      </c>
      <c r="X204" s="13">
        <v>1.02</v>
      </c>
      <c r="Y204" s="13" t="s">
        <v>147</v>
      </c>
      <c r="Z204" s="16" t="s">
        <v>171</v>
      </c>
      <c r="AA204" s="13" t="s">
        <v>137</v>
      </c>
      <c r="AB204" s="13" t="s">
        <v>144</v>
      </c>
      <c r="AC204" s="13" t="s">
        <v>146</v>
      </c>
      <c r="AD204" s="13" t="s">
        <v>137</v>
      </c>
      <c r="AE204" s="13">
        <f>VLOOKUP(Table2[[#This Row],[3_Elephant_ID]],'[1]Attributes(OUTDATED)'!$A$2:$N$19,12,FALSE)</f>
        <v>305</v>
      </c>
      <c r="AF204" s="13">
        <f>VLOOKUP(Table2[[#This Row],[3_Elephant_ID]],'[1]Attributes(OUTDATED)'!$A$2:$N$19,13,FALSE)</f>
        <v>0.17499999999999999</v>
      </c>
      <c r="AG204" s="13">
        <f>VLOOKUP(Table2[[#This Row],[3_Elephant_ID]],'[1]Attributes(OUTDATED)'!$A$2:$N$19,14,FALSE)</f>
        <v>0.17467336145108631</v>
      </c>
      <c r="AH204" s="13">
        <v>0</v>
      </c>
      <c r="AI204" s="13">
        <v>0</v>
      </c>
      <c r="AJ204" s="13">
        <v>0</v>
      </c>
      <c r="AK204" s="13">
        <v>0</v>
      </c>
      <c r="AL204" s="13">
        <f>VLOOKUP(Table2[[#This Row],[3_Elephant_ID]],'[1]Attributes(OUTDATED)'!$A$2:$P$19,16,FALSE)</f>
        <v>2</v>
      </c>
      <c r="AM204" s="13">
        <f>VLOOKUP(Table2[[#This Row],[3_Elephant_ID]],'[1]Attributes(OUTDATED)'!$A$2:$S$19,17,FALSE)</f>
        <v>0</v>
      </c>
      <c r="AN204" s="13">
        <f>VLOOKUP(Table2[[#This Row],[3_Elephant_ID]],'[1]Attributes(OUTDATED)'!$A$2:$S$19,18,FALSE)</f>
        <v>4</v>
      </c>
    </row>
    <row r="205" spans="1:40" ht="28" x14ac:dyDescent="0.15">
      <c r="A205" s="3">
        <v>233</v>
      </c>
      <c r="B205" s="6">
        <v>2307231356</v>
      </c>
      <c r="C205" s="7">
        <v>23</v>
      </c>
      <c r="D205" s="7">
        <v>7</v>
      </c>
      <c r="E205" s="7">
        <v>2023</v>
      </c>
      <c r="F205" s="5">
        <v>45130</v>
      </c>
      <c r="G205" s="6" t="s">
        <v>12</v>
      </c>
      <c r="H205" s="17">
        <v>0.33857142857142858</v>
      </c>
      <c r="I205" s="20">
        <f>ROUNDUP((Table2[[#This Row],[fGCM_Conc]]*10000),0)</f>
        <v>3386</v>
      </c>
      <c r="J205" s="3" t="str">
        <f>VLOOKUP(G205,'[1]Attributes(OUTDATED)'!$A$2:$C$19,2,FALSE)</f>
        <v>M</v>
      </c>
      <c r="K205" s="3" t="str">
        <f>VLOOKUP(G205,'[1]Attributes(OUTDATED)'!$A$2:$C$19,3,FALSE)</f>
        <v>A</v>
      </c>
      <c r="L205" s="3">
        <f>VLOOKUP(G205,'[1]Attributes(OUTDATED)'!$A$2:$H$19,8,FALSE)</f>
        <v>1509</v>
      </c>
      <c r="M205" s="3" t="str">
        <f>K205&amp;J205</f>
        <v>AM</v>
      </c>
      <c r="N205" s="3" t="e">
        <f>VLOOKUP(G205,#REF!,2,FALSE)</f>
        <v>#REF!</v>
      </c>
      <c r="O205" s="11">
        <v>45128</v>
      </c>
      <c r="P205" s="13">
        <v>13.3</v>
      </c>
      <c r="Q205" s="13">
        <v>12.1</v>
      </c>
      <c r="R205" s="13">
        <v>9.9</v>
      </c>
      <c r="S205" s="13">
        <f>Table2[[#This Row],[2_Temp_H]]-Table2[[#This Row],[2_Temp_L]]</f>
        <v>3.4000000000000004</v>
      </c>
      <c r="T205" s="13">
        <v>38.1</v>
      </c>
      <c r="U205" s="13">
        <v>19</v>
      </c>
      <c r="V205" s="13">
        <v>1019.98</v>
      </c>
      <c r="W205" s="13">
        <v>1013.88</v>
      </c>
      <c r="X205" s="13">
        <v>1.02</v>
      </c>
      <c r="Y205" s="13" t="s">
        <v>147</v>
      </c>
      <c r="Z205" s="16" t="s">
        <v>171</v>
      </c>
      <c r="AA205" s="13" t="s">
        <v>137</v>
      </c>
      <c r="AB205" s="13" t="s">
        <v>144</v>
      </c>
      <c r="AC205" s="13" t="s">
        <v>146</v>
      </c>
      <c r="AD205" s="13" t="s">
        <v>137</v>
      </c>
      <c r="AE205" s="13">
        <f>VLOOKUP(Table2[[#This Row],[3_Elephant_ID]],'[1]Attributes(OUTDATED)'!$A$2:$N$19,12,FALSE)</f>
        <v>450</v>
      </c>
      <c r="AF205" s="13">
        <f>VLOOKUP(Table2[[#This Row],[3_Elephant_ID]],'[1]Attributes(OUTDATED)'!$A$2:$N$19,13,FALSE)</f>
        <v>0.375</v>
      </c>
      <c r="AG205" s="13">
        <f>VLOOKUP(Table2[[#This Row],[3_Elephant_ID]],'[1]Attributes(OUTDATED)'!$A$2:$N$19,14,FALSE)</f>
        <v>0.37414375430996583</v>
      </c>
      <c r="AH205" s="13">
        <v>0</v>
      </c>
      <c r="AI205" s="13">
        <v>0</v>
      </c>
      <c r="AJ205" s="13">
        <v>0</v>
      </c>
      <c r="AK205" s="13">
        <v>0</v>
      </c>
      <c r="AL205" s="13">
        <f>VLOOKUP(Table2[[#This Row],[3_Elephant_ID]],'[1]Attributes(OUTDATED)'!$A$2:$P$19,16,FALSE)</f>
        <v>1</v>
      </c>
      <c r="AM205" s="13">
        <f>VLOOKUP(Table2[[#This Row],[3_Elephant_ID]],'[1]Attributes(OUTDATED)'!$A$2:$S$19,17,FALSE)</f>
        <v>48</v>
      </c>
      <c r="AN205" s="13">
        <f>VLOOKUP(Table2[[#This Row],[3_Elephant_ID]],'[1]Attributes(OUTDATED)'!$A$2:$S$19,18,FALSE)</f>
        <v>3</v>
      </c>
    </row>
    <row r="206" spans="1:40" ht="28" x14ac:dyDescent="0.15">
      <c r="A206" s="3">
        <v>234</v>
      </c>
      <c r="B206" s="6">
        <v>2307231351</v>
      </c>
      <c r="C206" s="7">
        <v>23</v>
      </c>
      <c r="D206" s="7">
        <v>7</v>
      </c>
      <c r="E206" s="7">
        <v>2023</v>
      </c>
      <c r="F206" s="5">
        <v>45130</v>
      </c>
      <c r="G206" s="6" t="s">
        <v>7</v>
      </c>
      <c r="H206" s="17">
        <v>0.3192222222222223</v>
      </c>
      <c r="I206" s="20">
        <f>ROUNDUP((Table2[[#This Row],[fGCM_Conc]]*10000),0)</f>
        <v>3193</v>
      </c>
      <c r="J206" s="3" t="str">
        <f>VLOOKUP(G206,'[1]Attributes(OUTDATED)'!$A$2:$C$19,2,FALSE)</f>
        <v>F</v>
      </c>
      <c r="K206" s="3" t="str">
        <f>VLOOKUP(G206,'[1]Attributes(OUTDATED)'!$A$2:$C$19,3,FALSE)</f>
        <v>J</v>
      </c>
      <c r="L206" s="3">
        <f>VLOOKUP(G206,'[1]Attributes(OUTDATED)'!$A$2:$H$19,8,FALSE)</f>
        <v>711</v>
      </c>
      <c r="M206" s="3" t="str">
        <f>K206&amp;J206</f>
        <v>JF</v>
      </c>
      <c r="N206" s="3" t="e">
        <f>VLOOKUP(G206,#REF!,2,FALSE)</f>
        <v>#REF!</v>
      </c>
      <c r="O206" s="11">
        <v>45128</v>
      </c>
      <c r="P206" s="13">
        <v>13.3</v>
      </c>
      <c r="Q206" s="13">
        <v>12.1</v>
      </c>
      <c r="R206" s="13">
        <v>9.9</v>
      </c>
      <c r="S206" s="13">
        <f>Table2[[#This Row],[2_Temp_H]]-Table2[[#This Row],[2_Temp_L]]</f>
        <v>3.4000000000000004</v>
      </c>
      <c r="T206" s="13">
        <v>38.1</v>
      </c>
      <c r="U206" s="13">
        <v>19</v>
      </c>
      <c r="V206" s="13">
        <v>1019.98</v>
      </c>
      <c r="W206" s="13">
        <v>1013.88</v>
      </c>
      <c r="X206" s="13">
        <v>1.02</v>
      </c>
      <c r="Y206" s="13" t="s">
        <v>147</v>
      </c>
      <c r="Z206" s="16" t="s">
        <v>171</v>
      </c>
      <c r="AA206" s="13" t="s">
        <v>137</v>
      </c>
      <c r="AB206" s="13" t="s">
        <v>144</v>
      </c>
      <c r="AC206" s="13" t="s">
        <v>146</v>
      </c>
      <c r="AD206" s="13" t="s">
        <v>137</v>
      </c>
      <c r="AE206" s="13">
        <f>VLOOKUP(Table2[[#This Row],[3_Elephant_ID]],'[1]Attributes(OUTDATED)'!$A$2:$N$19,12,FALSE)</f>
        <v>398</v>
      </c>
      <c r="AF206" s="13">
        <f>VLOOKUP(Table2[[#This Row],[3_Elephant_ID]],'[1]Attributes(OUTDATED)'!$A$2:$N$19,13,FALSE)</f>
        <v>0.47899999999999998</v>
      </c>
      <c r="AG206" s="13">
        <f>VLOOKUP(Table2[[#This Row],[3_Elephant_ID]],'[1]Attributes(OUTDATED)'!$A$2:$N$19,14,FALSE)</f>
        <v>0.47820662037086947</v>
      </c>
      <c r="AH206" s="13">
        <v>0</v>
      </c>
      <c r="AI206" s="13">
        <v>0</v>
      </c>
      <c r="AJ206" s="13">
        <v>0</v>
      </c>
      <c r="AK206" s="13">
        <v>0</v>
      </c>
      <c r="AL206" s="13">
        <f>VLOOKUP(Table2[[#This Row],[3_Elephant_ID]],'[1]Attributes(OUTDATED)'!$A$2:$P$19,16,FALSE)</f>
        <v>1</v>
      </c>
      <c r="AM206" s="13">
        <f>VLOOKUP(Table2[[#This Row],[3_Elephant_ID]],'[1]Attributes(OUTDATED)'!$A$2:$S$19,17,FALSE)</f>
        <v>0</v>
      </c>
      <c r="AN206" s="13">
        <f>VLOOKUP(Table2[[#This Row],[3_Elephant_ID]],'[1]Attributes(OUTDATED)'!$A$2:$S$19,18,FALSE)</f>
        <v>12</v>
      </c>
    </row>
    <row r="207" spans="1:40" ht="28" x14ac:dyDescent="0.15">
      <c r="A207" s="3">
        <v>235</v>
      </c>
      <c r="B207" s="6">
        <v>2307231246</v>
      </c>
      <c r="C207" s="7">
        <v>23</v>
      </c>
      <c r="D207" s="7">
        <v>7</v>
      </c>
      <c r="E207" s="7">
        <v>2023</v>
      </c>
      <c r="F207" s="5">
        <v>45130</v>
      </c>
      <c r="G207" s="6" t="s">
        <v>5</v>
      </c>
      <c r="H207" s="17">
        <v>0.2556448598130841</v>
      </c>
      <c r="I207" s="20">
        <f>ROUNDUP((Table2[[#This Row],[fGCM_Conc]]*10000),0)</f>
        <v>2557</v>
      </c>
      <c r="J207" s="3" t="str">
        <f>VLOOKUP(G207,'[1]Attributes(OUTDATED)'!$A$2:$C$19,2,FALSE)</f>
        <v>M</v>
      </c>
      <c r="K207" s="3" t="str">
        <f>VLOOKUP(G207,'[1]Attributes(OUTDATED)'!$A$2:$C$19,3,FALSE)</f>
        <v>J</v>
      </c>
      <c r="L207" s="3">
        <f>VLOOKUP(G207,'[1]Attributes(OUTDATED)'!$A$2:$H$19,8,FALSE)</f>
        <v>940</v>
      </c>
      <c r="M207" s="3" t="str">
        <f>K207&amp;J207</f>
        <v>JM</v>
      </c>
      <c r="N207" s="3" t="e">
        <f>VLOOKUP(G207,#REF!,2,FALSE)</f>
        <v>#REF!</v>
      </c>
      <c r="O207" s="11">
        <v>45128</v>
      </c>
      <c r="P207" s="13">
        <v>13.3</v>
      </c>
      <c r="Q207" s="13">
        <v>12.1</v>
      </c>
      <c r="R207" s="13">
        <v>9.9</v>
      </c>
      <c r="S207" s="13">
        <f>Table2[[#This Row],[2_Temp_H]]-Table2[[#This Row],[2_Temp_L]]</f>
        <v>3.4000000000000004</v>
      </c>
      <c r="T207" s="13">
        <v>38.1</v>
      </c>
      <c r="U207" s="13">
        <v>19</v>
      </c>
      <c r="V207" s="13">
        <v>1019.98</v>
      </c>
      <c r="W207" s="13">
        <v>1013.88</v>
      </c>
      <c r="X207" s="13">
        <v>1.02</v>
      </c>
      <c r="Y207" s="13" t="s">
        <v>147</v>
      </c>
      <c r="Z207" s="16" t="s">
        <v>171</v>
      </c>
      <c r="AA207" s="13" t="s">
        <v>137</v>
      </c>
      <c r="AB207" s="13" t="s">
        <v>144</v>
      </c>
      <c r="AC207" s="13" t="s">
        <v>146</v>
      </c>
      <c r="AD207" s="13" t="s">
        <v>137</v>
      </c>
      <c r="AE207" s="13">
        <f>VLOOKUP(Table2[[#This Row],[3_Elephant_ID]],'[1]Attributes(OUTDATED)'!$A$2:$N$19,12,FALSE)</f>
        <v>361</v>
      </c>
      <c r="AF207" s="13">
        <f>VLOOKUP(Table2[[#This Row],[3_Elephant_ID]],'[1]Attributes(OUTDATED)'!$A$2:$N$19,13,FALSE)</f>
        <v>0.40600000000000003</v>
      </c>
      <c r="AG207" s="13">
        <f>VLOOKUP(Table2[[#This Row],[3_Elephant_ID]],'[1]Attributes(OUTDATED)'!$A$2:$N$19,14,FALSE)</f>
        <v>0.40590323220736402</v>
      </c>
      <c r="AH207" s="13">
        <v>0</v>
      </c>
      <c r="AI207" s="13">
        <v>0</v>
      </c>
      <c r="AJ207" s="13">
        <v>0</v>
      </c>
      <c r="AK207" s="13">
        <v>0</v>
      </c>
      <c r="AL207" s="13">
        <f>VLOOKUP(Table2[[#This Row],[3_Elephant_ID]],'[1]Attributes(OUTDATED)'!$A$2:$P$19,16,FALSE)</f>
        <v>1</v>
      </c>
      <c r="AM207" s="13">
        <f>VLOOKUP(Table2[[#This Row],[3_Elephant_ID]],'[1]Attributes(OUTDATED)'!$A$2:$S$19,17,FALSE)</f>
        <v>2</v>
      </c>
      <c r="AN207" s="13">
        <f>VLOOKUP(Table2[[#This Row],[3_Elephant_ID]],'[1]Attributes(OUTDATED)'!$A$2:$S$19,18,FALSE)</f>
        <v>7</v>
      </c>
    </row>
    <row r="208" spans="1:40" ht="28" x14ac:dyDescent="0.15">
      <c r="A208" s="3">
        <v>230</v>
      </c>
      <c r="B208" s="6">
        <v>2307231529</v>
      </c>
      <c r="C208" s="7">
        <v>23</v>
      </c>
      <c r="D208" s="7">
        <v>7</v>
      </c>
      <c r="E208" s="7">
        <v>2023</v>
      </c>
      <c r="F208" s="5">
        <v>45130</v>
      </c>
      <c r="G208" s="6" t="s">
        <v>7</v>
      </c>
      <c r="H208" s="17">
        <v>0.22595009596928983</v>
      </c>
      <c r="I208" s="20">
        <f>ROUNDUP((Table2[[#This Row],[fGCM_Conc]]*10000),0)</f>
        <v>2260</v>
      </c>
      <c r="J208" s="3" t="str">
        <f>VLOOKUP(G208,'[1]Attributes(OUTDATED)'!$A$2:$C$19,2,FALSE)</f>
        <v>F</v>
      </c>
      <c r="K208" s="3" t="str">
        <f>VLOOKUP(G208,'[1]Attributes(OUTDATED)'!$A$2:$C$19,3,FALSE)</f>
        <v>J</v>
      </c>
      <c r="L208" s="3">
        <f>VLOOKUP(G208,'[1]Attributes(OUTDATED)'!$A$2:$H$19,8,FALSE)</f>
        <v>711</v>
      </c>
      <c r="M208" s="3" t="str">
        <f>K208&amp;J208</f>
        <v>JF</v>
      </c>
      <c r="N208" s="3" t="e">
        <f>VLOOKUP(G208,#REF!,2,FALSE)</f>
        <v>#REF!</v>
      </c>
      <c r="O208" s="11">
        <v>45128</v>
      </c>
      <c r="P208" s="13">
        <v>13.3</v>
      </c>
      <c r="Q208" s="13">
        <v>12.1</v>
      </c>
      <c r="R208" s="13">
        <v>9.9</v>
      </c>
      <c r="S208" s="13">
        <f>Table2[[#This Row],[2_Temp_H]]-Table2[[#This Row],[2_Temp_L]]</f>
        <v>3.4000000000000004</v>
      </c>
      <c r="T208" s="13">
        <v>38.1</v>
      </c>
      <c r="U208" s="13">
        <v>19</v>
      </c>
      <c r="V208" s="13">
        <v>1019.98</v>
      </c>
      <c r="W208" s="13">
        <v>1013.88</v>
      </c>
      <c r="X208" s="13">
        <v>1.02</v>
      </c>
      <c r="Y208" s="13" t="s">
        <v>147</v>
      </c>
      <c r="Z208" s="16" t="s">
        <v>171</v>
      </c>
      <c r="AA208" s="13" t="s">
        <v>137</v>
      </c>
      <c r="AB208" s="13" t="s">
        <v>144</v>
      </c>
      <c r="AC208" s="13" t="s">
        <v>146</v>
      </c>
      <c r="AD208" s="13" t="s">
        <v>137</v>
      </c>
      <c r="AE208" s="13">
        <f>VLOOKUP(Table2[[#This Row],[3_Elephant_ID]],'[1]Attributes(OUTDATED)'!$A$2:$N$19,12,FALSE)</f>
        <v>398</v>
      </c>
      <c r="AF208" s="13">
        <f>VLOOKUP(Table2[[#This Row],[3_Elephant_ID]],'[1]Attributes(OUTDATED)'!$A$2:$N$19,13,FALSE)</f>
        <v>0.47899999999999998</v>
      </c>
      <c r="AG208" s="13">
        <f>VLOOKUP(Table2[[#This Row],[3_Elephant_ID]],'[1]Attributes(OUTDATED)'!$A$2:$N$19,14,FALSE)</f>
        <v>0.47820662037086947</v>
      </c>
      <c r="AH208" s="13">
        <v>0</v>
      </c>
      <c r="AI208" s="13">
        <v>0</v>
      </c>
      <c r="AJ208" s="13">
        <v>0</v>
      </c>
      <c r="AK208" s="13">
        <v>0</v>
      </c>
      <c r="AL208" s="13">
        <f>VLOOKUP(Table2[[#This Row],[3_Elephant_ID]],'[1]Attributes(OUTDATED)'!$A$2:$P$19,16,FALSE)</f>
        <v>1</v>
      </c>
      <c r="AM208" s="13">
        <f>VLOOKUP(Table2[[#This Row],[3_Elephant_ID]],'[1]Attributes(OUTDATED)'!$A$2:$S$19,17,FALSE)</f>
        <v>0</v>
      </c>
      <c r="AN208" s="13">
        <f>VLOOKUP(Table2[[#This Row],[3_Elephant_ID]],'[1]Attributes(OUTDATED)'!$A$2:$S$19,18,FALSE)</f>
        <v>12</v>
      </c>
    </row>
    <row r="209" spans="1:40" ht="28" x14ac:dyDescent="0.15">
      <c r="A209" s="3">
        <v>224</v>
      </c>
      <c r="B209" s="6">
        <v>2407231640</v>
      </c>
      <c r="C209" s="7">
        <v>24</v>
      </c>
      <c r="D209" s="7">
        <v>7</v>
      </c>
      <c r="E209" s="7">
        <v>2023</v>
      </c>
      <c r="F209" s="5">
        <v>45131</v>
      </c>
      <c r="G209" s="6" t="s">
        <v>11</v>
      </c>
      <c r="H209" s="17">
        <v>0.32822550831792974</v>
      </c>
      <c r="I209" s="20">
        <f>ROUNDUP((Table2[[#This Row],[fGCM_Conc]]*10000),0)</f>
        <v>3283</v>
      </c>
      <c r="J209" s="3" t="str">
        <f>VLOOKUP(G209,'[1]Attributes(OUTDATED)'!$A$2:$C$19,2,FALSE)</f>
        <v>M</v>
      </c>
      <c r="K209" s="3" t="str">
        <f>VLOOKUP(G209,'[1]Attributes(OUTDATED)'!$A$2:$C$19,3,FALSE)</f>
        <v>A</v>
      </c>
      <c r="L209" s="3">
        <f>VLOOKUP(G209,'[1]Attributes(OUTDATED)'!$A$2:$H$19,8,FALSE)</f>
        <v>1223</v>
      </c>
      <c r="M209" s="3" t="str">
        <f>K209&amp;J209</f>
        <v>AM</v>
      </c>
      <c r="N209" s="3" t="e">
        <f>VLOOKUP(G209,#REF!,2,FALSE)</f>
        <v>#REF!</v>
      </c>
      <c r="O209" s="11">
        <v>45129</v>
      </c>
      <c r="P209" s="13">
        <v>19.7</v>
      </c>
      <c r="Q209" s="13">
        <v>16</v>
      </c>
      <c r="R209" s="13">
        <v>9.6999999999999993</v>
      </c>
      <c r="S209" s="13">
        <f>Table2[[#This Row],[2_Temp_H]]-Table2[[#This Row],[2_Temp_L]]</f>
        <v>10</v>
      </c>
      <c r="T209" s="13">
        <v>37</v>
      </c>
      <c r="U209" s="13">
        <v>13.2</v>
      </c>
      <c r="V209" s="13">
        <v>1013.88</v>
      </c>
      <c r="W209" s="13">
        <v>1009.82</v>
      </c>
      <c r="X209" s="13">
        <v>0</v>
      </c>
      <c r="Y209" s="13" t="s">
        <v>147</v>
      </c>
      <c r="Z209" s="16" t="s">
        <v>171</v>
      </c>
      <c r="AA209" s="13" t="s">
        <v>137</v>
      </c>
      <c r="AB209" s="13" t="s">
        <v>144</v>
      </c>
      <c r="AC209" s="13" t="s">
        <v>146</v>
      </c>
      <c r="AD209" s="13" t="s">
        <v>137</v>
      </c>
      <c r="AE209" s="13">
        <f>VLOOKUP(Table2[[#This Row],[3_Elephant_ID]],'[1]Attributes(OUTDATED)'!$A$2:$N$19,12,FALSE)</f>
        <v>404</v>
      </c>
      <c r="AF209" s="13">
        <f>VLOOKUP(Table2[[#This Row],[3_Elephant_ID]],'[1]Attributes(OUTDATED)'!$A$2:$N$19,13,FALSE)</f>
        <v>0.91700000000000004</v>
      </c>
      <c r="AG209" s="13">
        <f>VLOOKUP(Table2[[#This Row],[3_Elephant_ID]],'[1]Attributes(OUTDATED)'!$A$2:$N$19,14,FALSE)</f>
        <v>0.91664628583929353</v>
      </c>
      <c r="AH209" s="13">
        <v>0</v>
      </c>
      <c r="AI209" s="13">
        <v>0</v>
      </c>
      <c r="AJ209" s="13">
        <v>0</v>
      </c>
      <c r="AK209" s="13">
        <v>0</v>
      </c>
      <c r="AL209" s="13">
        <f>VLOOKUP(Table2[[#This Row],[3_Elephant_ID]],'[1]Attributes(OUTDATED)'!$A$2:$P$19,16,FALSE)</f>
        <v>1</v>
      </c>
      <c r="AM209" s="13">
        <f>VLOOKUP(Table2[[#This Row],[3_Elephant_ID]],'[1]Attributes(OUTDATED)'!$A$2:$S$19,17,FALSE)</f>
        <v>14</v>
      </c>
      <c r="AN209" s="13">
        <f>VLOOKUP(Table2[[#This Row],[3_Elephant_ID]],'[1]Attributes(OUTDATED)'!$A$2:$S$19,18,FALSE)</f>
        <v>17</v>
      </c>
    </row>
    <row r="210" spans="1:40" ht="28" x14ac:dyDescent="0.15">
      <c r="A210" s="3">
        <v>225</v>
      </c>
      <c r="B210" s="6">
        <v>2407231618</v>
      </c>
      <c r="C210" s="7">
        <v>24</v>
      </c>
      <c r="D210" s="7">
        <v>7</v>
      </c>
      <c r="E210" s="7">
        <v>2023</v>
      </c>
      <c r="F210" s="5">
        <v>45131</v>
      </c>
      <c r="G210" s="6" t="s">
        <v>8</v>
      </c>
      <c r="H210" s="17">
        <v>0.29240150093808631</v>
      </c>
      <c r="I210" s="20">
        <f>ROUNDUP((Table2[[#This Row],[fGCM_Conc]]*10000),0)</f>
        <v>2925</v>
      </c>
      <c r="J210" s="3" t="str">
        <f>VLOOKUP(G210,'[1]Attributes(OUTDATED)'!$A$2:$C$19,2,FALSE)</f>
        <v>F</v>
      </c>
      <c r="K210" s="3" t="str">
        <f>VLOOKUP(G210,'[1]Attributes(OUTDATED)'!$A$2:$C$19,3,FALSE)</f>
        <v>A</v>
      </c>
      <c r="L210" s="3">
        <f>VLOOKUP(G210,'[1]Attributes(OUTDATED)'!$A$2:$H$19,8,FALSE)</f>
        <v>1096</v>
      </c>
      <c r="M210" s="3" t="str">
        <f>K210&amp;J210</f>
        <v>AF</v>
      </c>
      <c r="N210" s="3" t="e">
        <f>VLOOKUP(G210,#REF!,2,FALSE)</f>
        <v>#REF!</v>
      </c>
      <c r="O210" s="11">
        <v>45129</v>
      </c>
      <c r="P210" s="13">
        <v>19.7</v>
      </c>
      <c r="Q210" s="13">
        <v>16</v>
      </c>
      <c r="R210" s="13">
        <v>9.6999999999999993</v>
      </c>
      <c r="S210" s="13">
        <f>Table2[[#This Row],[2_Temp_H]]-Table2[[#This Row],[2_Temp_L]]</f>
        <v>10</v>
      </c>
      <c r="T210" s="13">
        <v>37</v>
      </c>
      <c r="U210" s="13">
        <v>13.2</v>
      </c>
      <c r="V210" s="13">
        <v>1013.88</v>
      </c>
      <c r="W210" s="13">
        <v>1009.82</v>
      </c>
      <c r="X210" s="13">
        <v>0</v>
      </c>
      <c r="Y210" s="13" t="s">
        <v>147</v>
      </c>
      <c r="Z210" s="16" t="s">
        <v>171</v>
      </c>
      <c r="AA210" s="13" t="s">
        <v>137</v>
      </c>
      <c r="AB210" s="13" t="s">
        <v>144</v>
      </c>
      <c r="AC210" s="13" t="s">
        <v>146</v>
      </c>
      <c r="AD210" s="13" t="s">
        <v>137</v>
      </c>
      <c r="AE210" s="13">
        <f>VLOOKUP(Table2[[#This Row],[3_Elephant_ID]],'[1]Attributes(OUTDATED)'!$A$2:$N$19,12,FALSE)</f>
        <v>346</v>
      </c>
      <c r="AF210" s="13">
        <f>VLOOKUP(Table2[[#This Row],[3_Elephant_ID]],'[1]Attributes(OUTDATED)'!$A$2:$N$19,13,FALSE)</f>
        <v>0.28999999999999998</v>
      </c>
      <c r="AG210" s="13">
        <f>VLOOKUP(Table2[[#This Row],[3_Elephant_ID]],'[1]Attributes(OUTDATED)'!$A$2:$N$19,14,FALSE)</f>
        <v>0.28929989906834258</v>
      </c>
      <c r="AH210" s="13">
        <v>0</v>
      </c>
      <c r="AI210" s="13">
        <v>0</v>
      </c>
      <c r="AJ210" s="13">
        <v>0</v>
      </c>
      <c r="AK210" s="13">
        <v>0</v>
      </c>
      <c r="AL210" s="13">
        <f>VLOOKUP(Table2[[#This Row],[3_Elephant_ID]],'[1]Attributes(OUTDATED)'!$A$2:$P$19,16,FALSE)</f>
        <v>1</v>
      </c>
      <c r="AM210" s="13">
        <f>VLOOKUP(Table2[[#This Row],[3_Elephant_ID]],'[1]Attributes(OUTDATED)'!$A$2:$S$19,17,FALSE)</f>
        <v>11</v>
      </c>
      <c r="AN210" s="13">
        <f>VLOOKUP(Table2[[#This Row],[3_Elephant_ID]],'[1]Attributes(OUTDATED)'!$A$2:$S$19,18,FALSE)</f>
        <v>7</v>
      </c>
    </row>
    <row r="211" spans="1:40" ht="28" x14ac:dyDescent="0.15">
      <c r="A211" s="3">
        <v>228</v>
      </c>
      <c r="B211" s="6">
        <v>2407231514</v>
      </c>
      <c r="C211" s="7">
        <v>24</v>
      </c>
      <c r="D211" s="7">
        <v>7</v>
      </c>
      <c r="E211" s="7">
        <v>2023</v>
      </c>
      <c r="F211" s="5">
        <v>45131</v>
      </c>
      <c r="G211" s="6" t="s">
        <v>1</v>
      </c>
      <c r="H211" s="17">
        <v>0.26601869158878505</v>
      </c>
      <c r="I211" s="20">
        <f>ROUNDUP((Table2[[#This Row],[fGCM_Conc]]*10000),0)</f>
        <v>2661</v>
      </c>
      <c r="J211" s="3" t="str">
        <f>VLOOKUP(G211,'[1]Attributes(OUTDATED)'!$A$2:$C$19,2,FALSE)</f>
        <v>F</v>
      </c>
      <c r="K211" s="3" t="str">
        <f>VLOOKUP(G211,'[1]Attributes(OUTDATED)'!$A$2:$C$19,3,FALSE)</f>
        <v>A</v>
      </c>
      <c r="L211" s="3">
        <f>VLOOKUP(G211,'[1]Attributes(OUTDATED)'!$A$2:$H$19,8,FALSE)</f>
        <v>929</v>
      </c>
      <c r="M211" s="3" t="str">
        <f>K211&amp;J211</f>
        <v>AF</v>
      </c>
      <c r="N211" s="3" t="e">
        <f>VLOOKUP(G211,#REF!,2,FALSE)</f>
        <v>#REF!</v>
      </c>
      <c r="O211" s="11">
        <v>45129</v>
      </c>
      <c r="P211" s="13">
        <v>19.7</v>
      </c>
      <c r="Q211" s="13">
        <v>16</v>
      </c>
      <c r="R211" s="13">
        <v>9.6999999999999993</v>
      </c>
      <c r="S211" s="13">
        <f>Table2[[#This Row],[2_Temp_H]]-Table2[[#This Row],[2_Temp_L]]</f>
        <v>10</v>
      </c>
      <c r="T211" s="13">
        <v>37</v>
      </c>
      <c r="U211" s="13">
        <v>13.2</v>
      </c>
      <c r="V211" s="13">
        <v>1013.88</v>
      </c>
      <c r="W211" s="13">
        <v>1009.82</v>
      </c>
      <c r="X211" s="13">
        <v>0</v>
      </c>
      <c r="Y211" s="13" t="s">
        <v>147</v>
      </c>
      <c r="Z211" s="16" t="s">
        <v>171</v>
      </c>
      <c r="AA211" s="13" t="s">
        <v>137</v>
      </c>
      <c r="AB211" s="13" t="s">
        <v>144</v>
      </c>
      <c r="AC211" s="13" t="s">
        <v>146</v>
      </c>
      <c r="AD211" s="13" t="s">
        <v>137</v>
      </c>
      <c r="AE211" s="13">
        <f>VLOOKUP(Table2[[#This Row],[3_Elephant_ID]],'[1]Attributes(OUTDATED)'!$A$2:$N$19,12,FALSE)</f>
        <v>321</v>
      </c>
      <c r="AF211" s="13">
        <f>VLOOKUP(Table2[[#This Row],[3_Elephant_ID]],'[1]Attributes(OUTDATED)'!$A$2:$N$19,13,FALSE)</f>
        <v>0.17599999999999999</v>
      </c>
      <c r="AG211" s="13">
        <f>VLOOKUP(Table2[[#This Row],[3_Elephant_ID]],'[1]Attributes(OUTDATED)'!$A$2:$N$19,14,FALSE)</f>
        <v>0.17530262753188491</v>
      </c>
      <c r="AH211" s="13">
        <v>0</v>
      </c>
      <c r="AI211" s="13">
        <v>0</v>
      </c>
      <c r="AJ211" s="13">
        <v>0</v>
      </c>
      <c r="AK211" s="13">
        <v>0</v>
      </c>
      <c r="AL211" s="13">
        <f>VLOOKUP(Table2[[#This Row],[3_Elephant_ID]],'[1]Attributes(OUTDATED)'!$A$2:$P$19,16,FALSE)</f>
        <v>1</v>
      </c>
      <c r="AM211" s="13">
        <f>VLOOKUP(Table2[[#This Row],[3_Elephant_ID]],'[1]Attributes(OUTDATED)'!$A$2:$S$19,17,FALSE)</f>
        <v>6</v>
      </c>
      <c r="AN211" s="13">
        <f>VLOOKUP(Table2[[#This Row],[3_Elephant_ID]],'[1]Attributes(OUTDATED)'!$A$2:$S$19,18,FALSE)</f>
        <v>8</v>
      </c>
    </row>
    <row r="212" spans="1:40" ht="28" x14ac:dyDescent="0.15">
      <c r="A212" s="3">
        <v>227</v>
      </c>
      <c r="B212" s="6">
        <v>2407231524</v>
      </c>
      <c r="C212" s="7">
        <v>24</v>
      </c>
      <c r="D212" s="7">
        <v>7</v>
      </c>
      <c r="E212" s="7">
        <v>2023</v>
      </c>
      <c r="F212" s="5">
        <v>45131</v>
      </c>
      <c r="G212" s="6" t="s">
        <v>13</v>
      </c>
      <c r="H212" s="17">
        <v>0.2570689655172414</v>
      </c>
      <c r="I212" s="20">
        <f>ROUNDUP((Table2[[#This Row],[fGCM_Conc]]*10000),0)</f>
        <v>2571</v>
      </c>
      <c r="J212" s="3" t="str">
        <f>VLOOKUP(G212,'[1]Attributes(OUTDATED)'!$A$2:$C$19,2,FALSE)</f>
        <v>F</v>
      </c>
      <c r="K212" s="3" t="str">
        <f>VLOOKUP(G212,'[1]Attributes(OUTDATED)'!$A$2:$C$19,3,FALSE)</f>
        <v>A</v>
      </c>
      <c r="L212" s="3">
        <f>VLOOKUP(G212,'[1]Attributes(OUTDATED)'!$A$2:$H$19,8,FALSE)</f>
        <v>963</v>
      </c>
      <c r="M212" s="3" t="str">
        <f>K212&amp;J212</f>
        <v>AF</v>
      </c>
      <c r="N212" s="3" t="e">
        <f>VLOOKUP(G212,#REF!,2,FALSE)</f>
        <v>#REF!</v>
      </c>
      <c r="O212" s="11">
        <v>45129</v>
      </c>
      <c r="P212" s="13">
        <v>19.7</v>
      </c>
      <c r="Q212" s="13">
        <v>16</v>
      </c>
      <c r="R212" s="13">
        <v>9.6999999999999993</v>
      </c>
      <c r="S212" s="13">
        <f>Table2[[#This Row],[2_Temp_H]]-Table2[[#This Row],[2_Temp_L]]</f>
        <v>10</v>
      </c>
      <c r="T212" s="13">
        <v>37</v>
      </c>
      <c r="U212" s="13">
        <v>13.2</v>
      </c>
      <c r="V212" s="13">
        <v>1013.88</v>
      </c>
      <c r="W212" s="13">
        <v>1009.82</v>
      </c>
      <c r="X212" s="13">
        <v>0</v>
      </c>
      <c r="Y212" s="13" t="s">
        <v>147</v>
      </c>
      <c r="Z212" s="16" t="s">
        <v>171</v>
      </c>
      <c r="AA212" s="13" t="s">
        <v>137</v>
      </c>
      <c r="AB212" s="13" t="s">
        <v>144</v>
      </c>
      <c r="AC212" s="13" t="s">
        <v>146</v>
      </c>
      <c r="AD212" s="13" t="s">
        <v>137</v>
      </c>
      <c r="AE212" s="13">
        <f>VLOOKUP(Table2[[#This Row],[3_Elephant_ID]],'[1]Attributes(OUTDATED)'!$A$2:$N$19,12,FALSE)</f>
        <v>289</v>
      </c>
      <c r="AF212" s="13">
        <f>VLOOKUP(Table2[[#This Row],[3_Elephant_ID]],'[1]Attributes(OUTDATED)'!$A$2:$N$19,13,FALSE)</f>
        <v>0.32400000000000001</v>
      </c>
      <c r="AG212" s="13">
        <f>VLOOKUP(Table2[[#This Row],[3_Elephant_ID]],'[1]Attributes(OUTDATED)'!$A$2:$N$19,14,FALSE)</f>
        <v>0.32380809109629533</v>
      </c>
      <c r="AH212" s="13">
        <v>0</v>
      </c>
      <c r="AI212" s="13">
        <v>0</v>
      </c>
      <c r="AJ212" s="13">
        <v>0</v>
      </c>
      <c r="AK212" s="13">
        <v>0</v>
      </c>
      <c r="AL212" s="13">
        <f>VLOOKUP(Table2[[#This Row],[3_Elephant_ID]],'[1]Attributes(OUTDATED)'!$A$2:$P$19,16,FALSE)</f>
        <v>2</v>
      </c>
      <c r="AM212" s="13">
        <f>VLOOKUP(Table2[[#This Row],[3_Elephant_ID]],'[1]Attributes(OUTDATED)'!$A$2:$S$19,17,FALSE)</f>
        <v>9</v>
      </c>
      <c r="AN212" s="13">
        <f>VLOOKUP(Table2[[#This Row],[3_Elephant_ID]],'[1]Attributes(OUTDATED)'!$A$2:$S$19,18,FALSE)</f>
        <v>9</v>
      </c>
    </row>
    <row r="213" spans="1:40" ht="28" x14ac:dyDescent="0.15">
      <c r="A213" s="3">
        <v>226</v>
      </c>
      <c r="B213" s="6">
        <v>2407231615</v>
      </c>
      <c r="C213" s="7">
        <v>24</v>
      </c>
      <c r="D213" s="7">
        <v>7</v>
      </c>
      <c r="E213" s="7">
        <v>2023</v>
      </c>
      <c r="F213" s="5">
        <v>45131</v>
      </c>
      <c r="G213" s="6" t="s">
        <v>12</v>
      </c>
      <c r="H213" s="17">
        <v>0.20823182711198429</v>
      </c>
      <c r="I213" s="20">
        <f>ROUNDUP((Table2[[#This Row],[fGCM_Conc]]*10000),0)</f>
        <v>2083</v>
      </c>
      <c r="J213" s="3" t="str">
        <f>VLOOKUP(G213,'[1]Attributes(OUTDATED)'!$A$2:$C$19,2,FALSE)</f>
        <v>M</v>
      </c>
      <c r="K213" s="3" t="str">
        <f>VLOOKUP(G213,'[1]Attributes(OUTDATED)'!$A$2:$C$19,3,FALSE)</f>
        <v>A</v>
      </c>
      <c r="L213" s="3">
        <f>VLOOKUP(G213,'[1]Attributes(OUTDATED)'!$A$2:$H$19,8,FALSE)</f>
        <v>1509</v>
      </c>
      <c r="M213" s="3" t="str">
        <f>K213&amp;J213</f>
        <v>AM</v>
      </c>
      <c r="N213" s="3" t="e">
        <f>VLOOKUP(G213,#REF!,2,FALSE)</f>
        <v>#REF!</v>
      </c>
      <c r="O213" s="11">
        <v>45129</v>
      </c>
      <c r="P213" s="13">
        <v>19.7</v>
      </c>
      <c r="Q213" s="13">
        <v>16</v>
      </c>
      <c r="R213" s="13">
        <v>9.6999999999999993</v>
      </c>
      <c r="S213" s="13">
        <f>Table2[[#This Row],[2_Temp_H]]-Table2[[#This Row],[2_Temp_L]]</f>
        <v>10</v>
      </c>
      <c r="T213" s="13">
        <v>37</v>
      </c>
      <c r="U213" s="13">
        <v>13.2</v>
      </c>
      <c r="V213" s="13">
        <v>1013.88</v>
      </c>
      <c r="W213" s="13">
        <v>1009.82</v>
      </c>
      <c r="X213" s="13">
        <v>0</v>
      </c>
      <c r="Y213" s="13" t="s">
        <v>147</v>
      </c>
      <c r="Z213" s="16" t="s">
        <v>171</v>
      </c>
      <c r="AA213" s="13" t="s">
        <v>137</v>
      </c>
      <c r="AB213" s="13" t="s">
        <v>144</v>
      </c>
      <c r="AC213" s="13" t="s">
        <v>146</v>
      </c>
      <c r="AD213" s="13" t="s">
        <v>137</v>
      </c>
      <c r="AE213" s="13">
        <f>VLOOKUP(Table2[[#This Row],[3_Elephant_ID]],'[1]Attributes(OUTDATED)'!$A$2:$N$19,12,FALSE)</f>
        <v>450</v>
      </c>
      <c r="AF213" s="13">
        <f>VLOOKUP(Table2[[#This Row],[3_Elephant_ID]],'[1]Attributes(OUTDATED)'!$A$2:$N$19,13,FALSE)</f>
        <v>0.375</v>
      </c>
      <c r="AG213" s="13">
        <f>VLOOKUP(Table2[[#This Row],[3_Elephant_ID]],'[1]Attributes(OUTDATED)'!$A$2:$N$19,14,FALSE)</f>
        <v>0.37414375430996583</v>
      </c>
      <c r="AH213" s="13">
        <v>0</v>
      </c>
      <c r="AI213" s="13">
        <v>0</v>
      </c>
      <c r="AJ213" s="13">
        <v>0</v>
      </c>
      <c r="AK213" s="13">
        <v>0</v>
      </c>
      <c r="AL213" s="13">
        <f>VLOOKUP(Table2[[#This Row],[3_Elephant_ID]],'[1]Attributes(OUTDATED)'!$A$2:$P$19,16,FALSE)</f>
        <v>1</v>
      </c>
      <c r="AM213" s="13">
        <f>VLOOKUP(Table2[[#This Row],[3_Elephant_ID]],'[1]Attributes(OUTDATED)'!$A$2:$S$19,17,FALSE)</f>
        <v>48</v>
      </c>
      <c r="AN213" s="13">
        <f>VLOOKUP(Table2[[#This Row],[3_Elephant_ID]],'[1]Attributes(OUTDATED)'!$A$2:$S$19,18,FALSE)</f>
        <v>3</v>
      </c>
    </row>
    <row r="214" spans="1:40" ht="28" x14ac:dyDescent="0.15">
      <c r="A214" s="3">
        <v>222</v>
      </c>
      <c r="B214" s="6">
        <v>2507231215</v>
      </c>
      <c r="C214" s="7">
        <v>25</v>
      </c>
      <c r="D214" s="7">
        <v>7</v>
      </c>
      <c r="E214" s="7">
        <v>2023</v>
      </c>
      <c r="F214" s="5">
        <v>45132</v>
      </c>
      <c r="G214" s="6" t="s">
        <v>16</v>
      </c>
      <c r="H214" s="17">
        <v>0.33748613678373385</v>
      </c>
      <c r="I214" s="20">
        <f>ROUNDUP((Table2[[#This Row],[fGCM_Conc]]*10000),0)</f>
        <v>3375</v>
      </c>
      <c r="J214" s="3" t="str">
        <f>VLOOKUP(G214,'[1]Attributes(OUTDATED)'!$A$2:$C$19,2,FALSE)</f>
        <v>F</v>
      </c>
      <c r="K214" s="3" t="str">
        <f>VLOOKUP(G214,'[1]Attributes(OUTDATED)'!$A$2:$C$19,3,FALSE)</f>
        <v>A</v>
      </c>
      <c r="L214" s="3">
        <f>VLOOKUP(G214,'[1]Attributes(OUTDATED)'!$A$2:$H$19,8,FALSE)</f>
        <v>1346</v>
      </c>
      <c r="M214" s="3" t="str">
        <f>K214&amp;J214</f>
        <v>AF</v>
      </c>
      <c r="N214" s="3" t="e">
        <f>VLOOKUP(G214,#REF!,2,FALSE)</f>
        <v>#REF!</v>
      </c>
      <c r="O214" s="11">
        <v>45130</v>
      </c>
      <c r="P214" s="13">
        <v>15.2</v>
      </c>
      <c r="Q214" s="13">
        <v>8.4</v>
      </c>
      <c r="R214" s="13">
        <v>1.5</v>
      </c>
      <c r="S214" s="13">
        <f>Table2[[#This Row],[2_Temp_H]]-Table2[[#This Row],[2_Temp_L]]</f>
        <v>13.7</v>
      </c>
      <c r="T214" s="13">
        <v>30.6</v>
      </c>
      <c r="U214" s="13">
        <v>4.7</v>
      </c>
      <c r="V214" s="13">
        <v>1015.92</v>
      </c>
      <c r="W214" s="13">
        <v>1011.85</v>
      </c>
      <c r="X214" s="13">
        <v>0</v>
      </c>
      <c r="Y214" s="13" t="s">
        <v>147</v>
      </c>
      <c r="Z214" s="16" t="s">
        <v>171</v>
      </c>
      <c r="AA214" s="13" t="s">
        <v>137</v>
      </c>
      <c r="AB214" s="13" t="s">
        <v>144</v>
      </c>
      <c r="AC214" s="13" t="s">
        <v>146</v>
      </c>
      <c r="AD214" s="13" t="s">
        <v>137</v>
      </c>
      <c r="AE214" s="13">
        <f>VLOOKUP(Table2[[#This Row],[3_Elephant_ID]],'[1]Attributes(OUTDATED)'!$A$2:$N$19,12,FALSE)</f>
        <v>474</v>
      </c>
      <c r="AF214" s="13">
        <f>VLOOKUP(Table2[[#This Row],[3_Elephant_ID]],'[1]Attributes(OUTDATED)'!$A$2:$N$19,13,FALSE)</f>
        <v>0.121</v>
      </c>
      <c r="AG214" s="13">
        <f>VLOOKUP(Table2[[#This Row],[3_Elephant_ID]],'[1]Attributes(OUTDATED)'!$A$2:$N$19,14,FALSE)</f>
        <v>0.1206993463154281</v>
      </c>
      <c r="AH214" s="13">
        <v>2</v>
      </c>
      <c r="AI214" s="13">
        <v>0</v>
      </c>
      <c r="AJ214" s="13">
        <v>0</v>
      </c>
      <c r="AK214" s="13">
        <v>0</v>
      </c>
      <c r="AL214" s="13">
        <f>VLOOKUP(Table2[[#This Row],[3_Elephant_ID]],'[1]Attributes(OUTDATED)'!$A$2:$P$19,16,FALSE)</f>
        <v>1</v>
      </c>
      <c r="AM214" s="13">
        <f>VLOOKUP(Table2[[#This Row],[3_Elephant_ID]],'[1]Attributes(OUTDATED)'!$A$2:$S$19,17,FALSE)</f>
        <v>16</v>
      </c>
      <c r="AN214" s="13">
        <f>VLOOKUP(Table2[[#This Row],[3_Elephant_ID]],'[1]Attributes(OUTDATED)'!$A$2:$S$19,18,FALSE)</f>
        <v>1</v>
      </c>
    </row>
    <row r="215" spans="1:40" ht="28" x14ac:dyDescent="0.15">
      <c r="A215" s="3">
        <v>223</v>
      </c>
      <c r="B215" s="6">
        <v>2507231146</v>
      </c>
      <c r="C215" s="7">
        <v>25</v>
      </c>
      <c r="D215" s="7">
        <v>7</v>
      </c>
      <c r="E215" s="7">
        <v>2023</v>
      </c>
      <c r="F215" s="5">
        <v>45132</v>
      </c>
      <c r="G215" s="6" t="s">
        <v>2</v>
      </c>
      <c r="H215" s="17">
        <v>0.14407749077490778</v>
      </c>
      <c r="I215" s="20">
        <f>ROUNDUP((Table2[[#This Row],[fGCM_Conc]]*10000),0)</f>
        <v>1441</v>
      </c>
      <c r="J215" s="3" t="str">
        <f>VLOOKUP(G215,'[1]Attributes(OUTDATED)'!$A$2:$C$19,2,FALSE)</f>
        <v>F</v>
      </c>
      <c r="K215" s="3" t="str">
        <f>VLOOKUP(G215,'[1]Attributes(OUTDATED)'!$A$2:$C$19,3,FALSE)</f>
        <v>A</v>
      </c>
      <c r="L215" s="3">
        <f>VLOOKUP(G215,'[1]Attributes(OUTDATED)'!$A$2:$H$19,8,FALSE)</f>
        <v>892</v>
      </c>
      <c r="M215" s="3" t="str">
        <f>K215&amp;J215</f>
        <v>AF</v>
      </c>
      <c r="N215" s="3" t="e">
        <f>VLOOKUP(G215,#REF!,2,FALSE)</f>
        <v>#REF!</v>
      </c>
      <c r="O215" s="11">
        <v>45130</v>
      </c>
      <c r="P215" s="13">
        <v>15.2</v>
      </c>
      <c r="Q215" s="13">
        <v>8.4</v>
      </c>
      <c r="R215" s="13">
        <v>1.5</v>
      </c>
      <c r="S215" s="13">
        <f>Table2[[#This Row],[2_Temp_H]]-Table2[[#This Row],[2_Temp_L]]</f>
        <v>13.7</v>
      </c>
      <c r="T215" s="13">
        <v>30.6</v>
      </c>
      <c r="U215" s="13">
        <v>4.7</v>
      </c>
      <c r="V215" s="13">
        <v>1015.92</v>
      </c>
      <c r="W215" s="13">
        <v>1011.85</v>
      </c>
      <c r="X215" s="13">
        <v>0</v>
      </c>
      <c r="Y215" s="13" t="s">
        <v>147</v>
      </c>
      <c r="Z215" s="16" t="s">
        <v>171</v>
      </c>
      <c r="AA215" s="13" t="s">
        <v>137</v>
      </c>
      <c r="AB215" s="13" t="s">
        <v>144</v>
      </c>
      <c r="AC215" s="13" t="s">
        <v>146</v>
      </c>
      <c r="AD215" s="13" t="s">
        <v>137</v>
      </c>
      <c r="AE215" s="13">
        <f>VLOOKUP(Table2[[#This Row],[3_Elephant_ID]],'[1]Attributes(OUTDATED)'!$A$2:$N$19,12,FALSE)</f>
        <v>378</v>
      </c>
      <c r="AF215" s="13">
        <f>VLOOKUP(Table2[[#This Row],[3_Elephant_ID]],'[1]Attributes(OUTDATED)'!$A$2:$N$19,13,FALSE)</f>
        <v>8.6999999999999994E-2</v>
      </c>
      <c r="AG215" s="13">
        <f>VLOOKUP(Table2[[#This Row],[3_Elephant_ID]],'[1]Attributes(OUTDATED)'!$A$2:$N$19,14,FALSE)</f>
        <v>8.6599138783086713E-2</v>
      </c>
      <c r="AH215" s="13">
        <v>2</v>
      </c>
      <c r="AI215" s="13">
        <v>0</v>
      </c>
      <c r="AJ215" s="13">
        <v>0</v>
      </c>
      <c r="AK215" s="13">
        <v>0</v>
      </c>
      <c r="AL215" s="13">
        <f>VLOOKUP(Table2[[#This Row],[3_Elephant_ID]],'[1]Attributes(OUTDATED)'!$A$2:$P$19,16,FALSE)</f>
        <v>1</v>
      </c>
      <c r="AM215" s="13">
        <f>VLOOKUP(Table2[[#This Row],[3_Elephant_ID]],'[1]Attributes(OUTDATED)'!$A$2:$S$19,17,FALSE)</f>
        <v>4</v>
      </c>
      <c r="AN215" s="13">
        <f>VLOOKUP(Table2[[#This Row],[3_Elephant_ID]],'[1]Attributes(OUTDATED)'!$A$2:$S$19,18,FALSE)</f>
        <v>20</v>
      </c>
    </row>
    <row r="216" spans="1:40" s="33" customFormat="1" ht="28" x14ac:dyDescent="0.15">
      <c r="A216" s="25">
        <v>221</v>
      </c>
      <c r="B216" s="26">
        <v>2607230952</v>
      </c>
      <c r="C216" s="27">
        <v>26</v>
      </c>
      <c r="D216" s="27">
        <v>7</v>
      </c>
      <c r="E216" s="27">
        <v>2023</v>
      </c>
      <c r="F216" s="28">
        <v>45133</v>
      </c>
      <c r="G216" s="26" t="s">
        <v>3</v>
      </c>
      <c r="H216" s="29">
        <v>0.42805555555555558</v>
      </c>
      <c r="I216" s="30">
        <f>ROUNDUP((Table2[[#This Row],[fGCM_Conc]]*10000),0)</f>
        <v>4281</v>
      </c>
      <c r="J216" s="25" t="str">
        <f>VLOOKUP(G216,'[1]Attributes(OUTDATED)'!$A$2:$C$19,2,FALSE)</f>
        <v>M</v>
      </c>
      <c r="K216" s="25" t="str">
        <f>VLOOKUP(G216,'[1]Attributes(OUTDATED)'!$A$2:$C$19,3,FALSE)</f>
        <v>J</v>
      </c>
      <c r="L216" s="25">
        <f>VLOOKUP(G216,'[1]Attributes(OUTDATED)'!$A$2:$H$19,8,FALSE)</f>
        <v>1031</v>
      </c>
      <c r="M216" s="25" t="str">
        <f>K216&amp;J216</f>
        <v>JM</v>
      </c>
      <c r="N216" s="25" t="e">
        <f>VLOOKUP(G216,#REF!,2,FALSE)</f>
        <v>#REF!</v>
      </c>
      <c r="O216" s="31">
        <v>45131</v>
      </c>
      <c r="P216" s="32">
        <v>13.3</v>
      </c>
      <c r="Q216" s="32">
        <v>5.7</v>
      </c>
      <c r="R216" s="32">
        <v>0.2</v>
      </c>
      <c r="S216" s="32">
        <f>Table2[[#This Row],[2_Temp_H]]-Table2[[#This Row],[2_Temp_L]]</f>
        <v>13.100000000000001</v>
      </c>
      <c r="T216" s="32">
        <v>15.4</v>
      </c>
      <c r="U216" s="32">
        <v>2.5</v>
      </c>
      <c r="V216" s="32">
        <v>1019.98</v>
      </c>
      <c r="W216" s="32">
        <v>1015.92</v>
      </c>
      <c r="X216" s="32">
        <v>0.76</v>
      </c>
      <c r="Y216" s="32" t="s">
        <v>147</v>
      </c>
      <c r="Z216" s="32" t="s">
        <v>139</v>
      </c>
      <c r="AA216" s="32" t="s">
        <v>26</v>
      </c>
      <c r="AB216" s="32" t="s">
        <v>144</v>
      </c>
      <c r="AC216" s="32" t="s">
        <v>146</v>
      </c>
      <c r="AD216" s="32" t="s">
        <v>137</v>
      </c>
      <c r="AE216" s="32">
        <f>VLOOKUP(Table2[[#This Row],[3_Elephant_ID]],'[1]Attributes(OUTDATED)'!$A$2:$N$19,12,FALSE)</f>
        <v>234</v>
      </c>
      <c r="AF216" s="32">
        <f>VLOOKUP(Table2[[#This Row],[3_Elephant_ID]],'[1]Attributes(OUTDATED)'!$A$2:$N$19,13,FALSE)</f>
        <v>0.16500000000000001</v>
      </c>
      <c r="AG216" s="32">
        <f>VLOOKUP(Table2[[#This Row],[3_Elephant_ID]],'[1]Attributes(OUTDATED)'!$A$2:$N$19,14,FALSE)</f>
        <v>0.16420161303383449</v>
      </c>
      <c r="AH216" s="32">
        <v>1</v>
      </c>
      <c r="AI216" s="32">
        <v>0</v>
      </c>
      <c r="AJ216" s="32">
        <v>0</v>
      </c>
      <c r="AK216" s="32">
        <v>0</v>
      </c>
      <c r="AL216" s="32">
        <f>VLOOKUP(Table2[[#This Row],[3_Elephant_ID]],'[1]Attributes(OUTDATED)'!$A$2:$P$19,16,FALSE)</f>
        <v>1</v>
      </c>
      <c r="AM216" s="32">
        <f>VLOOKUP(Table2[[#This Row],[3_Elephant_ID]],'[1]Attributes(OUTDATED)'!$A$2:$S$19,17,FALSE)</f>
        <v>9</v>
      </c>
      <c r="AN216" s="32">
        <f>VLOOKUP(Table2[[#This Row],[3_Elephant_ID]],'[1]Attributes(OUTDATED)'!$A$2:$S$19,18,FALSE)</f>
        <v>9</v>
      </c>
    </row>
    <row r="217" spans="1:40" s="33" customFormat="1" ht="28" x14ac:dyDescent="0.15">
      <c r="A217" s="25">
        <v>220</v>
      </c>
      <c r="B217" s="26">
        <v>2607230951</v>
      </c>
      <c r="C217" s="27">
        <v>26</v>
      </c>
      <c r="D217" s="27">
        <v>7</v>
      </c>
      <c r="E217" s="27">
        <v>2023</v>
      </c>
      <c r="F217" s="28">
        <v>45133</v>
      </c>
      <c r="G217" s="26" t="s">
        <v>1</v>
      </c>
      <c r="H217" s="29">
        <v>0.40018761726078805</v>
      </c>
      <c r="I217" s="30">
        <f>ROUNDUP((Table2[[#This Row],[fGCM_Conc]]*10000),0)</f>
        <v>4002</v>
      </c>
      <c r="J217" s="25" t="str">
        <f>VLOOKUP(G217,'[1]Attributes(OUTDATED)'!$A$2:$C$19,2,FALSE)</f>
        <v>F</v>
      </c>
      <c r="K217" s="25" t="str">
        <f>VLOOKUP(G217,'[1]Attributes(OUTDATED)'!$A$2:$C$19,3,FALSE)</f>
        <v>A</v>
      </c>
      <c r="L217" s="25">
        <f>VLOOKUP(G217,'[1]Attributes(OUTDATED)'!$A$2:$H$19,8,FALSE)</f>
        <v>929</v>
      </c>
      <c r="M217" s="25" t="str">
        <f>K217&amp;J217</f>
        <v>AF</v>
      </c>
      <c r="N217" s="25" t="e">
        <f>VLOOKUP(G217,#REF!,2,FALSE)</f>
        <v>#REF!</v>
      </c>
      <c r="O217" s="31">
        <v>45131</v>
      </c>
      <c r="P217" s="32">
        <v>13.3</v>
      </c>
      <c r="Q217" s="32">
        <v>5.7</v>
      </c>
      <c r="R217" s="32">
        <v>0.2</v>
      </c>
      <c r="S217" s="32">
        <f>Table2[[#This Row],[2_Temp_H]]-Table2[[#This Row],[2_Temp_L]]</f>
        <v>13.100000000000001</v>
      </c>
      <c r="T217" s="32">
        <v>15.4</v>
      </c>
      <c r="U217" s="32">
        <v>2.5</v>
      </c>
      <c r="V217" s="32">
        <v>1019.98</v>
      </c>
      <c r="W217" s="32">
        <v>1015.92</v>
      </c>
      <c r="X217" s="32">
        <v>0.76</v>
      </c>
      <c r="Y217" s="32" t="s">
        <v>147</v>
      </c>
      <c r="Z217" s="32" t="s">
        <v>139</v>
      </c>
      <c r="AA217" s="32" t="s">
        <v>26</v>
      </c>
      <c r="AB217" s="32" t="s">
        <v>144</v>
      </c>
      <c r="AC217" s="32" t="s">
        <v>146</v>
      </c>
      <c r="AD217" s="32" t="s">
        <v>137</v>
      </c>
      <c r="AE217" s="32">
        <f>VLOOKUP(Table2[[#This Row],[3_Elephant_ID]],'[1]Attributes(OUTDATED)'!$A$2:$N$19,12,FALSE)</f>
        <v>321</v>
      </c>
      <c r="AF217" s="32">
        <f>VLOOKUP(Table2[[#This Row],[3_Elephant_ID]],'[1]Attributes(OUTDATED)'!$A$2:$N$19,13,FALSE)</f>
        <v>0.17599999999999999</v>
      </c>
      <c r="AG217" s="32">
        <f>VLOOKUP(Table2[[#This Row],[3_Elephant_ID]],'[1]Attributes(OUTDATED)'!$A$2:$N$19,14,FALSE)</f>
        <v>0.17530262753188491</v>
      </c>
      <c r="AH217" s="32">
        <v>1</v>
      </c>
      <c r="AI217" s="32">
        <v>0</v>
      </c>
      <c r="AJ217" s="32">
        <v>1</v>
      </c>
      <c r="AK217" s="32">
        <v>1</v>
      </c>
      <c r="AL217" s="32">
        <f>VLOOKUP(Table2[[#This Row],[3_Elephant_ID]],'[1]Attributes(OUTDATED)'!$A$2:$P$19,16,FALSE)</f>
        <v>1</v>
      </c>
      <c r="AM217" s="32">
        <f>VLOOKUP(Table2[[#This Row],[3_Elephant_ID]],'[1]Attributes(OUTDATED)'!$A$2:$S$19,17,FALSE)</f>
        <v>6</v>
      </c>
      <c r="AN217" s="32">
        <f>VLOOKUP(Table2[[#This Row],[3_Elephant_ID]],'[1]Attributes(OUTDATED)'!$A$2:$S$19,18,FALSE)</f>
        <v>8</v>
      </c>
    </row>
    <row r="218" spans="1:40" s="33" customFormat="1" ht="28" x14ac:dyDescent="0.15">
      <c r="A218" s="25">
        <v>217</v>
      </c>
      <c r="B218" s="26">
        <v>2607231413</v>
      </c>
      <c r="C218" s="27">
        <v>26</v>
      </c>
      <c r="D218" s="27">
        <v>7</v>
      </c>
      <c r="E218" s="27">
        <v>2023</v>
      </c>
      <c r="F218" s="28">
        <v>45133</v>
      </c>
      <c r="G218" s="26" t="s">
        <v>4</v>
      </c>
      <c r="H218" s="29">
        <v>0.32166990291262137</v>
      </c>
      <c r="I218" s="30">
        <f>ROUNDUP((Table2[[#This Row],[fGCM_Conc]]*10000),0)</f>
        <v>3217</v>
      </c>
      <c r="J218" s="25" t="str">
        <f>VLOOKUP(G218,'[1]Attributes(OUTDATED)'!$A$2:$C$19,2,FALSE)</f>
        <v>M</v>
      </c>
      <c r="K218" s="25" t="str">
        <f>VLOOKUP(G218,'[1]Attributes(OUTDATED)'!$A$2:$C$19,3,FALSE)</f>
        <v>J</v>
      </c>
      <c r="L218" s="25">
        <f>VLOOKUP(G218,'[1]Attributes(OUTDATED)'!$A$2:$H$19,8,FALSE)</f>
        <v>1055</v>
      </c>
      <c r="M218" s="25" t="str">
        <f>K218&amp;J218</f>
        <v>JM</v>
      </c>
      <c r="N218" s="25" t="e">
        <f>VLOOKUP(G218,#REF!,2,FALSE)</f>
        <v>#REF!</v>
      </c>
      <c r="O218" s="31">
        <v>45131</v>
      </c>
      <c r="P218" s="32">
        <v>13.3</v>
      </c>
      <c r="Q218" s="32">
        <v>5.7</v>
      </c>
      <c r="R218" s="32">
        <v>0.2</v>
      </c>
      <c r="S218" s="32">
        <f>Table2[[#This Row],[2_Temp_H]]-Table2[[#This Row],[2_Temp_L]]</f>
        <v>13.100000000000001</v>
      </c>
      <c r="T218" s="32">
        <v>15.4</v>
      </c>
      <c r="U218" s="32">
        <v>2.5</v>
      </c>
      <c r="V218" s="32">
        <v>1019.98</v>
      </c>
      <c r="W218" s="32">
        <v>1015.92</v>
      </c>
      <c r="X218" s="32">
        <v>0.76</v>
      </c>
      <c r="Y218" s="32" t="s">
        <v>147</v>
      </c>
      <c r="Z218" s="32" t="s">
        <v>139</v>
      </c>
      <c r="AA218" s="32" t="s">
        <v>26</v>
      </c>
      <c r="AB218" s="32" t="s">
        <v>144</v>
      </c>
      <c r="AC218" s="32" t="s">
        <v>146</v>
      </c>
      <c r="AD218" s="32" t="s">
        <v>137</v>
      </c>
      <c r="AE218" s="32">
        <f>VLOOKUP(Table2[[#This Row],[3_Elephant_ID]],'[1]Attributes(OUTDATED)'!$A$2:$N$19,12,FALSE)</f>
        <v>181</v>
      </c>
      <c r="AF218" s="32">
        <f>VLOOKUP(Table2[[#This Row],[3_Elephant_ID]],'[1]Attributes(OUTDATED)'!$A$2:$N$19,13,FALSE)</f>
        <v>7.3999999999999996E-2</v>
      </c>
      <c r="AG218" s="32">
        <f>VLOOKUP(Table2[[#This Row],[3_Elephant_ID]],'[1]Attributes(OUTDATED)'!$A$2:$N$19,14,FALSE)</f>
        <v>7.3914663535330896E-2</v>
      </c>
      <c r="AH218" s="32">
        <v>1</v>
      </c>
      <c r="AI218" s="32">
        <v>0</v>
      </c>
      <c r="AJ218" s="32">
        <v>0</v>
      </c>
      <c r="AK218" s="32">
        <v>0</v>
      </c>
      <c r="AL218" s="32">
        <f>VLOOKUP(Table2[[#This Row],[3_Elephant_ID]],'[1]Attributes(OUTDATED)'!$A$2:$P$19,16,FALSE)</f>
        <v>1</v>
      </c>
      <c r="AM218" s="32">
        <f>VLOOKUP(Table2[[#This Row],[3_Elephant_ID]],'[1]Attributes(OUTDATED)'!$A$2:$S$19,17,FALSE)</f>
        <v>7</v>
      </c>
      <c r="AN218" s="32">
        <f>VLOOKUP(Table2[[#This Row],[3_Elephant_ID]],'[1]Attributes(OUTDATED)'!$A$2:$S$19,18,FALSE)</f>
        <v>9</v>
      </c>
    </row>
    <row r="219" spans="1:40" s="33" customFormat="1" ht="28" x14ac:dyDescent="0.15">
      <c r="A219" s="25">
        <v>216</v>
      </c>
      <c r="B219" s="26">
        <v>2607231623</v>
      </c>
      <c r="C219" s="27">
        <v>26</v>
      </c>
      <c r="D219" s="27">
        <v>7</v>
      </c>
      <c r="E219" s="27">
        <v>2023</v>
      </c>
      <c r="F219" s="28">
        <v>45133</v>
      </c>
      <c r="G219" s="26" t="s">
        <v>1</v>
      </c>
      <c r="H219" s="29">
        <v>0.31890566037735851</v>
      </c>
      <c r="I219" s="30">
        <f>ROUNDUP((Table2[[#This Row],[fGCM_Conc]]*10000),0)</f>
        <v>3190</v>
      </c>
      <c r="J219" s="25" t="str">
        <f>VLOOKUP(G219,'[1]Attributes(OUTDATED)'!$A$2:$C$19,2,FALSE)</f>
        <v>F</v>
      </c>
      <c r="K219" s="25" t="str">
        <f>VLOOKUP(G219,'[1]Attributes(OUTDATED)'!$A$2:$C$19,3,FALSE)</f>
        <v>A</v>
      </c>
      <c r="L219" s="25">
        <f>VLOOKUP(G219,'[1]Attributes(OUTDATED)'!$A$2:$H$19,8,FALSE)</f>
        <v>929</v>
      </c>
      <c r="M219" s="25" t="str">
        <f>K219&amp;J219</f>
        <v>AF</v>
      </c>
      <c r="N219" s="25" t="e">
        <f>VLOOKUP(G219,#REF!,2,FALSE)</f>
        <v>#REF!</v>
      </c>
      <c r="O219" s="31">
        <v>45131</v>
      </c>
      <c r="P219" s="32">
        <v>13.3</v>
      </c>
      <c r="Q219" s="32">
        <v>5.7</v>
      </c>
      <c r="R219" s="32">
        <v>0.2</v>
      </c>
      <c r="S219" s="32">
        <f>Table2[[#This Row],[2_Temp_H]]-Table2[[#This Row],[2_Temp_L]]</f>
        <v>13.100000000000001</v>
      </c>
      <c r="T219" s="32">
        <v>15.4</v>
      </c>
      <c r="U219" s="32">
        <v>2.5</v>
      </c>
      <c r="V219" s="32">
        <v>1019.98</v>
      </c>
      <c r="W219" s="32">
        <v>1015.92</v>
      </c>
      <c r="X219" s="32">
        <v>0.76</v>
      </c>
      <c r="Y219" s="32" t="s">
        <v>147</v>
      </c>
      <c r="Z219" s="32" t="s">
        <v>139</v>
      </c>
      <c r="AA219" s="32" t="s">
        <v>26</v>
      </c>
      <c r="AB219" s="32" t="s">
        <v>144</v>
      </c>
      <c r="AC219" s="32" t="s">
        <v>146</v>
      </c>
      <c r="AD219" s="32" t="s">
        <v>137</v>
      </c>
      <c r="AE219" s="32">
        <f>VLOOKUP(Table2[[#This Row],[3_Elephant_ID]],'[1]Attributes(OUTDATED)'!$A$2:$N$19,12,FALSE)</f>
        <v>321</v>
      </c>
      <c r="AF219" s="32">
        <f>VLOOKUP(Table2[[#This Row],[3_Elephant_ID]],'[1]Attributes(OUTDATED)'!$A$2:$N$19,13,FALSE)</f>
        <v>0.17599999999999999</v>
      </c>
      <c r="AG219" s="32">
        <f>VLOOKUP(Table2[[#This Row],[3_Elephant_ID]],'[1]Attributes(OUTDATED)'!$A$2:$N$19,14,FALSE)</f>
        <v>0.17530262753188491</v>
      </c>
      <c r="AH219" s="32">
        <v>1</v>
      </c>
      <c r="AI219" s="32">
        <v>0</v>
      </c>
      <c r="AJ219" s="32">
        <v>1</v>
      </c>
      <c r="AK219" s="32">
        <v>1</v>
      </c>
      <c r="AL219" s="32">
        <f>VLOOKUP(Table2[[#This Row],[3_Elephant_ID]],'[1]Attributes(OUTDATED)'!$A$2:$P$19,16,FALSE)</f>
        <v>1</v>
      </c>
      <c r="AM219" s="32">
        <f>VLOOKUP(Table2[[#This Row],[3_Elephant_ID]],'[1]Attributes(OUTDATED)'!$A$2:$S$19,17,FALSE)</f>
        <v>6</v>
      </c>
      <c r="AN219" s="32">
        <f>VLOOKUP(Table2[[#This Row],[3_Elephant_ID]],'[1]Attributes(OUTDATED)'!$A$2:$S$19,18,FALSE)</f>
        <v>8</v>
      </c>
    </row>
    <row r="220" spans="1:40" s="33" customFormat="1" ht="28" x14ac:dyDescent="0.15">
      <c r="A220" s="25">
        <v>219</v>
      </c>
      <c r="B220" s="26">
        <v>2607231022</v>
      </c>
      <c r="C220" s="27">
        <v>26</v>
      </c>
      <c r="D220" s="27">
        <v>7</v>
      </c>
      <c r="E220" s="27">
        <v>2023</v>
      </c>
      <c r="F220" s="28">
        <v>45133</v>
      </c>
      <c r="G220" s="26" t="s">
        <v>15</v>
      </c>
      <c r="H220" s="29">
        <v>0.30174812030075193</v>
      </c>
      <c r="I220" s="30">
        <f>ROUNDUP((Table2[[#This Row],[fGCM_Conc]]*10000),0)</f>
        <v>3018</v>
      </c>
      <c r="J220" s="25" t="str">
        <f>VLOOKUP(G220,'[1]Attributes(OUTDATED)'!$A$2:$C$19,2,FALSE)</f>
        <v>M</v>
      </c>
      <c r="K220" s="25" t="str">
        <f>VLOOKUP(G220,'[1]Attributes(OUTDATED)'!$A$2:$C$19,3,FALSE)</f>
        <v>J</v>
      </c>
      <c r="L220" s="25">
        <f>VLOOKUP(G220,'[1]Attributes(OUTDATED)'!$A$2:$H$19,8,FALSE)</f>
        <v>828</v>
      </c>
      <c r="M220" s="25" t="str">
        <f>K220&amp;J220</f>
        <v>JM</v>
      </c>
      <c r="N220" s="25" t="e">
        <f>VLOOKUP(G220,#REF!,2,FALSE)</f>
        <v>#REF!</v>
      </c>
      <c r="O220" s="31">
        <v>45131</v>
      </c>
      <c r="P220" s="32">
        <v>13.3</v>
      </c>
      <c r="Q220" s="32">
        <v>5.7</v>
      </c>
      <c r="R220" s="32">
        <v>0.2</v>
      </c>
      <c r="S220" s="32">
        <f>Table2[[#This Row],[2_Temp_H]]-Table2[[#This Row],[2_Temp_L]]</f>
        <v>13.100000000000001</v>
      </c>
      <c r="T220" s="32">
        <v>15.4</v>
      </c>
      <c r="U220" s="32">
        <v>2.5</v>
      </c>
      <c r="V220" s="32">
        <v>1019.98</v>
      </c>
      <c r="W220" s="32">
        <v>1015.92</v>
      </c>
      <c r="X220" s="32">
        <v>0.76</v>
      </c>
      <c r="Y220" s="32" t="s">
        <v>147</v>
      </c>
      <c r="Z220" s="32" t="s">
        <v>139</v>
      </c>
      <c r="AA220" s="32" t="s">
        <v>26</v>
      </c>
      <c r="AB220" s="32" t="s">
        <v>144</v>
      </c>
      <c r="AC220" s="32" t="s">
        <v>146</v>
      </c>
      <c r="AD220" s="32" t="s">
        <v>137</v>
      </c>
      <c r="AE220" s="32">
        <f>VLOOKUP(Table2[[#This Row],[3_Elephant_ID]],'[1]Attributes(OUTDATED)'!$A$2:$N$19,12,FALSE)</f>
        <v>219</v>
      </c>
      <c r="AF220" s="32">
        <f>VLOOKUP(Table2[[#This Row],[3_Elephant_ID]],'[1]Attributes(OUTDATED)'!$A$2:$N$19,13,FALSE)</f>
        <v>0.32300000000000001</v>
      </c>
      <c r="AG220" s="32">
        <f>VLOOKUP(Table2[[#This Row],[3_Elephant_ID]],'[1]Attributes(OUTDATED)'!$A$2:$N$19,14,FALSE)</f>
        <v>0.32257531484312868</v>
      </c>
      <c r="AH220" s="32">
        <v>1</v>
      </c>
      <c r="AI220" s="32">
        <v>0</v>
      </c>
      <c r="AJ220" s="32">
        <v>0</v>
      </c>
      <c r="AK220" s="32">
        <v>0</v>
      </c>
      <c r="AL220" s="32">
        <f>VLOOKUP(Table2[[#This Row],[3_Elephant_ID]],'[1]Attributes(OUTDATED)'!$A$2:$P$19,16,FALSE)</f>
        <v>2</v>
      </c>
      <c r="AM220" s="32">
        <f>VLOOKUP(Table2[[#This Row],[3_Elephant_ID]],'[1]Attributes(OUTDATED)'!$A$2:$S$19,17,FALSE)</f>
        <v>1</v>
      </c>
      <c r="AN220" s="32">
        <f>VLOOKUP(Table2[[#This Row],[3_Elephant_ID]],'[1]Attributes(OUTDATED)'!$A$2:$S$19,18,FALSE)</f>
        <v>6</v>
      </c>
    </row>
    <row r="221" spans="1:40" s="33" customFormat="1" ht="28" x14ac:dyDescent="0.15">
      <c r="A221" s="25">
        <v>218</v>
      </c>
      <c r="B221" s="26">
        <v>2607231004</v>
      </c>
      <c r="C221" s="27">
        <v>26</v>
      </c>
      <c r="D221" s="27">
        <v>7</v>
      </c>
      <c r="E221" s="27">
        <v>2023</v>
      </c>
      <c r="F221" s="28">
        <v>45133</v>
      </c>
      <c r="G221" s="26" t="s">
        <v>17</v>
      </c>
      <c r="H221" s="29">
        <v>0.26622093023255816</v>
      </c>
      <c r="I221" s="30">
        <f>ROUNDUP((Table2[[#This Row],[fGCM_Conc]]*10000),0)</f>
        <v>2663</v>
      </c>
      <c r="J221" s="25" t="str">
        <f>VLOOKUP(G221,'[1]Attributes(OUTDATED)'!$A$2:$C$19,2,FALSE)</f>
        <v>M</v>
      </c>
      <c r="K221" s="25" t="str">
        <f>VLOOKUP(G221,'[1]Attributes(OUTDATED)'!$A$2:$C$19,3,FALSE)</f>
        <v>J</v>
      </c>
      <c r="L221" s="25">
        <f>VLOOKUP(G221,'[1]Attributes(OUTDATED)'!$A$2:$H$19,8,FALSE)</f>
        <v>699</v>
      </c>
      <c r="M221" s="25" t="str">
        <f>K221&amp;J221</f>
        <v>JM</v>
      </c>
      <c r="N221" s="25" t="e">
        <f>VLOOKUP(G221,#REF!,2,FALSE)</f>
        <v>#REF!</v>
      </c>
      <c r="O221" s="31">
        <v>45131</v>
      </c>
      <c r="P221" s="32">
        <v>13.3</v>
      </c>
      <c r="Q221" s="32">
        <v>5.7</v>
      </c>
      <c r="R221" s="32">
        <v>0.2</v>
      </c>
      <c r="S221" s="32">
        <f>Table2[[#This Row],[2_Temp_H]]-Table2[[#This Row],[2_Temp_L]]</f>
        <v>13.100000000000001</v>
      </c>
      <c r="T221" s="32">
        <v>15.4</v>
      </c>
      <c r="U221" s="32">
        <v>2.5</v>
      </c>
      <c r="V221" s="32">
        <v>1019.98</v>
      </c>
      <c r="W221" s="32">
        <v>1015.92</v>
      </c>
      <c r="X221" s="32">
        <v>0.76</v>
      </c>
      <c r="Y221" s="32" t="s">
        <v>147</v>
      </c>
      <c r="Z221" s="32" t="s">
        <v>139</v>
      </c>
      <c r="AA221" s="32" t="s">
        <v>26</v>
      </c>
      <c r="AB221" s="32" t="s">
        <v>144</v>
      </c>
      <c r="AC221" s="32" t="s">
        <v>146</v>
      </c>
      <c r="AD221" s="32" t="s">
        <v>137</v>
      </c>
      <c r="AE221" s="32">
        <f>VLOOKUP(Table2[[#This Row],[3_Elephant_ID]],'[1]Attributes(OUTDATED)'!$A$2:$N$19,12,FALSE)</f>
        <v>343</v>
      </c>
      <c r="AF221" s="32">
        <f>VLOOKUP(Table2[[#This Row],[3_Elephant_ID]],'[1]Attributes(OUTDATED)'!$A$2:$N$19,13,FALSE)</f>
        <v>0.81</v>
      </c>
      <c r="AG221" s="32">
        <f>VLOOKUP(Table2[[#This Row],[3_Elephant_ID]],'[1]Attributes(OUTDATED)'!$A$2:$N$19,14,FALSE)</f>
        <v>0.80966774571167055</v>
      </c>
      <c r="AH221" s="32">
        <v>1</v>
      </c>
      <c r="AI221" s="32">
        <v>0</v>
      </c>
      <c r="AJ221" s="32">
        <v>0</v>
      </c>
      <c r="AK221" s="32">
        <v>0</v>
      </c>
      <c r="AL221" s="32">
        <f>VLOOKUP(Table2[[#This Row],[3_Elephant_ID]],'[1]Attributes(OUTDATED)'!$A$2:$P$19,16,FALSE)</f>
        <v>1</v>
      </c>
      <c r="AM221" s="32">
        <f>VLOOKUP(Table2[[#This Row],[3_Elephant_ID]],'[1]Attributes(OUTDATED)'!$A$2:$S$19,17,FALSE)</f>
        <v>0</v>
      </c>
      <c r="AN221" s="32">
        <f>VLOOKUP(Table2[[#This Row],[3_Elephant_ID]],'[1]Attributes(OUTDATED)'!$A$2:$S$19,18,FALSE)</f>
        <v>8</v>
      </c>
    </row>
    <row r="222" spans="1:40" s="33" customFormat="1" ht="28" x14ac:dyDescent="0.15">
      <c r="A222" s="25">
        <v>205</v>
      </c>
      <c r="B222" s="26">
        <v>2707231437</v>
      </c>
      <c r="C222" s="27">
        <v>27</v>
      </c>
      <c r="D222" s="27">
        <v>7</v>
      </c>
      <c r="E222" s="27">
        <v>2023</v>
      </c>
      <c r="F222" s="28">
        <v>45134</v>
      </c>
      <c r="G222" s="26" t="s">
        <v>8</v>
      </c>
      <c r="H222" s="29">
        <v>0.73538321167883192</v>
      </c>
      <c r="I222" s="30">
        <f>ROUNDUP((Table2[[#This Row],[fGCM_Conc]]*10000),0)</f>
        <v>7354</v>
      </c>
      <c r="J222" s="25" t="str">
        <f>VLOOKUP(G222,'[1]Attributes(OUTDATED)'!$A$2:$C$19,2,FALSE)</f>
        <v>F</v>
      </c>
      <c r="K222" s="25" t="str">
        <f>VLOOKUP(G222,'[1]Attributes(OUTDATED)'!$A$2:$C$19,3,FALSE)</f>
        <v>A</v>
      </c>
      <c r="L222" s="25">
        <f>VLOOKUP(G222,'[1]Attributes(OUTDATED)'!$A$2:$H$19,8,FALSE)</f>
        <v>1096</v>
      </c>
      <c r="M222" s="25" t="str">
        <f>K222&amp;J222</f>
        <v>AF</v>
      </c>
      <c r="N222" s="25" t="e">
        <f>VLOOKUP(G222,#REF!,2,FALSE)</f>
        <v>#REF!</v>
      </c>
      <c r="O222" s="31">
        <v>45132</v>
      </c>
      <c r="P222" s="32">
        <v>17.899999999999999</v>
      </c>
      <c r="Q222" s="32">
        <v>8.4</v>
      </c>
      <c r="R222" s="32">
        <v>-2.6</v>
      </c>
      <c r="S222" s="32">
        <f>Table2[[#This Row],[2_Temp_H]]-Table2[[#This Row],[2_Temp_L]]</f>
        <v>20.5</v>
      </c>
      <c r="T222" s="32">
        <v>22.2</v>
      </c>
      <c r="U222" s="32">
        <v>4.4000000000000004</v>
      </c>
      <c r="V222" s="32">
        <v>1018.96</v>
      </c>
      <c r="W222" s="32">
        <v>1012.87</v>
      </c>
      <c r="X222" s="32">
        <v>0</v>
      </c>
      <c r="Y222" s="32" t="s">
        <v>147</v>
      </c>
      <c r="Z222" s="32" t="s">
        <v>154</v>
      </c>
      <c r="AA222" s="32" t="s">
        <v>26</v>
      </c>
      <c r="AB222" s="32" t="s">
        <v>144</v>
      </c>
      <c r="AC222" s="32" t="s">
        <v>146</v>
      </c>
      <c r="AD222" s="32" t="s">
        <v>26</v>
      </c>
      <c r="AE222" s="32">
        <f>VLOOKUP(Table2[[#This Row],[3_Elephant_ID]],'[1]Attributes(OUTDATED)'!$A$2:$N$19,12,FALSE)</f>
        <v>346</v>
      </c>
      <c r="AF222" s="32">
        <f>VLOOKUP(Table2[[#This Row],[3_Elephant_ID]],'[1]Attributes(OUTDATED)'!$A$2:$N$19,13,FALSE)</f>
        <v>0.28999999999999998</v>
      </c>
      <c r="AG222" s="32">
        <f>VLOOKUP(Table2[[#This Row],[3_Elephant_ID]],'[1]Attributes(OUTDATED)'!$A$2:$N$19,14,FALSE)</f>
        <v>0.28929989906834258</v>
      </c>
      <c r="AH222" s="32">
        <v>1</v>
      </c>
      <c r="AI222" s="32">
        <v>0</v>
      </c>
      <c r="AJ222" s="32">
        <v>0</v>
      </c>
      <c r="AK222" s="32">
        <v>0</v>
      </c>
      <c r="AL222" s="32">
        <f>VLOOKUP(Table2[[#This Row],[3_Elephant_ID]],'[1]Attributes(OUTDATED)'!$A$2:$P$19,16,FALSE)</f>
        <v>1</v>
      </c>
      <c r="AM222" s="32">
        <f>VLOOKUP(Table2[[#This Row],[3_Elephant_ID]],'[1]Attributes(OUTDATED)'!$A$2:$S$19,17,FALSE)</f>
        <v>11</v>
      </c>
      <c r="AN222" s="32">
        <f>VLOOKUP(Table2[[#This Row],[3_Elephant_ID]],'[1]Attributes(OUTDATED)'!$A$2:$S$19,18,FALSE)</f>
        <v>7</v>
      </c>
    </row>
    <row r="223" spans="1:40" s="33" customFormat="1" ht="28" x14ac:dyDescent="0.15">
      <c r="A223" s="25">
        <v>207</v>
      </c>
      <c r="B223" s="26">
        <v>2707231429</v>
      </c>
      <c r="C223" s="27">
        <v>27</v>
      </c>
      <c r="D223" s="27">
        <v>7</v>
      </c>
      <c r="E223" s="27">
        <v>2023</v>
      </c>
      <c r="F223" s="28">
        <v>45134</v>
      </c>
      <c r="G223" s="26" t="s">
        <v>6</v>
      </c>
      <c r="H223" s="29">
        <v>0.61411111111111116</v>
      </c>
      <c r="I223" s="30">
        <f>ROUNDUP((Table2[[#This Row],[fGCM_Conc]]*10000),0)</f>
        <v>6142</v>
      </c>
      <c r="J223" s="25" t="str">
        <f>VLOOKUP(G223,'[1]Attributes(OUTDATED)'!$A$2:$C$19,2,FALSE)</f>
        <v>F</v>
      </c>
      <c r="K223" s="25" t="str">
        <f>VLOOKUP(G223,'[1]Attributes(OUTDATED)'!$A$2:$C$19,3,FALSE)</f>
        <v>A</v>
      </c>
      <c r="L223" s="25">
        <f>VLOOKUP(G223,'[1]Attributes(OUTDATED)'!$A$2:$H$19,8,FALSE)</f>
        <v>1168</v>
      </c>
      <c r="M223" s="25" t="str">
        <f>K223&amp;J223</f>
        <v>AF</v>
      </c>
      <c r="N223" s="25" t="e">
        <f>VLOOKUP(G223,#REF!,2,FALSE)</f>
        <v>#REF!</v>
      </c>
      <c r="O223" s="31">
        <v>45132</v>
      </c>
      <c r="P223" s="32">
        <v>17.899999999999999</v>
      </c>
      <c r="Q223" s="32">
        <v>8.4</v>
      </c>
      <c r="R223" s="32">
        <v>-2.6</v>
      </c>
      <c r="S223" s="32">
        <f>Table2[[#This Row],[2_Temp_H]]-Table2[[#This Row],[2_Temp_L]]</f>
        <v>20.5</v>
      </c>
      <c r="T223" s="32">
        <v>22.2</v>
      </c>
      <c r="U223" s="32">
        <v>4.4000000000000004</v>
      </c>
      <c r="V223" s="32">
        <v>1018.96</v>
      </c>
      <c r="W223" s="32">
        <v>1012.87</v>
      </c>
      <c r="X223" s="32">
        <v>0</v>
      </c>
      <c r="Y223" s="32" t="s">
        <v>147</v>
      </c>
      <c r="Z223" s="32" t="s">
        <v>154</v>
      </c>
      <c r="AA223" s="32" t="s">
        <v>26</v>
      </c>
      <c r="AB223" s="32" t="s">
        <v>144</v>
      </c>
      <c r="AC223" s="32" t="s">
        <v>146</v>
      </c>
      <c r="AD223" s="32" t="s">
        <v>26</v>
      </c>
      <c r="AE223" s="32">
        <f>VLOOKUP(Table2[[#This Row],[3_Elephant_ID]],'[1]Attributes(OUTDATED)'!$A$2:$N$19,12,FALSE)</f>
        <v>286</v>
      </c>
      <c r="AF223" s="32">
        <f>VLOOKUP(Table2[[#This Row],[3_Elephant_ID]],'[1]Attributes(OUTDATED)'!$A$2:$N$19,13,FALSE)</f>
        <v>0.26800000000000002</v>
      </c>
      <c r="AG223" s="32">
        <f>VLOOKUP(Table2[[#This Row],[3_Elephant_ID]],'[1]Attributes(OUTDATED)'!$A$2:$N$19,14,FALSE)</f>
        <v>0.26721028245328138</v>
      </c>
      <c r="AH223" s="32">
        <v>1</v>
      </c>
      <c r="AI223" s="32">
        <v>0</v>
      </c>
      <c r="AJ223" s="32">
        <v>0</v>
      </c>
      <c r="AK223" s="32">
        <v>0</v>
      </c>
      <c r="AL223" s="32">
        <f>VLOOKUP(Table2[[#This Row],[3_Elephant_ID]],'[1]Attributes(OUTDATED)'!$A$2:$P$19,16,FALSE)</f>
        <v>2</v>
      </c>
      <c r="AM223" s="32">
        <f>VLOOKUP(Table2[[#This Row],[3_Elephant_ID]],'[1]Attributes(OUTDATED)'!$A$2:$S$19,17,FALSE)</f>
        <v>12</v>
      </c>
      <c r="AN223" s="32">
        <f>VLOOKUP(Table2[[#This Row],[3_Elephant_ID]],'[1]Attributes(OUTDATED)'!$A$2:$S$19,18,FALSE)</f>
        <v>5</v>
      </c>
    </row>
    <row r="224" spans="1:40" s="33" customFormat="1" ht="28" x14ac:dyDescent="0.15">
      <c r="A224" s="25">
        <v>208</v>
      </c>
      <c r="B224" s="26">
        <v>2707231215</v>
      </c>
      <c r="C224" s="27">
        <v>27</v>
      </c>
      <c r="D224" s="27">
        <v>7</v>
      </c>
      <c r="E224" s="27">
        <v>2023</v>
      </c>
      <c r="F224" s="28">
        <v>45134</v>
      </c>
      <c r="G224" s="26" t="s">
        <v>16</v>
      </c>
      <c r="H224" s="29">
        <v>0.58516917293233106</v>
      </c>
      <c r="I224" s="30">
        <f>ROUNDUP((Table2[[#This Row],[fGCM_Conc]]*10000),0)</f>
        <v>5852</v>
      </c>
      <c r="J224" s="25" t="str">
        <f>VLOOKUP(G224,'[1]Attributes(OUTDATED)'!$A$2:$C$19,2,FALSE)</f>
        <v>F</v>
      </c>
      <c r="K224" s="25" t="str">
        <f>VLOOKUP(G224,'[1]Attributes(OUTDATED)'!$A$2:$C$19,3,FALSE)</f>
        <v>A</v>
      </c>
      <c r="L224" s="25">
        <f>VLOOKUP(G224,'[1]Attributes(OUTDATED)'!$A$2:$H$19,8,FALSE)</f>
        <v>1346</v>
      </c>
      <c r="M224" s="25" t="str">
        <f>K224&amp;J224</f>
        <v>AF</v>
      </c>
      <c r="N224" s="25" t="e">
        <f>VLOOKUP(G224,#REF!,2,FALSE)</f>
        <v>#REF!</v>
      </c>
      <c r="O224" s="31">
        <v>45132</v>
      </c>
      <c r="P224" s="32">
        <v>17.899999999999999</v>
      </c>
      <c r="Q224" s="32">
        <v>8.4</v>
      </c>
      <c r="R224" s="32">
        <v>-2.6</v>
      </c>
      <c r="S224" s="32">
        <f>Table2[[#This Row],[2_Temp_H]]-Table2[[#This Row],[2_Temp_L]]</f>
        <v>20.5</v>
      </c>
      <c r="T224" s="32">
        <v>22.2</v>
      </c>
      <c r="U224" s="32">
        <v>4.4000000000000004</v>
      </c>
      <c r="V224" s="32">
        <v>1018.96</v>
      </c>
      <c r="W224" s="32">
        <v>1012.87</v>
      </c>
      <c r="X224" s="32">
        <v>0</v>
      </c>
      <c r="Y224" s="32" t="s">
        <v>147</v>
      </c>
      <c r="Z224" s="32" t="s">
        <v>154</v>
      </c>
      <c r="AA224" s="32" t="s">
        <v>26</v>
      </c>
      <c r="AB224" s="32" t="s">
        <v>144</v>
      </c>
      <c r="AC224" s="32" t="s">
        <v>146</v>
      </c>
      <c r="AD224" s="32" t="s">
        <v>26</v>
      </c>
      <c r="AE224" s="32">
        <f>VLOOKUP(Table2[[#This Row],[3_Elephant_ID]],'[1]Attributes(OUTDATED)'!$A$2:$N$19,12,FALSE)</f>
        <v>474</v>
      </c>
      <c r="AF224" s="32">
        <f>VLOOKUP(Table2[[#This Row],[3_Elephant_ID]],'[1]Attributes(OUTDATED)'!$A$2:$N$19,13,FALSE)</f>
        <v>0.121</v>
      </c>
      <c r="AG224" s="32">
        <f>VLOOKUP(Table2[[#This Row],[3_Elephant_ID]],'[1]Attributes(OUTDATED)'!$A$2:$N$19,14,FALSE)</f>
        <v>0.1206993463154281</v>
      </c>
      <c r="AH224" s="32">
        <v>1</v>
      </c>
      <c r="AI224" s="32">
        <v>0</v>
      </c>
      <c r="AJ224" s="32">
        <v>0</v>
      </c>
      <c r="AK224" s="32">
        <v>0</v>
      </c>
      <c r="AL224" s="32">
        <f>VLOOKUP(Table2[[#This Row],[3_Elephant_ID]],'[1]Attributes(OUTDATED)'!$A$2:$P$19,16,FALSE)</f>
        <v>1</v>
      </c>
      <c r="AM224" s="32">
        <f>VLOOKUP(Table2[[#This Row],[3_Elephant_ID]],'[1]Attributes(OUTDATED)'!$A$2:$S$19,17,FALSE)</f>
        <v>16</v>
      </c>
      <c r="AN224" s="32">
        <f>VLOOKUP(Table2[[#This Row],[3_Elephant_ID]],'[1]Attributes(OUTDATED)'!$A$2:$S$19,18,FALSE)</f>
        <v>1</v>
      </c>
    </row>
    <row r="225" spans="1:40" s="33" customFormat="1" ht="28" x14ac:dyDescent="0.15">
      <c r="A225" s="25">
        <v>210</v>
      </c>
      <c r="B225" s="26">
        <v>2707230907</v>
      </c>
      <c r="C225" s="27">
        <v>27</v>
      </c>
      <c r="D225" s="27">
        <v>7</v>
      </c>
      <c r="E225" s="27">
        <v>2023</v>
      </c>
      <c r="F225" s="28">
        <v>45134</v>
      </c>
      <c r="G225" s="26" t="s">
        <v>12</v>
      </c>
      <c r="H225" s="29">
        <v>0.51597633136094678</v>
      </c>
      <c r="I225" s="30">
        <f>ROUNDUP((Table2[[#This Row],[fGCM_Conc]]*10000),0)</f>
        <v>5160</v>
      </c>
      <c r="J225" s="25" t="str">
        <f>VLOOKUP(G225,'[1]Attributes(OUTDATED)'!$A$2:$C$19,2,FALSE)</f>
        <v>M</v>
      </c>
      <c r="K225" s="25" t="str">
        <f>VLOOKUP(G225,'[1]Attributes(OUTDATED)'!$A$2:$C$19,3,FALSE)</f>
        <v>A</v>
      </c>
      <c r="L225" s="25">
        <f>VLOOKUP(G225,'[1]Attributes(OUTDATED)'!$A$2:$H$19,8,FALSE)</f>
        <v>1509</v>
      </c>
      <c r="M225" s="25" t="str">
        <f>K225&amp;J225</f>
        <v>AM</v>
      </c>
      <c r="N225" s="25" t="e">
        <f>VLOOKUP(G225,#REF!,2,FALSE)</f>
        <v>#REF!</v>
      </c>
      <c r="O225" s="31">
        <v>45132</v>
      </c>
      <c r="P225" s="32">
        <v>17.899999999999999</v>
      </c>
      <c r="Q225" s="32">
        <v>8.4</v>
      </c>
      <c r="R225" s="32">
        <v>-2.6</v>
      </c>
      <c r="S225" s="32">
        <f>Table2[[#This Row],[2_Temp_H]]-Table2[[#This Row],[2_Temp_L]]</f>
        <v>20.5</v>
      </c>
      <c r="T225" s="32">
        <v>22.2</v>
      </c>
      <c r="U225" s="32">
        <v>4.4000000000000004</v>
      </c>
      <c r="V225" s="32">
        <v>1018.96</v>
      </c>
      <c r="W225" s="32">
        <v>1012.87</v>
      </c>
      <c r="X225" s="32">
        <v>0</v>
      </c>
      <c r="Y225" s="32" t="s">
        <v>147</v>
      </c>
      <c r="Z225" s="32" t="s">
        <v>154</v>
      </c>
      <c r="AA225" s="32" t="s">
        <v>26</v>
      </c>
      <c r="AB225" s="32" t="s">
        <v>144</v>
      </c>
      <c r="AC225" s="32" t="s">
        <v>146</v>
      </c>
      <c r="AD225" s="32" t="s">
        <v>26</v>
      </c>
      <c r="AE225" s="32">
        <f>VLOOKUP(Table2[[#This Row],[3_Elephant_ID]],'[1]Attributes(OUTDATED)'!$A$2:$N$19,12,FALSE)</f>
        <v>450</v>
      </c>
      <c r="AF225" s="32">
        <f>VLOOKUP(Table2[[#This Row],[3_Elephant_ID]],'[1]Attributes(OUTDATED)'!$A$2:$N$19,13,FALSE)</f>
        <v>0.375</v>
      </c>
      <c r="AG225" s="32">
        <f>VLOOKUP(Table2[[#This Row],[3_Elephant_ID]],'[1]Attributes(OUTDATED)'!$A$2:$N$19,14,FALSE)</f>
        <v>0.37414375430996583</v>
      </c>
      <c r="AH225" s="32">
        <v>1</v>
      </c>
      <c r="AI225" s="32">
        <v>0</v>
      </c>
      <c r="AJ225" s="32">
        <v>0</v>
      </c>
      <c r="AK225" s="32">
        <v>0</v>
      </c>
      <c r="AL225" s="32">
        <f>VLOOKUP(Table2[[#This Row],[3_Elephant_ID]],'[1]Attributes(OUTDATED)'!$A$2:$P$19,16,FALSE)</f>
        <v>1</v>
      </c>
      <c r="AM225" s="32">
        <f>VLOOKUP(Table2[[#This Row],[3_Elephant_ID]],'[1]Attributes(OUTDATED)'!$A$2:$S$19,17,FALSE)</f>
        <v>48</v>
      </c>
      <c r="AN225" s="32">
        <f>VLOOKUP(Table2[[#This Row],[3_Elephant_ID]],'[1]Attributes(OUTDATED)'!$A$2:$S$19,18,FALSE)</f>
        <v>3</v>
      </c>
    </row>
    <row r="226" spans="1:40" s="33" customFormat="1" ht="28" x14ac:dyDescent="0.15">
      <c r="A226" s="25">
        <v>213</v>
      </c>
      <c r="B226" s="26">
        <v>2707230914</v>
      </c>
      <c r="C226" s="27">
        <v>27</v>
      </c>
      <c r="D226" s="27">
        <v>7</v>
      </c>
      <c r="E226" s="27">
        <v>2023</v>
      </c>
      <c r="F226" s="28">
        <v>45134</v>
      </c>
      <c r="G226" s="26" t="s">
        <v>10</v>
      </c>
      <c r="H226" s="29">
        <v>0.51458563535911594</v>
      </c>
      <c r="I226" s="30">
        <f>ROUNDUP((Table2[[#This Row],[fGCM_Conc]]*10000),0)</f>
        <v>5146</v>
      </c>
      <c r="J226" s="25" t="str">
        <f>VLOOKUP(G226,'[1]Attributes(OUTDATED)'!$A$2:$C$19,2,FALSE)</f>
        <v>F</v>
      </c>
      <c r="K226" s="25" t="str">
        <f>VLOOKUP(G226,'[1]Attributes(OUTDATED)'!$A$2:$C$19,3,FALSE)</f>
        <v>A</v>
      </c>
      <c r="L226" s="25">
        <f>VLOOKUP(G226,'[1]Attributes(OUTDATED)'!$A$2:$H$19,8,FALSE)</f>
        <v>1146</v>
      </c>
      <c r="M226" s="25" t="str">
        <f>K226&amp;J226</f>
        <v>AF</v>
      </c>
      <c r="N226" s="25" t="e">
        <f>VLOOKUP(G226,#REF!,2,FALSE)</f>
        <v>#REF!</v>
      </c>
      <c r="O226" s="31">
        <v>45132</v>
      </c>
      <c r="P226" s="32">
        <v>17.899999999999999</v>
      </c>
      <c r="Q226" s="32">
        <v>8.4</v>
      </c>
      <c r="R226" s="32">
        <v>-2.6</v>
      </c>
      <c r="S226" s="32">
        <f>Table2[[#This Row],[2_Temp_H]]-Table2[[#This Row],[2_Temp_L]]</f>
        <v>20.5</v>
      </c>
      <c r="T226" s="32">
        <v>22.2</v>
      </c>
      <c r="U226" s="32">
        <v>4.4000000000000004</v>
      </c>
      <c r="V226" s="32">
        <v>1018.96</v>
      </c>
      <c r="W226" s="32">
        <v>1012.87</v>
      </c>
      <c r="X226" s="32">
        <v>0</v>
      </c>
      <c r="Y226" s="32" t="s">
        <v>147</v>
      </c>
      <c r="Z226" s="32" t="s">
        <v>154</v>
      </c>
      <c r="AA226" s="32" t="s">
        <v>26</v>
      </c>
      <c r="AB226" s="32" t="s">
        <v>144</v>
      </c>
      <c r="AC226" s="32" t="s">
        <v>146</v>
      </c>
      <c r="AD226" s="32" t="s">
        <v>26</v>
      </c>
      <c r="AE226" s="32">
        <f>VLOOKUP(Table2[[#This Row],[3_Elephant_ID]],'[1]Attributes(OUTDATED)'!$A$2:$N$19,12,FALSE)</f>
        <v>424</v>
      </c>
      <c r="AF226" s="32">
        <f>VLOOKUP(Table2[[#This Row],[3_Elephant_ID]],'[1]Attributes(OUTDATED)'!$A$2:$N$19,13,FALSE)</f>
        <v>0.10299999999999999</v>
      </c>
      <c r="AG226" s="32">
        <f>VLOOKUP(Table2[[#This Row],[3_Elephant_ID]],'[1]Attributes(OUTDATED)'!$A$2:$N$19,14,FALSE)</f>
        <v>0.10282190709599449</v>
      </c>
      <c r="AH226" s="32">
        <v>1</v>
      </c>
      <c r="AI226" s="32">
        <v>0</v>
      </c>
      <c r="AJ226" s="32">
        <v>0</v>
      </c>
      <c r="AK226" s="32">
        <v>0</v>
      </c>
      <c r="AL226" s="32">
        <f>VLOOKUP(Table2[[#This Row],[3_Elephant_ID]],'[1]Attributes(OUTDATED)'!$A$2:$P$19,16,FALSE)</f>
        <v>1</v>
      </c>
      <c r="AM226" s="32">
        <f>VLOOKUP(Table2[[#This Row],[3_Elephant_ID]],'[1]Attributes(OUTDATED)'!$A$2:$S$19,17,FALSE)</f>
        <v>9</v>
      </c>
      <c r="AN226" s="32">
        <f>VLOOKUP(Table2[[#This Row],[3_Elephant_ID]],'[1]Attributes(OUTDATED)'!$A$2:$S$19,18,FALSE)</f>
        <v>8</v>
      </c>
    </row>
    <row r="227" spans="1:40" s="33" customFormat="1" ht="28" x14ac:dyDescent="0.15">
      <c r="A227" s="25">
        <v>209</v>
      </c>
      <c r="B227" s="26">
        <v>2707231039</v>
      </c>
      <c r="C227" s="27">
        <v>27</v>
      </c>
      <c r="D227" s="27">
        <v>7</v>
      </c>
      <c r="E227" s="27">
        <v>2023</v>
      </c>
      <c r="F227" s="28">
        <v>45134</v>
      </c>
      <c r="G227" s="26" t="s">
        <v>16</v>
      </c>
      <c r="H227" s="29">
        <v>0.50413284132841352</v>
      </c>
      <c r="I227" s="30">
        <f>ROUNDUP((Table2[[#This Row],[fGCM_Conc]]*10000),0)</f>
        <v>5042</v>
      </c>
      <c r="J227" s="25" t="str">
        <f>VLOOKUP(G227,'[1]Attributes(OUTDATED)'!$A$2:$C$19,2,FALSE)</f>
        <v>F</v>
      </c>
      <c r="K227" s="25" t="str">
        <f>VLOOKUP(G227,'[1]Attributes(OUTDATED)'!$A$2:$C$19,3,FALSE)</f>
        <v>A</v>
      </c>
      <c r="L227" s="25">
        <f>VLOOKUP(G227,'[1]Attributes(OUTDATED)'!$A$2:$H$19,8,FALSE)</f>
        <v>1346</v>
      </c>
      <c r="M227" s="25" t="str">
        <f>K227&amp;J227</f>
        <v>AF</v>
      </c>
      <c r="N227" s="25" t="e">
        <f>VLOOKUP(G227,#REF!,2,FALSE)</f>
        <v>#REF!</v>
      </c>
      <c r="O227" s="31">
        <v>45132</v>
      </c>
      <c r="P227" s="32">
        <v>17.899999999999999</v>
      </c>
      <c r="Q227" s="32">
        <v>8.4</v>
      </c>
      <c r="R227" s="32">
        <v>-2.6</v>
      </c>
      <c r="S227" s="32">
        <f>Table2[[#This Row],[2_Temp_H]]-Table2[[#This Row],[2_Temp_L]]</f>
        <v>20.5</v>
      </c>
      <c r="T227" s="32">
        <v>22.2</v>
      </c>
      <c r="U227" s="32">
        <v>4.4000000000000004</v>
      </c>
      <c r="V227" s="32">
        <v>1018.96</v>
      </c>
      <c r="W227" s="32">
        <v>1012.87</v>
      </c>
      <c r="X227" s="32">
        <v>0</v>
      </c>
      <c r="Y227" s="32" t="s">
        <v>147</v>
      </c>
      <c r="Z227" s="32" t="s">
        <v>154</v>
      </c>
      <c r="AA227" s="32" t="s">
        <v>26</v>
      </c>
      <c r="AB227" s="32" t="s">
        <v>144</v>
      </c>
      <c r="AC227" s="32" t="s">
        <v>146</v>
      </c>
      <c r="AD227" s="32" t="s">
        <v>26</v>
      </c>
      <c r="AE227" s="32">
        <f>VLOOKUP(Table2[[#This Row],[3_Elephant_ID]],'[1]Attributes(OUTDATED)'!$A$2:$N$19,12,FALSE)</f>
        <v>474</v>
      </c>
      <c r="AF227" s="32">
        <f>VLOOKUP(Table2[[#This Row],[3_Elephant_ID]],'[1]Attributes(OUTDATED)'!$A$2:$N$19,13,FALSE)</f>
        <v>0.121</v>
      </c>
      <c r="AG227" s="32">
        <f>VLOOKUP(Table2[[#This Row],[3_Elephant_ID]],'[1]Attributes(OUTDATED)'!$A$2:$N$19,14,FALSE)</f>
        <v>0.1206993463154281</v>
      </c>
      <c r="AH227" s="32">
        <v>1</v>
      </c>
      <c r="AI227" s="32">
        <v>0</v>
      </c>
      <c r="AJ227" s="32">
        <v>0</v>
      </c>
      <c r="AK227" s="32">
        <v>0</v>
      </c>
      <c r="AL227" s="32">
        <f>VLOOKUP(Table2[[#This Row],[3_Elephant_ID]],'[1]Attributes(OUTDATED)'!$A$2:$P$19,16,FALSE)</f>
        <v>1</v>
      </c>
      <c r="AM227" s="32">
        <f>VLOOKUP(Table2[[#This Row],[3_Elephant_ID]],'[1]Attributes(OUTDATED)'!$A$2:$S$19,17,FALSE)</f>
        <v>16</v>
      </c>
      <c r="AN227" s="32">
        <f>VLOOKUP(Table2[[#This Row],[3_Elephant_ID]],'[1]Attributes(OUTDATED)'!$A$2:$S$19,18,FALSE)</f>
        <v>1</v>
      </c>
    </row>
    <row r="228" spans="1:40" s="33" customFormat="1" ht="28" x14ac:dyDescent="0.15">
      <c r="A228" s="25">
        <v>206</v>
      </c>
      <c r="B228" s="26">
        <v>2707231432</v>
      </c>
      <c r="C228" s="27">
        <v>27</v>
      </c>
      <c r="D228" s="27">
        <v>7</v>
      </c>
      <c r="E228" s="27">
        <v>2023</v>
      </c>
      <c r="F228" s="28">
        <v>45134</v>
      </c>
      <c r="G228" s="26" t="s">
        <v>31</v>
      </c>
      <c r="H228" s="29">
        <v>0.43824324324324326</v>
      </c>
      <c r="I228" s="30">
        <f>ROUNDUP((Table2[[#This Row],[fGCM_Conc]]*10000),0)</f>
        <v>4383</v>
      </c>
      <c r="J228" s="25" t="str">
        <f>VLOOKUP(G228,'[1]Attributes(OUTDATED)'!$A$2:$C$19,2,FALSE)</f>
        <v>F</v>
      </c>
      <c r="K228" s="25" t="str">
        <f>VLOOKUP(G228,'[1]Attributes(OUTDATED)'!$A$2:$C$19,3,FALSE)</f>
        <v>J</v>
      </c>
      <c r="L228" s="25">
        <f>VLOOKUP(G228,'[1]Attributes(OUTDATED)'!$A$2:$H$19,8,FALSE)</f>
        <v>765</v>
      </c>
      <c r="M228" s="25" t="str">
        <f>K228&amp;J228</f>
        <v>JF</v>
      </c>
      <c r="N228" s="25" t="e">
        <f>VLOOKUP(G228,#REF!,2,FALSE)</f>
        <v>#REF!</v>
      </c>
      <c r="O228" s="31">
        <v>45132</v>
      </c>
      <c r="P228" s="32">
        <v>17.899999999999999</v>
      </c>
      <c r="Q228" s="32">
        <v>8.4</v>
      </c>
      <c r="R228" s="32">
        <v>-2.6</v>
      </c>
      <c r="S228" s="32">
        <f>Table2[[#This Row],[2_Temp_H]]-Table2[[#This Row],[2_Temp_L]]</f>
        <v>20.5</v>
      </c>
      <c r="T228" s="32">
        <v>22.2</v>
      </c>
      <c r="U228" s="32">
        <v>4.4000000000000004</v>
      </c>
      <c r="V228" s="32">
        <v>1018.96</v>
      </c>
      <c r="W228" s="32">
        <v>1012.87</v>
      </c>
      <c r="X228" s="32">
        <v>0</v>
      </c>
      <c r="Y228" s="32" t="s">
        <v>147</v>
      </c>
      <c r="Z228" s="32" t="s">
        <v>154</v>
      </c>
      <c r="AA228" s="32" t="s">
        <v>26</v>
      </c>
      <c r="AB228" s="32" t="s">
        <v>144</v>
      </c>
      <c r="AC228" s="32" t="s">
        <v>146</v>
      </c>
      <c r="AD228" s="32" t="s">
        <v>26</v>
      </c>
      <c r="AE228" s="32">
        <f>VLOOKUP(Table2[[#This Row],[3_Elephant_ID]],'[1]Attributes(OUTDATED)'!$A$2:$N$19,12,FALSE)</f>
        <v>258</v>
      </c>
      <c r="AF228" s="32">
        <f>VLOOKUP(Table2[[#This Row],[3_Elephant_ID]],'[1]Attributes(OUTDATED)'!$A$2:$N$19,13,FALSE)</f>
        <v>0.25700000000000001</v>
      </c>
      <c r="AG228" s="32">
        <f>VLOOKUP(Table2[[#This Row],[3_Elephant_ID]],'[1]Attributes(OUTDATED)'!$A$2:$N$19,14,FALSE)</f>
        <v>0.25665547185998128</v>
      </c>
      <c r="AH228" s="32">
        <v>1</v>
      </c>
      <c r="AI228" s="32">
        <v>0</v>
      </c>
      <c r="AJ228" s="32">
        <v>0</v>
      </c>
      <c r="AK228" s="32">
        <v>0</v>
      </c>
      <c r="AL228" s="32">
        <f>VLOOKUP(Table2[[#This Row],[3_Elephant_ID]],'[1]Attributes(OUTDATED)'!$A$2:$P$19,16,FALSE)</f>
        <v>2</v>
      </c>
      <c r="AM228" s="32">
        <f>VLOOKUP(Table2[[#This Row],[3_Elephant_ID]],'[1]Attributes(OUTDATED)'!$A$2:$S$19,17,FALSE)</f>
        <v>1</v>
      </c>
      <c r="AN228" s="32">
        <f>VLOOKUP(Table2[[#This Row],[3_Elephant_ID]],'[1]Attributes(OUTDATED)'!$A$2:$S$19,18,FALSE)</f>
        <v>10</v>
      </c>
    </row>
    <row r="229" spans="1:40" s="33" customFormat="1" ht="28" x14ac:dyDescent="0.15">
      <c r="A229" s="25">
        <v>215</v>
      </c>
      <c r="B229" s="26">
        <v>2707231021</v>
      </c>
      <c r="C229" s="27">
        <v>27</v>
      </c>
      <c r="D229" s="27">
        <v>7</v>
      </c>
      <c r="E229" s="27">
        <v>2023</v>
      </c>
      <c r="F229" s="28">
        <v>45134</v>
      </c>
      <c r="G229" s="26" t="s">
        <v>12</v>
      </c>
      <c r="H229" s="29">
        <v>0.43477777777777771</v>
      </c>
      <c r="I229" s="30">
        <f>ROUNDUP((Table2[[#This Row],[fGCM_Conc]]*10000),0)</f>
        <v>4348</v>
      </c>
      <c r="J229" s="25" t="str">
        <f>VLOOKUP(G229,'[1]Attributes(OUTDATED)'!$A$2:$C$19,2,FALSE)</f>
        <v>M</v>
      </c>
      <c r="K229" s="25" t="str">
        <f>VLOOKUP(G229,'[1]Attributes(OUTDATED)'!$A$2:$C$19,3,FALSE)</f>
        <v>A</v>
      </c>
      <c r="L229" s="25">
        <f>VLOOKUP(G229,'[1]Attributes(OUTDATED)'!$A$2:$H$19,8,FALSE)</f>
        <v>1509</v>
      </c>
      <c r="M229" s="25" t="str">
        <f>K229&amp;J229</f>
        <v>AM</v>
      </c>
      <c r="N229" s="25" t="e">
        <f>VLOOKUP(G229,#REF!,2,FALSE)</f>
        <v>#REF!</v>
      </c>
      <c r="O229" s="31">
        <v>45132</v>
      </c>
      <c r="P229" s="32">
        <v>17.899999999999999</v>
      </c>
      <c r="Q229" s="32">
        <v>8.4</v>
      </c>
      <c r="R229" s="32">
        <v>-2.6</v>
      </c>
      <c r="S229" s="32">
        <f>Table2[[#This Row],[2_Temp_H]]-Table2[[#This Row],[2_Temp_L]]</f>
        <v>20.5</v>
      </c>
      <c r="T229" s="32">
        <v>22.2</v>
      </c>
      <c r="U229" s="32">
        <v>4.4000000000000004</v>
      </c>
      <c r="V229" s="32">
        <v>1018.96</v>
      </c>
      <c r="W229" s="32">
        <v>1012.87</v>
      </c>
      <c r="X229" s="32">
        <v>0</v>
      </c>
      <c r="Y229" s="32" t="s">
        <v>147</v>
      </c>
      <c r="Z229" s="32" t="s">
        <v>154</v>
      </c>
      <c r="AA229" s="32" t="s">
        <v>26</v>
      </c>
      <c r="AB229" s="32" t="s">
        <v>144</v>
      </c>
      <c r="AC229" s="32" t="s">
        <v>146</v>
      </c>
      <c r="AD229" s="32" t="s">
        <v>26</v>
      </c>
      <c r="AE229" s="32">
        <f>VLOOKUP(Table2[[#This Row],[3_Elephant_ID]],'[1]Attributes(OUTDATED)'!$A$2:$N$19,12,FALSE)</f>
        <v>450</v>
      </c>
      <c r="AF229" s="32">
        <f>VLOOKUP(Table2[[#This Row],[3_Elephant_ID]],'[1]Attributes(OUTDATED)'!$A$2:$N$19,13,FALSE)</f>
        <v>0.375</v>
      </c>
      <c r="AG229" s="32">
        <f>VLOOKUP(Table2[[#This Row],[3_Elephant_ID]],'[1]Attributes(OUTDATED)'!$A$2:$N$19,14,FALSE)</f>
        <v>0.37414375430996583</v>
      </c>
      <c r="AH229" s="32">
        <v>1</v>
      </c>
      <c r="AI229" s="32">
        <v>0</v>
      </c>
      <c r="AJ229" s="32">
        <v>0</v>
      </c>
      <c r="AK229" s="32">
        <v>0</v>
      </c>
      <c r="AL229" s="32">
        <f>VLOOKUP(Table2[[#This Row],[3_Elephant_ID]],'[1]Attributes(OUTDATED)'!$A$2:$P$19,16,FALSE)</f>
        <v>1</v>
      </c>
      <c r="AM229" s="32">
        <f>VLOOKUP(Table2[[#This Row],[3_Elephant_ID]],'[1]Attributes(OUTDATED)'!$A$2:$S$19,17,FALSE)</f>
        <v>48</v>
      </c>
      <c r="AN229" s="32">
        <f>VLOOKUP(Table2[[#This Row],[3_Elephant_ID]],'[1]Attributes(OUTDATED)'!$A$2:$S$19,18,FALSE)</f>
        <v>3</v>
      </c>
    </row>
    <row r="230" spans="1:40" s="33" customFormat="1" ht="28" x14ac:dyDescent="0.15">
      <c r="A230" s="25">
        <v>211</v>
      </c>
      <c r="B230" s="26">
        <v>2707230952</v>
      </c>
      <c r="C230" s="27">
        <v>27</v>
      </c>
      <c r="D230" s="27">
        <v>7</v>
      </c>
      <c r="E230" s="27">
        <v>2023</v>
      </c>
      <c r="F230" s="28">
        <v>45134</v>
      </c>
      <c r="G230" s="26" t="s">
        <v>16</v>
      </c>
      <c r="H230" s="29">
        <v>0.39251461988304093</v>
      </c>
      <c r="I230" s="30">
        <f>ROUNDUP((Table2[[#This Row],[fGCM_Conc]]*10000),0)</f>
        <v>3926</v>
      </c>
      <c r="J230" s="25" t="str">
        <f>VLOOKUP(G230,'[1]Attributes(OUTDATED)'!$A$2:$C$19,2,FALSE)</f>
        <v>F</v>
      </c>
      <c r="K230" s="25" t="str">
        <f>VLOOKUP(G230,'[1]Attributes(OUTDATED)'!$A$2:$C$19,3,FALSE)</f>
        <v>A</v>
      </c>
      <c r="L230" s="25">
        <f>VLOOKUP(G230,'[1]Attributes(OUTDATED)'!$A$2:$H$19,8,FALSE)</f>
        <v>1346</v>
      </c>
      <c r="M230" s="25" t="str">
        <f>K230&amp;J230</f>
        <v>AF</v>
      </c>
      <c r="N230" s="25" t="e">
        <f>VLOOKUP(G230,#REF!,2,FALSE)</f>
        <v>#REF!</v>
      </c>
      <c r="O230" s="31">
        <v>45132</v>
      </c>
      <c r="P230" s="32">
        <v>17.899999999999999</v>
      </c>
      <c r="Q230" s="32">
        <v>8.4</v>
      </c>
      <c r="R230" s="32">
        <v>-2.6</v>
      </c>
      <c r="S230" s="32">
        <f>Table2[[#This Row],[2_Temp_H]]-Table2[[#This Row],[2_Temp_L]]</f>
        <v>20.5</v>
      </c>
      <c r="T230" s="32">
        <v>22.2</v>
      </c>
      <c r="U230" s="32">
        <v>4.4000000000000004</v>
      </c>
      <c r="V230" s="32">
        <v>1018.96</v>
      </c>
      <c r="W230" s="32">
        <v>1012.87</v>
      </c>
      <c r="X230" s="32">
        <v>0</v>
      </c>
      <c r="Y230" s="32" t="s">
        <v>147</v>
      </c>
      <c r="Z230" s="32" t="s">
        <v>154</v>
      </c>
      <c r="AA230" s="32" t="s">
        <v>26</v>
      </c>
      <c r="AB230" s="32" t="s">
        <v>144</v>
      </c>
      <c r="AC230" s="32" t="s">
        <v>146</v>
      </c>
      <c r="AD230" s="32" t="s">
        <v>26</v>
      </c>
      <c r="AE230" s="32">
        <f>VLOOKUP(Table2[[#This Row],[3_Elephant_ID]],'[1]Attributes(OUTDATED)'!$A$2:$N$19,12,FALSE)</f>
        <v>474</v>
      </c>
      <c r="AF230" s="32">
        <f>VLOOKUP(Table2[[#This Row],[3_Elephant_ID]],'[1]Attributes(OUTDATED)'!$A$2:$N$19,13,FALSE)</f>
        <v>0.121</v>
      </c>
      <c r="AG230" s="32">
        <f>VLOOKUP(Table2[[#This Row],[3_Elephant_ID]],'[1]Attributes(OUTDATED)'!$A$2:$N$19,14,FALSE)</f>
        <v>0.1206993463154281</v>
      </c>
      <c r="AH230" s="32">
        <v>1</v>
      </c>
      <c r="AI230" s="32">
        <v>0</v>
      </c>
      <c r="AJ230" s="32">
        <v>0</v>
      </c>
      <c r="AK230" s="32">
        <v>0</v>
      </c>
      <c r="AL230" s="32">
        <f>VLOOKUP(Table2[[#This Row],[3_Elephant_ID]],'[1]Attributes(OUTDATED)'!$A$2:$P$19,16,FALSE)</f>
        <v>1</v>
      </c>
      <c r="AM230" s="32">
        <f>VLOOKUP(Table2[[#This Row],[3_Elephant_ID]],'[1]Attributes(OUTDATED)'!$A$2:$S$19,17,FALSE)</f>
        <v>16</v>
      </c>
      <c r="AN230" s="32">
        <f>VLOOKUP(Table2[[#This Row],[3_Elephant_ID]],'[1]Attributes(OUTDATED)'!$A$2:$S$19,18,FALSE)</f>
        <v>1</v>
      </c>
    </row>
    <row r="231" spans="1:40" s="33" customFormat="1" ht="28" x14ac:dyDescent="0.15">
      <c r="A231" s="25">
        <v>214</v>
      </c>
      <c r="B231" s="26">
        <v>2707230921</v>
      </c>
      <c r="C231" s="27">
        <v>27</v>
      </c>
      <c r="D231" s="27">
        <v>7</v>
      </c>
      <c r="E231" s="27">
        <v>2023</v>
      </c>
      <c r="F231" s="28">
        <v>45134</v>
      </c>
      <c r="G231" s="26" t="s">
        <v>7</v>
      </c>
      <c r="H231" s="29">
        <v>0.35881801125703566</v>
      </c>
      <c r="I231" s="30">
        <f>ROUNDUP((Table2[[#This Row],[fGCM_Conc]]*10000),0)</f>
        <v>3589</v>
      </c>
      <c r="J231" s="25" t="str">
        <f>VLOOKUP(G231,'[1]Attributes(OUTDATED)'!$A$2:$C$19,2,FALSE)</f>
        <v>F</v>
      </c>
      <c r="K231" s="25" t="str">
        <f>VLOOKUP(G231,'[1]Attributes(OUTDATED)'!$A$2:$C$19,3,FALSE)</f>
        <v>J</v>
      </c>
      <c r="L231" s="25">
        <f>VLOOKUP(G231,'[1]Attributes(OUTDATED)'!$A$2:$H$19,8,FALSE)</f>
        <v>711</v>
      </c>
      <c r="M231" s="25" t="str">
        <f>K231&amp;J231</f>
        <v>JF</v>
      </c>
      <c r="N231" s="25" t="e">
        <f>VLOOKUP(G231,#REF!,2,FALSE)</f>
        <v>#REF!</v>
      </c>
      <c r="O231" s="31">
        <v>45132</v>
      </c>
      <c r="P231" s="32">
        <v>17.899999999999999</v>
      </c>
      <c r="Q231" s="32">
        <v>8.4</v>
      </c>
      <c r="R231" s="32">
        <v>-2.6</v>
      </c>
      <c r="S231" s="32">
        <f>Table2[[#This Row],[2_Temp_H]]-Table2[[#This Row],[2_Temp_L]]</f>
        <v>20.5</v>
      </c>
      <c r="T231" s="32">
        <v>22.2</v>
      </c>
      <c r="U231" s="32">
        <v>4.4000000000000004</v>
      </c>
      <c r="V231" s="32">
        <v>1018.96</v>
      </c>
      <c r="W231" s="32">
        <v>1012.87</v>
      </c>
      <c r="X231" s="32">
        <v>0</v>
      </c>
      <c r="Y231" s="32" t="s">
        <v>147</v>
      </c>
      <c r="Z231" s="32" t="s">
        <v>154</v>
      </c>
      <c r="AA231" s="32" t="s">
        <v>26</v>
      </c>
      <c r="AB231" s="32" t="s">
        <v>144</v>
      </c>
      <c r="AC231" s="32" t="s">
        <v>146</v>
      </c>
      <c r="AD231" s="32" t="s">
        <v>26</v>
      </c>
      <c r="AE231" s="32">
        <f>VLOOKUP(Table2[[#This Row],[3_Elephant_ID]],'[1]Attributes(OUTDATED)'!$A$2:$N$19,12,FALSE)</f>
        <v>398</v>
      </c>
      <c r="AF231" s="32">
        <f>VLOOKUP(Table2[[#This Row],[3_Elephant_ID]],'[1]Attributes(OUTDATED)'!$A$2:$N$19,13,FALSE)</f>
        <v>0.47899999999999998</v>
      </c>
      <c r="AG231" s="32">
        <f>VLOOKUP(Table2[[#This Row],[3_Elephant_ID]],'[1]Attributes(OUTDATED)'!$A$2:$N$19,14,FALSE)</f>
        <v>0.47820662037086947</v>
      </c>
      <c r="AH231" s="32">
        <v>1</v>
      </c>
      <c r="AI231" s="32">
        <v>0</v>
      </c>
      <c r="AJ231" s="32">
        <v>0</v>
      </c>
      <c r="AK231" s="32">
        <v>0</v>
      </c>
      <c r="AL231" s="32">
        <f>VLOOKUP(Table2[[#This Row],[3_Elephant_ID]],'[1]Attributes(OUTDATED)'!$A$2:$P$19,16,FALSE)</f>
        <v>1</v>
      </c>
      <c r="AM231" s="32">
        <f>VLOOKUP(Table2[[#This Row],[3_Elephant_ID]],'[1]Attributes(OUTDATED)'!$A$2:$S$19,17,FALSE)</f>
        <v>0</v>
      </c>
      <c r="AN231" s="32">
        <f>VLOOKUP(Table2[[#This Row],[3_Elephant_ID]],'[1]Attributes(OUTDATED)'!$A$2:$S$19,18,FALSE)</f>
        <v>12</v>
      </c>
    </row>
    <row r="232" spans="1:40" s="33" customFormat="1" ht="28" x14ac:dyDescent="0.15">
      <c r="A232" s="25">
        <v>204</v>
      </c>
      <c r="B232" s="26">
        <v>2707231706</v>
      </c>
      <c r="C232" s="27">
        <v>27</v>
      </c>
      <c r="D232" s="27">
        <v>7</v>
      </c>
      <c r="E232" s="27">
        <v>2023</v>
      </c>
      <c r="F232" s="28">
        <v>45134</v>
      </c>
      <c r="G232" s="26" t="s">
        <v>2</v>
      </c>
      <c r="H232" s="29">
        <v>0.27848428835489836</v>
      </c>
      <c r="I232" s="30">
        <f>ROUNDUP((Table2[[#This Row],[fGCM_Conc]]*10000),0)</f>
        <v>2785</v>
      </c>
      <c r="J232" s="25" t="str">
        <f>VLOOKUP(G232,'[1]Attributes(OUTDATED)'!$A$2:$C$19,2,FALSE)</f>
        <v>F</v>
      </c>
      <c r="K232" s="25" t="str">
        <f>VLOOKUP(G232,'[1]Attributes(OUTDATED)'!$A$2:$C$19,3,FALSE)</f>
        <v>A</v>
      </c>
      <c r="L232" s="25">
        <f>VLOOKUP(G232,'[1]Attributes(OUTDATED)'!$A$2:$H$19,8,FALSE)</f>
        <v>892</v>
      </c>
      <c r="M232" s="25" t="str">
        <f>K232&amp;J232</f>
        <v>AF</v>
      </c>
      <c r="N232" s="25" t="e">
        <f>VLOOKUP(G232,#REF!,2,FALSE)</f>
        <v>#REF!</v>
      </c>
      <c r="O232" s="31">
        <v>45132</v>
      </c>
      <c r="P232" s="32">
        <v>17.899999999999999</v>
      </c>
      <c r="Q232" s="32">
        <v>8.4</v>
      </c>
      <c r="R232" s="32">
        <v>-2.6</v>
      </c>
      <c r="S232" s="32">
        <f>Table2[[#This Row],[2_Temp_H]]-Table2[[#This Row],[2_Temp_L]]</f>
        <v>20.5</v>
      </c>
      <c r="T232" s="32">
        <v>22.2</v>
      </c>
      <c r="U232" s="32">
        <v>4.4000000000000004</v>
      </c>
      <c r="V232" s="32">
        <v>1018.96</v>
      </c>
      <c r="W232" s="32">
        <v>1012.87</v>
      </c>
      <c r="X232" s="32">
        <v>0</v>
      </c>
      <c r="Y232" s="32" t="s">
        <v>147</v>
      </c>
      <c r="Z232" s="32" t="s">
        <v>154</v>
      </c>
      <c r="AA232" s="32" t="s">
        <v>26</v>
      </c>
      <c r="AB232" s="32" t="s">
        <v>144</v>
      </c>
      <c r="AC232" s="32" t="s">
        <v>146</v>
      </c>
      <c r="AD232" s="32" t="s">
        <v>26</v>
      </c>
      <c r="AE232" s="32">
        <f>VLOOKUP(Table2[[#This Row],[3_Elephant_ID]],'[1]Attributes(OUTDATED)'!$A$2:$N$19,12,FALSE)</f>
        <v>378</v>
      </c>
      <c r="AF232" s="32">
        <f>VLOOKUP(Table2[[#This Row],[3_Elephant_ID]],'[1]Attributes(OUTDATED)'!$A$2:$N$19,13,FALSE)</f>
        <v>8.6999999999999994E-2</v>
      </c>
      <c r="AG232" s="32">
        <f>VLOOKUP(Table2[[#This Row],[3_Elephant_ID]],'[1]Attributes(OUTDATED)'!$A$2:$N$19,14,FALSE)</f>
        <v>8.6599138783086713E-2</v>
      </c>
      <c r="AH232" s="32">
        <v>1</v>
      </c>
      <c r="AI232" s="32">
        <v>0</v>
      </c>
      <c r="AJ232" s="32">
        <v>1</v>
      </c>
      <c r="AK232" s="32">
        <v>1</v>
      </c>
      <c r="AL232" s="32">
        <f>VLOOKUP(Table2[[#This Row],[3_Elephant_ID]],'[1]Attributes(OUTDATED)'!$A$2:$P$19,16,FALSE)</f>
        <v>1</v>
      </c>
      <c r="AM232" s="32">
        <f>VLOOKUP(Table2[[#This Row],[3_Elephant_ID]],'[1]Attributes(OUTDATED)'!$A$2:$S$19,17,FALSE)</f>
        <v>4</v>
      </c>
      <c r="AN232" s="32">
        <f>VLOOKUP(Table2[[#This Row],[3_Elephant_ID]],'[1]Attributes(OUTDATED)'!$A$2:$S$19,18,FALSE)</f>
        <v>20</v>
      </c>
    </row>
    <row r="233" spans="1:40" s="33" customFormat="1" ht="28" x14ac:dyDescent="0.15">
      <c r="A233" s="25">
        <v>212</v>
      </c>
      <c r="B233" s="26">
        <v>2707231023</v>
      </c>
      <c r="C233" s="27">
        <v>27</v>
      </c>
      <c r="D233" s="27">
        <v>7</v>
      </c>
      <c r="E233" s="27">
        <v>2023</v>
      </c>
      <c r="F233" s="28">
        <v>45134</v>
      </c>
      <c r="G233" s="26" t="s">
        <v>2</v>
      </c>
      <c r="H233" s="29">
        <v>0.23332075471698113</v>
      </c>
      <c r="I233" s="30">
        <f>ROUNDUP((Table2[[#This Row],[fGCM_Conc]]*10000),0)</f>
        <v>2334</v>
      </c>
      <c r="J233" s="25" t="str">
        <f>VLOOKUP(G233,'[1]Attributes(OUTDATED)'!$A$2:$C$19,2,FALSE)</f>
        <v>F</v>
      </c>
      <c r="K233" s="25" t="str">
        <f>VLOOKUP(G233,'[1]Attributes(OUTDATED)'!$A$2:$C$19,3,FALSE)</f>
        <v>A</v>
      </c>
      <c r="L233" s="25">
        <f>VLOOKUP(G233,'[1]Attributes(OUTDATED)'!$A$2:$H$19,8,FALSE)</f>
        <v>892</v>
      </c>
      <c r="M233" s="25" t="str">
        <f>K233&amp;J233</f>
        <v>AF</v>
      </c>
      <c r="N233" s="25" t="e">
        <f>VLOOKUP(G233,#REF!,2,FALSE)</f>
        <v>#REF!</v>
      </c>
      <c r="O233" s="31">
        <v>45132</v>
      </c>
      <c r="P233" s="32">
        <v>17.899999999999999</v>
      </c>
      <c r="Q233" s="32">
        <v>8.4</v>
      </c>
      <c r="R233" s="32">
        <v>-2.6</v>
      </c>
      <c r="S233" s="32">
        <f>Table2[[#This Row],[2_Temp_H]]-Table2[[#This Row],[2_Temp_L]]</f>
        <v>20.5</v>
      </c>
      <c r="T233" s="32">
        <v>22.2</v>
      </c>
      <c r="U233" s="32">
        <v>4.4000000000000004</v>
      </c>
      <c r="V233" s="32">
        <v>1018.96</v>
      </c>
      <c r="W233" s="32">
        <v>1012.87</v>
      </c>
      <c r="X233" s="32">
        <v>0</v>
      </c>
      <c r="Y233" s="32" t="s">
        <v>147</v>
      </c>
      <c r="Z233" s="32" t="s">
        <v>154</v>
      </c>
      <c r="AA233" s="32" t="s">
        <v>26</v>
      </c>
      <c r="AB233" s="32" t="s">
        <v>144</v>
      </c>
      <c r="AC233" s="32" t="s">
        <v>146</v>
      </c>
      <c r="AD233" s="32" t="s">
        <v>26</v>
      </c>
      <c r="AE233" s="32">
        <f>VLOOKUP(Table2[[#This Row],[3_Elephant_ID]],'[1]Attributes(OUTDATED)'!$A$2:$N$19,12,FALSE)</f>
        <v>378</v>
      </c>
      <c r="AF233" s="32">
        <f>VLOOKUP(Table2[[#This Row],[3_Elephant_ID]],'[1]Attributes(OUTDATED)'!$A$2:$N$19,13,FALSE)</f>
        <v>8.6999999999999994E-2</v>
      </c>
      <c r="AG233" s="32">
        <f>VLOOKUP(Table2[[#This Row],[3_Elephant_ID]],'[1]Attributes(OUTDATED)'!$A$2:$N$19,14,FALSE)</f>
        <v>8.6599138783086713E-2</v>
      </c>
      <c r="AH233" s="32">
        <v>1</v>
      </c>
      <c r="AI233" s="32">
        <v>0</v>
      </c>
      <c r="AJ233" s="32">
        <v>1</v>
      </c>
      <c r="AK233" s="32">
        <v>1</v>
      </c>
      <c r="AL233" s="32">
        <f>VLOOKUP(Table2[[#This Row],[3_Elephant_ID]],'[1]Attributes(OUTDATED)'!$A$2:$P$19,16,FALSE)</f>
        <v>1</v>
      </c>
      <c r="AM233" s="32">
        <f>VLOOKUP(Table2[[#This Row],[3_Elephant_ID]],'[1]Attributes(OUTDATED)'!$A$2:$S$19,17,FALSE)</f>
        <v>4</v>
      </c>
      <c r="AN233" s="32">
        <f>VLOOKUP(Table2[[#This Row],[3_Elephant_ID]],'[1]Attributes(OUTDATED)'!$A$2:$S$19,18,FALSE)</f>
        <v>20</v>
      </c>
    </row>
    <row r="234" spans="1:40" s="33" customFormat="1" ht="28" x14ac:dyDescent="0.15">
      <c r="A234" s="25">
        <v>202</v>
      </c>
      <c r="B234" s="26">
        <v>2807231002</v>
      </c>
      <c r="C234" s="27">
        <v>28</v>
      </c>
      <c r="D234" s="27">
        <v>7</v>
      </c>
      <c r="E234" s="27">
        <v>2023</v>
      </c>
      <c r="F234" s="28">
        <v>45135</v>
      </c>
      <c r="G234" s="26" t="s">
        <v>14</v>
      </c>
      <c r="H234" s="29">
        <v>0.45769961977186313</v>
      </c>
      <c r="I234" s="30">
        <f>ROUNDUP((Table2[[#This Row],[fGCM_Conc]]*10000),0)</f>
        <v>4577</v>
      </c>
      <c r="J234" s="25" t="str">
        <f>VLOOKUP(G234,'[1]Attributes(OUTDATED)'!$A$2:$C$19,2,FALSE)</f>
        <v>F</v>
      </c>
      <c r="K234" s="25" t="str">
        <f>VLOOKUP(G234,'[1]Attributes(OUTDATED)'!$A$2:$C$19,3,FALSE)</f>
        <v>J</v>
      </c>
      <c r="L234" s="25">
        <f>VLOOKUP(G234,'[1]Attributes(OUTDATED)'!$A$2:$H$19,8,FALSE)</f>
        <v>879</v>
      </c>
      <c r="M234" s="25" t="str">
        <f>K234&amp;J234</f>
        <v>JF</v>
      </c>
      <c r="N234" s="25" t="e">
        <f>VLOOKUP(G234,#REF!,2,FALSE)</f>
        <v>#REF!</v>
      </c>
      <c r="O234" s="31">
        <v>45133</v>
      </c>
      <c r="P234" s="32">
        <v>22.6</v>
      </c>
      <c r="Q234" s="32">
        <v>17.3</v>
      </c>
      <c r="R234" s="32">
        <v>9.8000000000000007</v>
      </c>
      <c r="S234" s="32">
        <f>Table2[[#This Row],[2_Temp_H]]-Table2[[#This Row],[2_Temp_L]]</f>
        <v>12.8</v>
      </c>
      <c r="T234" s="32">
        <v>42.3</v>
      </c>
      <c r="U234" s="32">
        <v>11.5</v>
      </c>
      <c r="V234" s="32">
        <v>1013.88</v>
      </c>
      <c r="W234" s="32">
        <v>1009.82</v>
      </c>
      <c r="X234" s="32">
        <v>3.56</v>
      </c>
      <c r="Y234" s="32" t="s">
        <v>147</v>
      </c>
      <c r="Z234" s="32" t="s">
        <v>139</v>
      </c>
      <c r="AA234" s="32" t="s">
        <v>26</v>
      </c>
      <c r="AB234" s="32" t="s">
        <v>144</v>
      </c>
      <c r="AC234" s="32" t="s">
        <v>146</v>
      </c>
      <c r="AD234" s="32" t="s">
        <v>137</v>
      </c>
      <c r="AE234" s="32">
        <f>VLOOKUP(Table2[[#This Row],[3_Elephant_ID]],'[1]Attributes(OUTDATED)'!$A$2:$N$19,12,FALSE)</f>
        <v>269</v>
      </c>
      <c r="AF234" s="32">
        <f>VLOOKUP(Table2[[#This Row],[3_Elephant_ID]],'[1]Attributes(OUTDATED)'!$A$2:$N$19,13,FALSE)</f>
        <v>0.65800000000000003</v>
      </c>
      <c r="AG234" s="32">
        <f>VLOOKUP(Table2[[#This Row],[3_Elephant_ID]],'[1]Attributes(OUTDATED)'!$A$2:$N$19,14,FALSE)</f>
        <v>0.65767064449315993</v>
      </c>
      <c r="AH234" s="32">
        <v>1</v>
      </c>
      <c r="AI234" s="32">
        <v>0</v>
      </c>
      <c r="AJ234" s="32">
        <v>0</v>
      </c>
      <c r="AK234" s="32">
        <v>0</v>
      </c>
      <c r="AL234" s="32">
        <f>VLOOKUP(Table2[[#This Row],[3_Elephant_ID]],'[1]Attributes(OUTDATED)'!$A$2:$P$19,16,FALSE)</f>
        <v>1</v>
      </c>
      <c r="AM234" s="32">
        <f>VLOOKUP(Table2[[#This Row],[3_Elephant_ID]],'[1]Attributes(OUTDATED)'!$A$2:$S$19,17,FALSE)</f>
        <v>3</v>
      </c>
      <c r="AN234" s="32">
        <f>VLOOKUP(Table2[[#This Row],[3_Elephant_ID]],'[1]Attributes(OUTDATED)'!$A$2:$S$19,18,FALSE)</f>
        <v>9</v>
      </c>
    </row>
    <row r="235" spans="1:40" s="33" customFormat="1" ht="28" x14ac:dyDescent="0.15">
      <c r="A235" s="25">
        <v>201</v>
      </c>
      <c r="B235" s="26">
        <v>2807230955</v>
      </c>
      <c r="C235" s="27">
        <v>28</v>
      </c>
      <c r="D235" s="27">
        <v>7</v>
      </c>
      <c r="E235" s="27">
        <v>2023</v>
      </c>
      <c r="F235" s="28">
        <v>45135</v>
      </c>
      <c r="G235" s="26" t="s">
        <v>1</v>
      </c>
      <c r="H235" s="29">
        <v>0.30298892988929893</v>
      </c>
      <c r="I235" s="30">
        <f>ROUNDUP((Table2[[#This Row],[fGCM_Conc]]*10000),0)</f>
        <v>3030</v>
      </c>
      <c r="J235" s="25" t="str">
        <f>VLOOKUP(G235,'[1]Attributes(OUTDATED)'!$A$2:$C$19,2,FALSE)</f>
        <v>F</v>
      </c>
      <c r="K235" s="25" t="str">
        <f>VLOOKUP(G235,'[1]Attributes(OUTDATED)'!$A$2:$C$19,3,FALSE)</f>
        <v>A</v>
      </c>
      <c r="L235" s="25">
        <f>VLOOKUP(G235,'[1]Attributes(OUTDATED)'!$A$2:$H$19,8,FALSE)</f>
        <v>929</v>
      </c>
      <c r="M235" s="25" t="str">
        <f>K235&amp;J235</f>
        <v>AF</v>
      </c>
      <c r="N235" s="25" t="e">
        <f>VLOOKUP(G235,#REF!,2,FALSE)</f>
        <v>#REF!</v>
      </c>
      <c r="O235" s="31">
        <v>45133</v>
      </c>
      <c r="P235" s="32">
        <v>22.6</v>
      </c>
      <c r="Q235" s="32">
        <v>17.3</v>
      </c>
      <c r="R235" s="32">
        <v>9.8000000000000007</v>
      </c>
      <c r="S235" s="32">
        <f>Table2[[#This Row],[2_Temp_H]]-Table2[[#This Row],[2_Temp_L]]</f>
        <v>12.8</v>
      </c>
      <c r="T235" s="32">
        <v>42.3</v>
      </c>
      <c r="U235" s="32">
        <v>11.5</v>
      </c>
      <c r="V235" s="32">
        <v>1013.88</v>
      </c>
      <c r="W235" s="32">
        <v>1009.82</v>
      </c>
      <c r="X235" s="32">
        <v>3.56</v>
      </c>
      <c r="Y235" s="32" t="s">
        <v>147</v>
      </c>
      <c r="Z235" s="32" t="s">
        <v>139</v>
      </c>
      <c r="AA235" s="32" t="s">
        <v>26</v>
      </c>
      <c r="AB235" s="32" t="s">
        <v>144</v>
      </c>
      <c r="AC235" s="32" t="s">
        <v>146</v>
      </c>
      <c r="AD235" s="32" t="s">
        <v>137</v>
      </c>
      <c r="AE235" s="32">
        <f>VLOOKUP(Table2[[#This Row],[3_Elephant_ID]],'[1]Attributes(OUTDATED)'!$A$2:$N$19,12,FALSE)</f>
        <v>321</v>
      </c>
      <c r="AF235" s="32">
        <f>VLOOKUP(Table2[[#This Row],[3_Elephant_ID]],'[1]Attributes(OUTDATED)'!$A$2:$N$19,13,FALSE)</f>
        <v>0.17599999999999999</v>
      </c>
      <c r="AG235" s="32">
        <f>VLOOKUP(Table2[[#This Row],[3_Elephant_ID]],'[1]Attributes(OUTDATED)'!$A$2:$N$19,14,FALSE)</f>
        <v>0.17530262753188491</v>
      </c>
      <c r="AH235" s="32">
        <v>1</v>
      </c>
      <c r="AI235" s="32">
        <v>0</v>
      </c>
      <c r="AJ235" s="32">
        <v>0</v>
      </c>
      <c r="AK235" s="32">
        <v>0</v>
      </c>
      <c r="AL235" s="32">
        <f>VLOOKUP(Table2[[#This Row],[3_Elephant_ID]],'[1]Attributes(OUTDATED)'!$A$2:$P$19,16,FALSE)</f>
        <v>1</v>
      </c>
      <c r="AM235" s="32">
        <f>VLOOKUP(Table2[[#This Row],[3_Elephant_ID]],'[1]Attributes(OUTDATED)'!$A$2:$S$19,17,FALSE)</f>
        <v>6</v>
      </c>
      <c r="AN235" s="32">
        <f>VLOOKUP(Table2[[#This Row],[3_Elephant_ID]],'[1]Attributes(OUTDATED)'!$A$2:$S$19,18,FALSE)</f>
        <v>8</v>
      </c>
    </row>
    <row r="236" spans="1:40" s="33" customFormat="1" ht="28" x14ac:dyDescent="0.15">
      <c r="A236" s="25">
        <v>200</v>
      </c>
      <c r="B236" s="26">
        <v>2807230951</v>
      </c>
      <c r="C236" s="27">
        <v>28</v>
      </c>
      <c r="D236" s="27">
        <v>7</v>
      </c>
      <c r="E236" s="27">
        <v>2023</v>
      </c>
      <c r="F236" s="28">
        <v>45135</v>
      </c>
      <c r="G236" s="26" t="s">
        <v>11</v>
      </c>
      <c r="H236" s="29">
        <v>0.26718749999999991</v>
      </c>
      <c r="I236" s="30">
        <f>ROUNDUP((Table2[[#This Row],[fGCM_Conc]]*10000),0)</f>
        <v>2672</v>
      </c>
      <c r="J236" s="25" t="str">
        <f>VLOOKUP(G236,'[1]Attributes(OUTDATED)'!$A$2:$C$19,2,FALSE)</f>
        <v>M</v>
      </c>
      <c r="K236" s="25" t="str">
        <f>VLOOKUP(G236,'[1]Attributes(OUTDATED)'!$A$2:$C$19,3,FALSE)</f>
        <v>A</v>
      </c>
      <c r="L236" s="25">
        <f>VLOOKUP(G236,'[1]Attributes(OUTDATED)'!$A$2:$H$19,8,FALSE)</f>
        <v>1223</v>
      </c>
      <c r="M236" s="25" t="str">
        <f>K236&amp;J236</f>
        <v>AM</v>
      </c>
      <c r="N236" s="25" t="e">
        <f>VLOOKUP(G236,#REF!,2,FALSE)</f>
        <v>#REF!</v>
      </c>
      <c r="O236" s="31">
        <v>45133</v>
      </c>
      <c r="P236" s="32">
        <v>22.6</v>
      </c>
      <c r="Q236" s="32">
        <v>17.3</v>
      </c>
      <c r="R236" s="32">
        <v>9.8000000000000007</v>
      </c>
      <c r="S236" s="32">
        <f>Table2[[#This Row],[2_Temp_H]]-Table2[[#This Row],[2_Temp_L]]</f>
        <v>12.8</v>
      </c>
      <c r="T236" s="32">
        <v>42.3</v>
      </c>
      <c r="U236" s="32">
        <v>11.5</v>
      </c>
      <c r="V236" s="32">
        <v>1013.88</v>
      </c>
      <c r="W236" s="32">
        <v>1009.82</v>
      </c>
      <c r="X236" s="32">
        <v>3.56</v>
      </c>
      <c r="Y236" s="32" t="s">
        <v>147</v>
      </c>
      <c r="Z236" s="32" t="s">
        <v>139</v>
      </c>
      <c r="AA236" s="32" t="s">
        <v>26</v>
      </c>
      <c r="AB236" s="32" t="s">
        <v>144</v>
      </c>
      <c r="AC236" s="32" t="s">
        <v>146</v>
      </c>
      <c r="AD236" s="32" t="s">
        <v>137</v>
      </c>
      <c r="AE236" s="32">
        <f>VLOOKUP(Table2[[#This Row],[3_Elephant_ID]],'[1]Attributes(OUTDATED)'!$A$2:$N$19,12,FALSE)</f>
        <v>404</v>
      </c>
      <c r="AF236" s="32">
        <f>VLOOKUP(Table2[[#This Row],[3_Elephant_ID]],'[1]Attributes(OUTDATED)'!$A$2:$N$19,13,FALSE)</f>
        <v>0.91700000000000004</v>
      </c>
      <c r="AG236" s="32">
        <f>VLOOKUP(Table2[[#This Row],[3_Elephant_ID]],'[1]Attributes(OUTDATED)'!$A$2:$N$19,14,FALSE)</f>
        <v>0.91664628583929353</v>
      </c>
      <c r="AH236" s="32">
        <v>1</v>
      </c>
      <c r="AI236" s="32">
        <v>0</v>
      </c>
      <c r="AJ236" s="32">
        <v>0</v>
      </c>
      <c r="AK236" s="32">
        <v>0</v>
      </c>
      <c r="AL236" s="32">
        <f>VLOOKUP(Table2[[#This Row],[3_Elephant_ID]],'[1]Attributes(OUTDATED)'!$A$2:$P$19,16,FALSE)</f>
        <v>1</v>
      </c>
      <c r="AM236" s="32">
        <f>VLOOKUP(Table2[[#This Row],[3_Elephant_ID]],'[1]Attributes(OUTDATED)'!$A$2:$S$19,17,FALSE)</f>
        <v>14</v>
      </c>
      <c r="AN236" s="32">
        <f>VLOOKUP(Table2[[#This Row],[3_Elephant_ID]],'[1]Attributes(OUTDATED)'!$A$2:$S$19,18,FALSE)</f>
        <v>17</v>
      </c>
    </row>
    <row r="237" spans="1:40" s="33" customFormat="1" ht="28" x14ac:dyDescent="0.15">
      <c r="A237" s="25">
        <v>203</v>
      </c>
      <c r="B237" s="26">
        <v>2807230958</v>
      </c>
      <c r="C237" s="27">
        <v>28</v>
      </c>
      <c r="D237" s="27">
        <v>7</v>
      </c>
      <c r="E237" s="27">
        <v>2023</v>
      </c>
      <c r="F237" s="28">
        <v>45135</v>
      </c>
      <c r="G237" s="26" t="s">
        <v>17</v>
      </c>
      <c r="H237" s="29">
        <v>0.25464351005484465</v>
      </c>
      <c r="I237" s="30">
        <f>ROUNDUP((Table2[[#This Row],[fGCM_Conc]]*10000),0)</f>
        <v>2547</v>
      </c>
      <c r="J237" s="25" t="str">
        <f>VLOOKUP(G237,'[1]Attributes(OUTDATED)'!$A$2:$C$19,2,FALSE)</f>
        <v>M</v>
      </c>
      <c r="K237" s="25" t="str">
        <f>VLOOKUP(G237,'[1]Attributes(OUTDATED)'!$A$2:$C$19,3,FALSE)</f>
        <v>J</v>
      </c>
      <c r="L237" s="25">
        <f>VLOOKUP(G237,'[1]Attributes(OUTDATED)'!$A$2:$H$19,8,FALSE)</f>
        <v>699</v>
      </c>
      <c r="M237" s="25" t="str">
        <f>K237&amp;J237</f>
        <v>JM</v>
      </c>
      <c r="N237" s="25" t="e">
        <f>VLOOKUP(G237,#REF!,2,FALSE)</f>
        <v>#REF!</v>
      </c>
      <c r="O237" s="31">
        <v>45133</v>
      </c>
      <c r="P237" s="32">
        <v>22.6</v>
      </c>
      <c r="Q237" s="32">
        <v>17.3</v>
      </c>
      <c r="R237" s="32">
        <v>9.8000000000000007</v>
      </c>
      <c r="S237" s="32">
        <f>Table2[[#This Row],[2_Temp_H]]-Table2[[#This Row],[2_Temp_L]]</f>
        <v>12.8</v>
      </c>
      <c r="T237" s="32">
        <v>42.3</v>
      </c>
      <c r="U237" s="32">
        <v>11.5</v>
      </c>
      <c r="V237" s="32">
        <v>1013.88</v>
      </c>
      <c r="W237" s="32">
        <v>1009.82</v>
      </c>
      <c r="X237" s="32">
        <v>3.56</v>
      </c>
      <c r="Y237" s="32" t="s">
        <v>147</v>
      </c>
      <c r="Z237" s="32" t="s">
        <v>139</v>
      </c>
      <c r="AA237" s="32" t="s">
        <v>26</v>
      </c>
      <c r="AB237" s="32" t="s">
        <v>144</v>
      </c>
      <c r="AC237" s="32" t="s">
        <v>146</v>
      </c>
      <c r="AD237" s="32" t="s">
        <v>137</v>
      </c>
      <c r="AE237" s="32">
        <f>VLOOKUP(Table2[[#This Row],[3_Elephant_ID]],'[1]Attributes(OUTDATED)'!$A$2:$N$19,12,FALSE)</f>
        <v>343</v>
      </c>
      <c r="AF237" s="32">
        <f>VLOOKUP(Table2[[#This Row],[3_Elephant_ID]],'[1]Attributes(OUTDATED)'!$A$2:$N$19,13,FALSE)</f>
        <v>0.81</v>
      </c>
      <c r="AG237" s="32">
        <f>VLOOKUP(Table2[[#This Row],[3_Elephant_ID]],'[1]Attributes(OUTDATED)'!$A$2:$N$19,14,FALSE)</f>
        <v>0.80966774571167055</v>
      </c>
      <c r="AH237" s="32">
        <v>1</v>
      </c>
      <c r="AI237" s="32">
        <v>0</v>
      </c>
      <c r="AJ237" s="32">
        <v>0</v>
      </c>
      <c r="AK237" s="32">
        <v>0</v>
      </c>
      <c r="AL237" s="32">
        <f>VLOOKUP(Table2[[#This Row],[3_Elephant_ID]],'[1]Attributes(OUTDATED)'!$A$2:$P$19,16,FALSE)</f>
        <v>1</v>
      </c>
      <c r="AM237" s="32">
        <f>VLOOKUP(Table2[[#This Row],[3_Elephant_ID]],'[1]Attributes(OUTDATED)'!$A$2:$S$19,17,FALSE)</f>
        <v>0</v>
      </c>
      <c r="AN237" s="32">
        <f>VLOOKUP(Table2[[#This Row],[3_Elephant_ID]],'[1]Attributes(OUTDATED)'!$A$2:$S$19,18,FALSE)</f>
        <v>8</v>
      </c>
    </row>
    <row r="238" spans="1:40" s="33" customFormat="1" ht="28" x14ac:dyDescent="0.15">
      <c r="A238" s="25">
        <v>264</v>
      </c>
      <c r="B238" s="26">
        <v>3007231459</v>
      </c>
      <c r="C238" s="27">
        <v>30</v>
      </c>
      <c r="D238" s="27">
        <v>7</v>
      </c>
      <c r="E238" s="27">
        <v>2023</v>
      </c>
      <c r="F238" s="28">
        <v>45137</v>
      </c>
      <c r="G238" s="26" t="s">
        <v>16</v>
      </c>
      <c r="H238" s="29">
        <v>0.67691011235955045</v>
      </c>
      <c r="I238" s="30">
        <f>ROUNDUP((Table2[[#This Row],[fGCM_Conc]]*10000),0)</f>
        <v>6770</v>
      </c>
      <c r="J238" s="25" t="str">
        <f>VLOOKUP(G238,'[1]Attributes(OUTDATED)'!$A$2:$C$19,2,FALSE)</f>
        <v>F</v>
      </c>
      <c r="K238" s="25" t="str">
        <f>VLOOKUP(G238,'[1]Attributes(OUTDATED)'!$A$2:$C$19,3,FALSE)</f>
        <v>A</v>
      </c>
      <c r="L238" s="25">
        <f>VLOOKUP(G238,'[1]Attributes(OUTDATED)'!$A$2:$H$19,8,FALSE)</f>
        <v>1346</v>
      </c>
      <c r="M238" s="25" t="str">
        <f>K238&amp;J238</f>
        <v>AF</v>
      </c>
      <c r="N238" s="25" t="e">
        <f>VLOOKUP(G238,#REF!,2,FALSE)</f>
        <v>#REF!</v>
      </c>
      <c r="O238" s="31">
        <v>45135</v>
      </c>
      <c r="P238" s="32">
        <v>25.1</v>
      </c>
      <c r="Q238" s="32">
        <v>18.8</v>
      </c>
      <c r="R238" s="32">
        <v>7.2</v>
      </c>
      <c r="S238" s="32">
        <f>Table2[[#This Row],[2_Temp_H]]-Table2[[#This Row],[2_Temp_L]]</f>
        <v>17.900000000000002</v>
      </c>
      <c r="T238" s="32">
        <v>36.200000000000003</v>
      </c>
      <c r="U238" s="32">
        <v>9</v>
      </c>
      <c r="V238" s="32">
        <v>1010.84</v>
      </c>
      <c r="W238" s="32">
        <v>1003.05</v>
      </c>
      <c r="X238" s="32">
        <v>0</v>
      </c>
      <c r="Y238" s="32" t="s">
        <v>147</v>
      </c>
      <c r="Z238" s="32" t="s">
        <v>139</v>
      </c>
      <c r="AA238" s="32" t="s">
        <v>26</v>
      </c>
      <c r="AB238" s="32" t="s">
        <v>144</v>
      </c>
      <c r="AC238" s="32" t="s">
        <v>146</v>
      </c>
      <c r="AD238" s="32" t="s">
        <v>137</v>
      </c>
      <c r="AE238" s="32">
        <f>VLOOKUP(Table2[[#This Row],[3_Elephant_ID]],'[1]Attributes(OUTDATED)'!$A$2:$N$19,12,FALSE)</f>
        <v>474</v>
      </c>
      <c r="AF238" s="32">
        <f>VLOOKUP(Table2[[#This Row],[3_Elephant_ID]],'[1]Attributes(OUTDATED)'!$A$2:$N$19,13,FALSE)</f>
        <v>0.121</v>
      </c>
      <c r="AG238" s="32">
        <f>VLOOKUP(Table2[[#This Row],[3_Elephant_ID]],'[1]Attributes(OUTDATED)'!$A$2:$N$19,14,FALSE)</f>
        <v>0.1206993463154281</v>
      </c>
      <c r="AH238" s="32">
        <v>0</v>
      </c>
      <c r="AI238" s="32">
        <v>0</v>
      </c>
      <c r="AJ238" s="32">
        <v>0</v>
      </c>
      <c r="AK238" s="32">
        <v>0</v>
      </c>
      <c r="AL238" s="32">
        <f>VLOOKUP(Table2[[#This Row],[3_Elephant_ID]],'[1]Attributes(OUTDATED)'!$A$2:$P$19,16,FALSE)</f>
        <v>1</v>
      </c>
      <c r="AM238" s="32">
        <f>VLOOKUP(Table2[[#This Row],[3_Elephant_ID]],'[1]Attributes(OUTDATED)'!$A$2:$S$19,17,FALSE)</f>
        <v>16</v>
      </c>
      <c r="AN238" s="32">
        <f>VLOOKUP(Table2[[#This Row],[3_Elephant_ID]],'[1]Attributes(OUTDATED)'!$A$2:$S$19,18,FALSE)</f>
        <v>1</v>
      </c>
    </row>
    <row r="239" spans="1:40" s="33" customFormat="1" ht="28" x14ac:dyDescent="0.15">
      <c r="A239" s="25">
        <v>262</v>
      </c>
      <c r="B239" s="26">
        <v>3007231651</v>
      </c>
      <c r="C239" s="27">
        <v>30</v>
      </c>
      <c r="D239" s="27">
        <v>7</v>
      </c>
      <c r="E239" s="27">
        <v>2023</v>
      </c>
      <c r="F239" s="28">
        <v>45137</v>
      </c>
      <c r="G239" s="26" t="s">
        <v>16</v>
      </c>
      <c r="H239" s="29">
        <v>0.66921787709497216</v>
      </c>
      <c r="I239" s="30">
        <f>ROUNDUP((Table2[[#This Row],[fGCM_Conc]]*10000),0)</f>
        <v>6693</v>
      </c>
      <c r="J239" s="25" t="str">
        <f>VLOOKUP(G239,'[1]Attributes(OUTDATED)'!$A$2:$C$19,2,FALSE)</f>
        <v>F</v>
      </c>
      <c r="K239" s="25" t="str">
        <f>VLOOKUP(G239,'[1]Attributes(OUTDATED)'!$A$2:$C$19,3,FALSE)</f>
        <v>A</v>
      </c>
      <c r="L239" s="25">
        <f>VLOOKUP(G239,'[1]Attributes(OUTDATED)'!$A$2:$H$19,8,FALSE)</f>
        <v>1346</v>
      </c>
      <c r="M239" s="25" t="str">
        <f>K239&amp;J239</f>
        <v>AF</v>
      </c>
      <c r="N239" s="25" t="e">
        <f>VLOOKUP(G239,#REF!,2,FALSE)</f>
        <v>#REF!</v>
      </c>
      <c r="O239" s="31">
        <v>45135</v>
      </c>
      <c r="P239" s="32">
        <v>25.1</v>
      </c>
      <c r="Q239" s="32">
        <v>18.8</v>
      </c>
      <c r="R239" s="32">
        <v>7.2</v>
      </c>
      <c r="S239" s="32">
        <f>Table2[[#This Row],[2_Temp_H]]-Table2[[#This Row],[2_Temp_L]]</f>
        <v>17.900000000000002</v>
      </c>
      <c r="T239" s="32">
        <v>36.200000000000003</v>
      </c>
      <c r="U239" s="32">
        <v>9</v>
      </c>
      <c r="V239" s="32">
        <v>1010.84</v>
      </c>
      <c r="W239" s="32">
        <v>1003.05</v>
      </c>
      <c r="X239" s="32">
        <v>0</v>
      </c>
      <c r="Y239" s="32" t="s">
        <v>147</v>
      </c>
      <c r="Z239" s="32" t="s">
        <v>139</v>
      </c>
      <c r="AA239" s="32" t="s">
        <v>26</v>
      </c>
      <c r="AB239" s="32" t="s">
        <v>144</v>
      </c>
      <c r="AC239" s="32" t="s">
        <v>146</v>
      </c>
      <c r="AD239" s="32" t="s">
        <v>137</v>
      </c>
      <c r="AE239" s="32">
        <f>VLOOKUP(Table2[[#This Row],[3_Elephant_ID]],'[1]Attributes(OUTDATED)'!$A$2:$N$19,12,FALSE)</f>
        <v>474</v>
      </c>
      <c r="AF239" s="32">
        <f>VLOOKUP(Table2[[#This Row],[3_Elephant_ID]],'[1]Attributes(OUTDATED)'!$A$2:$N$19,13,FALSE)</f>
        <v>0.121</v>
      </c>
      <c r="AG239" s="32">
        <f>VLOOKUP(Table2[[#This Row],[3_Elephant_ID]],'[1]Attributes(OUTDATED)'!$A$2:$N$19,14,FALSE)</f>
        <v>0.1206993463154281</v>
      </c>
      <c r="AH239" s="32">
        <v>0</v>
      </c>
      <c r="AI239" s="32">
        <v>0</v>
      </c>
      <c r="AJ239" s="32">
        <v>0</v>
      </c>
      <c r="AK239" s="32">
        <v>0</v>
      </c>
      <c r="AL239" s="32">
        <f>VLOOKUP(Table2[[#This Row],[3_Elephant_ID]],'[1]Attributes(OUTDATED)'!$A$2:$P$19,16,FALSE)</f>
        <v>1</v>
      </c>
      <c r="AM239" s="32">
        <f>VLOOKUP(Table2[[#This Row],[3_Elephant_ID]],'[1]Attributes(OUTDATED)'!$A$2:$S$19,17,FALSE)</f>
        <v>16</v>
      </c>
      <c r="AN239" s="32">
        <f>VLOOKUP(Table2[[#This Row],[3_Elephant_ID]],'[1]Attributes(OUTDATED)'!$A$2:$S$19,18,FALSE)</f>
        <v>1</v>
      </c>
    </row>
    <row r="240" spans="1:40" s="33" customFormat="1" ht="28" x14ac:dyDescent="0.15">
      <c r="A240" s="25">
        <v>263</v>
      </c>
      <c r="B240" s="26">
        <v>3007231633</v>
      </c>
      <c r="C240" s="27">
        <v>30</v>
      </c>
      <c r="D240" s="27">
        <v>7</v>
      </c>
      <c r="E240" s="27">
        <v>2023</v>
      </c>
      <c r="F240" s="28">
        <v>45137</v>
      </c>
      <c r="G240" s="26" t="s">
        <v>8</v>
      </c>
      <c r="H240" s="29">
        <v>0.3973062730627307</v>
      </c>
      <c r="I240" s="30">
        <f>ROUNDUP((Table2[[#This Row],[fGCM_Conc]]*10000),0)</f>
        <v>3974</v>
      </c>
      <c r="J240" s="25" t="str">
        <f>VLOOKUP(G240,'[1]Attributes(OUTDATED)'!$A$2:$C$19,2,FALSE)</f>
        <v>F</v>
      </c>
      <c r="K240" s="25" t="str">
        <f>VLOOKUP(G240,'[1]Attributes(OUTDATED)'!$A$2:$C$19,3,FALSE)</f>
        <v>A</v>
      </c>
      <c r="L240" s="25">
        <f>VLOOKUP(G240,'[1]Attributes(OUTDATED)'!$A$2:$H$19,8,FALSE)</f>
        <v>1096</v>
      </c>
      <c r="M240" s="25" t="str">
        <f>K240&amp;J240</f>
        <v>AF</v>
      </c>
      <c r="N240" s="25" t="e">
        <f>VLOOKUP(G240,#REF!,2,FALSE)</f>
        <v>#REF!</v>
      </c>
      <c r="O240" s="31">
        <v>45135</v>
      </c>
      <c r="P240" s="32">
        <v>25.1</v>
      </c>
      <c r="Q240" s="32">
        <v>18.8</v>
      </c>
      <c r="R240" s="32">
        <v>7.2</v>
      </c>
      <c r="S240" s="32">
        <f>Table2[[#This Row],[2_Temp_H]]-Table2[[#This Row],[2_Temp_L]]</f>
        <v>17.900000000000002</v>
      </c>
      <c r="T240" s="32">
        <v>36.200000000000003</v>
      </c>
      <c r="U240" s="32">
        <v>9</v>
      </c>
      <c r="V240" s="32">
        <v>1010.84</v>
      </c>
      <c r="W240" s="32">
        <v>1003.05</v>
      </c>
      <c r="X240" s="32">
        <v>0</v>
      </c>
      <c r="Y240" s="32" t="s">
        <v>147</v>
      </c>
      <c r="Z240" s="32" t="s">
        <v>139</v>
      </c>
      <c r="AA240" s="32" t="s">
        <v>26</v>
      </c>
      <c r="AB240" s="32" t="s">
        <v>144</v>
      </c>
      <c r="AC240" s="32" t="s">
        <v>146</v>
      </c>
      <c r="AD240" s="32" t="s">
        <v>137</v>
      </c>
      <c r="AE240" s="32">
        <f>VLOOKUP(Table2[[#This Row],[3_Elephant_ID]],'[1]Attributes(OUTDATED)'!$A$2:$N$19,12,FALSE)</f>
        <v>346</v>
      </c>
      <c r="AF240" s="32">
        <f>VLOOKUP(Table2[[#This Row],[3_Elephant_ID]],'[1]Attributes(OUTDATED)'!$A$2:$N$19,13,FALSE)</f>
        <v>0.28999999999999998</v>
      </c>
      <c r="AG240" s="32">
        <f>VLOOKUP(Table2[[#This Row],[3_Elephant_ID]],'[1]Attributes(OUTDATED)'!$A$2:$N$19,14,FALSE)</f>
        <v>0.28929989906834258</v>
      </c>
      <c r="AH240" s="32">
        <v>0</v>
      </c>
      <c r="AI240" s="32">
        <v>0</v>
      </c>
      <c r="AJ240" s="32">
        <v>0</v>
      </c>
      <c r="AK240" s="32">
        <v>0</v>
      </c>
      <c r="AL240" s="32">
        <f>VLOOKUP(Table2[[#This Row],[3_Elephant_ID]],'[1]Attributes(OUTDATED)'!$A$2:$P$19,16,FALSE)</f>
        <v>1</v>
      </c>
      <c r="AM240" s="32">
        <f>VLOOKUP(Table2[[#This Row],[3_Elephant_ID]],'[1]Attributes(OUTDATED)'!$A$2:$S$19,17,FALSE)</f>
        <v>11</v>
      </c>
      <c r="AN240" s="32">
        <f>VLOOKUP(Table2[[#This Row],[3_Elephant_ID]],'[1]Attributes(OUTDATED)'!$A$2:$S$19,18,FALSE)</f>
        <v>7</v>
      </c>
    </row>
    <row r="241" spans="1:40" s="33" customFormat="1" ht="28" x14ac:dyDescent="0.15">
      <c r="A241" s="25">
        <v>260</v>
      </c>
      <c r="B241" s="26">
        <v>3107231611</v>
      </c>
      <c r="C241" s="27">
        <v>31</v>
      </c>
      <c r="D241" s="27">
        <v>7</v>
      </c>
      <c r="E241" s="27">
        <v>2023</v>
      </c>
      <c r="F241" s="28">
        <v>45138</v>
      </c>
      <c r="G241" s="26" t="s">
        <v>31</v>
      </c>
      <c r="H241" s="29">
        <v>0.80736940298507465</v>
      </c>
      <c r="I241" s="30">
        <f>ROUNDUP((Table2[[#This Row],[fGCM_Conc]]*10000),0)</f>
        <v>8074</v>
      </c>
      <c r="J241" s="25" t="str">
        <f>VLOOKUP(G241,'[1]Attributes(OUTDATED)'!$A$2:$C$19,2,FALSE)</f>
        <v>F</v>
      </c>
      <c r="K241" s="25" t="str">
        <f>VLOOKUP(G241,'[1]Attributes(OUTDATED)'!$A$2:$C$19,3,FALSE)</f>
        <v>J</v>
      </c>
      <c r="L241" s="25">
        <f>VLOOKUP(G241,'[1]Attributes(OUTDATED)'!$A$2:$H$19,8,FALSE)</f>
        <v>765</v>
      </c>
      <c r="M241" s="25" t="str">
        <f>K241&amp;J241</f>
        <v>JF</v>
      </c>
      <c r="N241" s="25" t="e">
        <f>VLOOKUP(G241,#REF!,2,FALSE)</f>
        <v>#REF!</v>
      </c>
      <c r="O241" s="31">
        <v>45136</v>
      </c>
      <c r="P241" s="32">
        <v>17.3</v>
      </c>
      <c r="Q241" s="32">
        <v>10.3</v>
      </c>
      <c r="R241" s="32">
        <v>6.4</v>
      </c>
      <c r="S241" s="32">
        <f>Table2[[#This Row],[2_Temp_H]]-Table2[[#This Row],[2_Temp_L]]</f>
        <v>10.9</v>
      </c>
      <c r="T241" s="32">
        <v>60.8</v>
      </c>
      <c r="U241" s="32">
        <v>10.1</v>
      </c>
      <c r="V241" s="32">
        <v>1008.81</v>
      </c>
      <c r="W241" s="32">
        <v>1002.03</v>
      </c>
      <c r="X241" s="32">
        <v>4.57</v>
      </c>
      <c r="Y241" s="32" t="s">
        <v>147</v>
      </c>
      <c r="Z241" s="34" t="s">
        <v>171</v>
      </c>
      <c r="AA241" s="32" t="s">
        <v>137</v>
      </c>
      <c r="AB241" s="32" t="s">
        <v>144</v>
      </c>
      <c r="AC241" s="32" t="s">
        <v>146</v>
      </c>
      <c r="AD241" s="32" t="s">
        <v>137</v>
      </c>
      <c r="AE241" s="32">
        <f>VLOOKUP(Table2[[#This Row],[3_Elephant_ID]],'[1]Attributes(OUTDATED)'!$A$2:$N$19,12,FALSE)</f>
        <v>258</v>
      </c>
      <c r="AF241" s="32">
        <f>VLOOKUP(Table2[[#This Row],[3_Elephant_ID]],'[1]Attributes(OUTDATED)'!$A$2:$N$19,13,FALSE)</f>
        <v>0.25700000000000001</v>
      </c>
      <c r="AG241" s="32">
        <f>VLOOKUP(Table2[[#This Row],[3_Elephant_ID]],'[1]Attributes(OUTDATED)'!$A$2:$N$19,14,FALSE)</f>
        <v>0.25665547185998128</v>
      </c>
      <c r="AH241" s="32">
        <v>0</v>
      </c>
      <c r="AI241" s="32">
        <v>0</v>
      </c>
      <c r="AJ241" s="32">
        <v>0</v>
      </c>
      <c r="AK241" s="32">
        <v>0</v>
      </c>
      <c r="AL241" s="32">
        <f>VLOOKUP(Table2[[#This Row],[3_Elephant_ID]],'[1]Attributes(OUTDATED)'!$A$2:$P$19,16,FALSE)</f>
        <v>2</v>
      </c>
      <c r="AM241" s="32">
        <f>VLOOKUP(Table2[[#This Row],[3_Elephant_ID]],'[1]Attributes(OUTDATED)'!$A$2:$S$19,17,FALSE)</f>
        <v>1</v>
      </c>
      <c r="AN241" s="32">
        <f>VLOOKUP(Table2[[#This Row],[3_Elephant_ID]],'[1]Attributes(OUTDATED)'!$A$2:$S$19,18,FALSE)</f>
        <v>10</v>
      </c>
    </row>
    <row r="242" spans="1:40" s="33" customFormat="1" ht="28" x14ac:dyDescent="0.15">
      <c r="A242" s="25">
        <v>261</v>
      </c>
      <c r="B242" s="26">
        <v>3107231531</v>
      </c>
      <c r="C242" s="27">
        <v>31</v>
      </c>
      <c r="D242" s="27">
        <v>7</v>
      </c>
      <c r="E242" s="27">
        <v>2023</v>
      </c>
      <c r="F242" s="28">
        <v>45138</v>
      </c>
      <c r="G242" s="26" t="s">
        <v>4</v>
      </c>
      <c r="H242" s="29">
        <v>0.36055452865064697</v>
      </c>
      <c r="I242" s="30">
        <f>ROUNDUP((Table2[[#This Row],[fGCM_Conc]]*10000),0)</f>
        <v>3606</v>
      </c>
      <c r="J242" s="25" t="str">
        <f>VLOOKUP(G242,'[1]Attributes(OUTDATED)'!$A$2:$C$19,2,FALSE)</f>
        <v>M</v>
      </c>
      <c r="K242" s="25" t="str">
        <f>VLOOKUP(G242,'[1]Attributes(OUTDATED)'!$A$2:$C$19,3,FALSE)</f>
        <v>J</v>
      </c>
      <c r="L242" s="25">
        <f>VLOOKUP(G242,'[1]Attributes(OUTDATED)'!$A$2:$H$19,8,FALSE)</f>
        <v>1055</v>
      </c>
      <c r="M242" s="25" t="str">
        <f>K242&amp;J242</f>
        <v>JM</v>
      </c>
      <c r="N242" s="25" t="e">
        <f>VLOOKUP(G242,#REF!,2,FALSE)</f>
        <v>#REF!</v>
      </c>
      <c r="O242" s="31">
        <v>45136</v>
      </c>
      <c r="P242" s="32">
        <v>17.3</v>
      </c>
      <c r="Q242" s="32">
        <v>10.3</v>
      </c>
      <c r="R242" s="32">
        <v>6.4</v>
      </c>
      <c r="S242" s="32">
        <f>Table2[[#This Row],[2_Temp_H]]-Table2[[#This Row],[2_Temp_L]]</f>
        <v>10.9</v>
      </c>
      <c r="T242" s="32">
        <v>60.8</v>
      </c>
      <c r="U242" s="32">
        <v>10.1</v>
      </c>
      <c r="V242" s="32">
        <v>1008.81</v>
      </c>
      <c r="W242" s="32">
        <v>1002.03</v>
      </c>
      <c r="X242" s="32">
        <v>4.57</v>
      </c>
      <c r="Y242" s="32" t="s">
        <v>147</v>
      </c>
      <c r="Z242" s="34" t="s">
        <v>171</v>
      </c>
      <c r="AA242" s="32" t="s">
        <v>137</v>
      </c>
      <c r="AB242" s="32" t="s">
        <v>144</v>
      </c>
      <c r="AC242" s="32" t="s">
        <v>146</v>
      </c>
      <c r="AD242" s="32" t="s">
        <v>137</v>
      </c>
      <c r="AE242" s="32">
        <f>VLOOKUP(Table2[[#This Row],[3_Elephant_ID]],'[1]Attributes(OUTDATED)'!$A$2:$N$19,12,FALSE)</f>
        <v>181</v>
      </c>
      <c r="AF242" s="32">
        <f>VLOOKUP(Table2[[#This Row],[3_Elephant_ID]],'[1]Attributes(OUTDATED)'!$A$2:$N$19,13,FALSE)</f>
        <v>7.3999999999999996E-2</v>
      </c>
      <c r="AG242" s="32">
        <f>VLOOKUP(Table2[[#This Row],[3_Elephant_ID]],'[1]Attributes(OUTDATED)'!$A$2:$N$19,14,FALSE)</f>
        <v>7.3914663535330896E-2</v>
      </c>
      <c r="AH242" s="32">
        <v>0</v>
      </c>
      <c r="AI242" s="32">
        <v>0</v>
      </c>
      <c r="AJ242" s="32">
        <v>0</v>
      </c>
      <c r="AK242" s="32">
        <v>0</v>
      </c>
      <c r="AL242" s="32">
        <f>VLOOKUP(Table2[[#This Row],[3_Elephant_ID]],'[1]Attributes(OUTDATED)'!$A$2:$P$19,16,FALSE)</f>
        <v>1</v>
      </c>
      <c r="AM242" s="32">
        <f>VLOOKUP(Table2[[#This Row],[3_Elephant_ID]],'[1]Attributes(OUTDATED)'!$A$2:$S$19,17,FALSE)</f>
        <v>7</v>
      </c>
      <c r="AN242" s="32">
        <f>VLOOKUP(Table2[[#This Row],[3_Elephant_ID]],'[1]Attributes(OUTDATED)'!$A$2:$S$19,18,FALSE)</f>
        <v>9</v>
      </c>
    </row>
    <row r="243" spans="1:40" s="33" customFormat="1" ht="28" x14ac:dyDescent="0.15">
      <c r="A243" s="25">
        <v>259</v>
      </c>
      <c r="B243" s="26">
        <v>3107231626</v>
      </c>
      <c r="C243" s="27">
        <v>31</v>
      </c>
      <c r="D243" s="27">
        <v>7</v>
      </c>
      <c r="E243" s="27">
        <v>2023</v>
      </c>
      <c r="F243" s="28">
        <v>45138</v>
      </c>
      <c r="G243" s="26" t="s">
        <v>11</v>
      </c>
      <c r="H243" s="29">
        <v>0.26894248608534321</v>
      </c>
      <c r="I243" s="30">
        <f>ROUNDUP((Table2[[#This Row],[fGCM_Conc]]*10000),0)</f>
        <v>2690</v>
      </c>
      <c r="J243" s="25" t="str">
        <f>VLOOKUP(G243,'[1]Attributes(OUTDATED)'!$A$2:$C$19,2,FALSE)</f>
        <v>M</v>
      </c>
      <c r="K243" s="25" t="str">
        <f>VLOOKUP(G243,'[1]Attributes(OUTDATED)'!$A$2:$C$19,3,FALSE)</f>
        <v>A</v>
      </c>
      <c r="L243" s="25">
        <f>VLOOKUP(G243,'[1]Attributes(OUTDATED)'!$A$2:$H$19,8,FALSE)</f>
        <v>1223</v>
      </c>
      <c r="M243" s="25" t="str">
        <f>K243&amp;J243</f>
        <v>AM</v>
      </c>
      <c r="N243" s="25" t="e">
        <f>VLOOKUP(G243,#REF!,2,FALSE)</f>
        <v>#REF!</v>
      </c>
      <c r="O243" s="31">
        <v>45136</v>
      </c>
      <c r="P243" s="32">
        <v>17.3</v>
      </c>
      <c r="Q243" s="32">
        <v>10.3</v>
      </c>
      <c r="R243" s="32">
        <v>6.4</v>
      </c>
      <c r="S243" s="32">
        <f>Table2[[#This Row],[2_Temp_H]]-Table2[[#This Row],[2_Temp_L]]</f>
        <v>10.9</v>
      </c>
      <c r="T243" s="32">
        <v>60.8</v>
      </c>
      <c r="U243" s="32">
        <v>10.1</v>
      </c>
      <c r="V243" s="32">
        <v>1008.81</v>
      </c>
      <c r="W243" s="32">
        <v>1002.03</v>
      </c>
      <c r="X243" s="32">
        <v>4.57</v>
      </c>
      <c r="Y243" s="32" t="s">
        <v>147</v>
      </c>
      <c r="Z243" s="34" t="s">
        <v>171</v>
      </c>
      <c r="AA243" s="32" t="s">
        <v>137</v>
      </c>
      <c r="AB243" s="32" t="s">
        <v>144</v>
      </c>
      <c r="AC243" s="32" t="s">
        <v>146</v>
      </c>
      <c r="AD243" s="32" t="s">
        <v>137</v>
      </c>
      <c r="AE243" s="32">
        <f>VLOOKUP(Table2[[#This Row],[3_Elephant_ID]],'[1]Attributes(OUTDATED)'!$A$2:$N$19,12,FALSE)</f>
        <v>404</v>
      </c>
      <c r="AF243" s="32">
        <f>VLOOKUP(Table2[[#This Row],[3_Elephant_ID]],'[1]Attributes(OUTDATED)'!$A$2:$N$19,13,FALSE)</f>
        <v>0.91700000000000004</v>
      </c>
      <c r="AG243" s="32">
        <f>VLOOKUP(Table2[[#This Row],[3_Elephant_ID]],'[1]Attributes(OUTDATED)'!$A$2:$N$19,14,FALSE)</f>
        <v>0.91664628583929353</v>
      </c>
      <c r="AH243" s="32">
        <v>0</v>
      </c>
      <c r="AI243" s="32">
        <v>0</v>
      </c>
      <c r="AJ243" s="32">
        <v>0</v>
      </c>
      <c r="AK243" s="32">
        <v>0</v>
      </c>
      <c r="AL243" s="32">
        <f>VLOOKUP(Table2[[#This Row],[3_Elephant_ID]],'[1]Attributes(OUTDATED)'!$A$2:$P$19,16,FALSE)</f>
        <v>1</v>
      </c>
      <c r="AM243" s="32">
        <f>VLOOKUP(Table2[[#This Row],[3_Elephant_ID]],'[1]Attributes(OUTDATED)'!$A$2:$S$19,17,FALSE)</f>
        <v>14</v>
      </c>
      <c r="AN243" s="32">
        <f>VLOOKUP(Table2[[#This Row],[3_Elephant_ID]],'[1]Attributes(OUTDATED)'!$A$2:$S$19,18,FALSE)</f>
        <v>17</v>
      </c>
    </row>
    <row r="244" spans="1:40" s="33" customFormat="1" ht="28" x14ac:dyDescent="0.15">
      <c r="A244" s="25">
        <v>250</v>
      </c>
      <c r="B244" s="26" t="s">
        <v>93</v>
      </c>
      <c r="C244" s="27">
        <v>1</v>
      </c>
      <c r="D244" s="27">
        <v>8</v>
      </c>
      <c r="E244" s="27">
        <v>2023</v>
      </c>
      <c r="F244" s="28">
        <v>45139</v>
      </c>
      <c r="G244" s="26" t="s">
        <v>16</v>
      </c>
      <c r="H244" s="29">
        <v>0.65011049723756886</v>
      </c>
      <c r="I244" s="30">
        <f>ROUNDUP((Table2[[#This Row],[fGCM_Conc]]*10000),0)</f>
        <v>6502</v>
      </c>
      <c r="J244" s="25" t="str">
        <f>VLOOKUP(G244,'[1]Attributes(OUTDATED)'!$A$2:$C$19,2,FALSE)</f>
        <v>F</v>
      </c>
      <c r="K244" s="25" t="str">
        <f>VLOOKUP(G244,'[1]Attributes(OUTDATED)'!$A$2:$C$19,3,FALSE)</f>
        <v>A</v>
      </c>
      <c r="L244" s="25">
        <f>VLOOKUP(G244,'[1]Attributes(OUTDATED)'!$A$2:$H$19,8,FALSE)</f>
        <v>1346</v>
      </c>
      <c r="M244" s="25" t="str">
        <f>K244&amp;J244</f>
        <v>AF</v>
      </c>
      <c r="N244" s="25" t="e">
        <f>VLOOKUP(G244,#REF!,2,FALSE)</f>
        <v>#REF!</v>
      </c>
      <c r="O244" s="31">
        <v>45137</v>
      </c>
      <c r="P244" s="32">
        <v>9.6999999999999993</v>
      </c>
      <c r="Q244" s="32">
        <v>6.4</v>
      </c>
      <c r="R244" s="32">
        <v>2.5</v>
      </c>
      <c r="S244" s="32">
        <f>Table2[[#This Row],[2_Temp_H]]-Table2[[#This Row],[2_Temp_L]]</f>
        <v>7.1999999999999993</v>
      </c>
      <c r="T244" s="32">
        <v>54.7</v>
      </c>
      <c r="U244" s="32">
        <v>14.2</v>
      </c>
      <c r="V244" s="32">
        <v>1016.93</v>
      </c>
      <c r="W244" s="32">
        <v>1008.81</v>
      </c>
      <c r="X244" s="32">
        <v>0</v>
      </c>
      <c r="Y244" s="32" t="s">
        <v>147</v>
      </c>
      <c r="Z244" s="32" t="s">
        <v>141</v>
      </c>
      <c r="AA244" s="32" t="s">
        <v>26</v>
      </c>
      <c r="AB244" s="32" t="s">
        <v>144</v>
      </c>
      <c r="AC244" s="32" t="s">
        <v>146</v>
      </c>
      <c r="AD244" s="32" t="s">
        <v>137</v>
      </c>
      <c r="AE244" s="32">
        <f>VLOOKUP(Table2[[#This Row],[3_Elephant_ID]],'[1]Attributes(OUTDATED)'!$A$2:$N$19,12,FALSE)</f>
        <v>474</v>
      </c>
      <c r="AF244" s="32">
        <f>VLOOKUP(Table2[[#This Row],[3_Elephant_ID]],'[1]Attributes(OUTDATED)'!$A$2:$N$19,13,FALSE)</f>
        <v>0.121</v>
      </c>
      <c r="AG244" s="32">
        <f>VLOOKUP(Table2[[#This Row],[3_Elephant_ID]],'[1]Attributes(OUTDATED)'!$A$2:$N$19,14,FALSE)</f>
        <v>0.1206993463154281</v>
      </c>
      <c r="AH244" s="32">
        <v>2</v>
      </c>
      <c r="AI244" s="32">
        <v>0</v>
      </c>
      <c r="AJ244" s="32">
        <v>0</v>
      </c>
      <c r="AK244" s="32">
        <v>0</v>
      </c>
      <c r="AL244" s="32">
        <f>VLOOKUP(Table2[[#This Row],[3_Elephant_ID]],'[1]Attributes(OUTDATED)'!$A$2:$P$19,16,FALSE)</f>
        <v>1</v>
      </c>
      <c r="AM244" s="32">
        <f>VLOOKUP(Table2[[#This Row],[3_Elephant_ID]],'[1]Attributes(OUTDATED)'!$A$2:$S$19,17,FALSE)</f>
        <v>16</v>
      </c>
      <c r="AN244" s="32">
        <f>VLOOKUP(Table2[[#This Row],[3_Elephant_ID]],'[1]Attributes(OUTDATED)'!$A$2:$S$19,18,FALSE)</f>
        <v>1</v>
      </c>
    </row>
    <row r="245" spans="1:40" s="33" customFormat="1" ht="28" x14ac:dyDescent="0.15">
      <c r="A245" s="25">
        <v>256</v>
      </c>
      <c r="B245" s="26" t="s">
        <v>99</v>
      </c>
      <c r="C245" s="27">
        <v>1</v>
      </c>
      <c r="D245" s="27">
        <v>8</v>
      </c>
      <c r="E245" s="27">
        <v>2023</v>
      </c>
      <c r="F245" s="28">
        <v>45139</v>
      </c>
      <c r="G245" s="26" t="s">
        <v>7</v>
      </c>
      <c r="H245" s="29">
        <v>0.45309392265193366</v>
      </c>
      <c r="I245" s="30">
        <f>ROUNDUP((Table2[[#This Row],[fGCM_Conc]]*10000),0)</f>
        <v>4531</v>
      </c>
      <c r="J245" s="25" t="str">
        <f>VLOOKUP(G245,'[1]Attributes(OUTDATED)'!$A$2:$C$19,2,FALSE)</f>
        <v>F</v>
      </c>
      <c r="K245" s="25" t="str">
        <f>VLOOKUP(G245,'[1]Attributes(OUTDATED)'!$A$2:$C$19,3,FALSE)</f>
        <v>J</v>
      </c>
      <c r="L245" s="25">
        <f>VLOOKUP(G245,'[1]Attributes(OUTDATED)'!$A$2:$H$19,8,FALSE)</f>
        <v>711</v>
      </c>
      <c r="M245" s="25" t="str">
        <f>K245&amp;J245</f>
        <v>JF</v>
      </c>
      <c r="N245" s="25" t="e">
        <f>VLOOKUP(G245,#REF!,2,FALSE)</f>
        <v>#REF!</v>
      </c>
      <c r="O245" s="31">
        <v>45137</v>
      </c>
      <c r="P245" s="32">
        <v>9.6999999999999993</v>
      </c>
      <c r="Q245" s="32">
        <v>6.4</v>
      </c>
      <c r="R245" s="32">
        <v>2.5</v>
      </c>
      <c r="S245" s="32">
        <f>Table2[[#This Row],[2_Temp_H]]-Table2[[#This Row],[2_Temp_L]]</f>
        <v>7.1999999999999993</v>
      </c>
      <c r="T245" s="32">
        <v>54.7</v>
      </c>
      <c r="U245" s="32">
        <v>14.2</v>
      </c>
      <c r="V245" s="32">
        <v>1016.93</v>
      </c>
      <c r="W245" s="32">
        <v>1008.81</v>
      </c>
      <c r="X245" s="32">
        <v>0</v>
      </c>
      <c r="Y245" s="32" t="s">
        <v>147</v>
      </c>
      <c r="Z245" s="32" t="s">
        <v>141</v>
      </c>
      <c r="AA245" s="32" t="s">
        <v>26</v>
      </c>
      <c r="AB245" s="32" t="s">
        <v>144</v>
      </c>
      <c r="AC245" s="32" t="s">
        <v>146</v>
      </c>
      <c r="AD245" s="32" t="s">
        <v>137</v>
      </c>
      <c r="AE245" s="32">
        <f>VLOOKUP(Table2[[#This Row],[3_Elephant_ID]],'[1]Attributes(OUTDATED)'!$A$2:$N$19,12,FALSE)</f>
        <v>398</v>
      </c>
      <c r="AF245" s="32">
        <f>VLOOKUP(Table2[[#This Row],[3_Elephant_ID]],'[1]Attributes(OUTDATED)'!$A$2:$N$19,13,FALSE)</f>
        <v>0.47899999999999998</v>
      </c>
      <c r="AG245" s="32">
        <f>VLOOKUP(Table2[[#This Row],[3_Elephant_ID]],'[1]Attributes(OUTDATED)'!$A$2:$N$19,14,FALSE)</f>
        <v>0.47820662037086947</v>
      </c>
      <c r="AH245" s="32">
        <v>2</v>
      </c>
      <c r="AI245" s="32">
        <v>0</v>
      </c>
      <c r="AJ245" s="32">
        <v>0</v>
      </c>
      <c r="AK245" s="32">
        <v>0</v>
      </c>
      <c r="AL245" s="32">
        <f>VLOOKUP(Table2[[#This Row],[3_Elephant_ID]],'[1]Attributes(OUTDATED)'!$A$2:$P$19,16,FALSE)</f>
        <v>1</v>
      </c>
      <c r="AM245" s="32">
        <f>VLOOKUP(Table2[[#This Row],[3_Elephant_ID]],'[1]Attributes(OUTDATED)'!$A$2:$S$19,17,FALSE)</f>
        <v>0</v>
      </c>
      <c r="AN245" s="32">
        <f>VLOOKUP(Table2[[#This Row],[3_Elephant_ID]],'[1]Attributes(OUTDATED)'!$A$2:$S$19,18,FALSE)</f>
        <v>12</v>
      </c>
    </row>
    <row r="246" spans="1:40" s="33" customFormat="1" ht="28" x14ac:dyDescent="0.15">
      <c r="A246" s="25">
        <v>253</v>
      </c>
      <c r="B246" s="26" t="s">
        <v>96</v>
      </c>
      <c r="C246" s="27">
        <v>1</v>
      </c>
      <c r="D246" s="27">
        <v>8</v>
      </c>
      <c r="E246" s="27">
        <v>2023</v>
      </c>
      <c r="F246" s="28">
        <v>45139</v>
      </c>
      <c r="G246" s="26" t="s">
        <v>12</v>
      </c>
      <c r="H246" s="29">
        <v>0.43603738317757001</v>
      </c>
      <c r="I246" s="30">
        <f>ROUNDUP((Table2[[#This Row],[fGCM_Conc]]*10000),0)</f>
        <v>4361</v>
      </c>
      <c r="J246" s="25" t="str">
        <f>VLOOKUP(G246,'[1]Attributes(OUTDATED)'!$A$2:$C$19,2,FALSE)</f>
        <v>M</v>
      </c>
      <c r="K246" s="25" t="str">
        <f>VLOOKUP(G246,'[1]Attributes(OUTDATED)'!$A$2:$C$19,3,FALSE)</f>
        <v>A</v>
      </c>
      <c r="L246" s="25">
        <f>VLOOKUP(G246,'[1]Attributes(OUTDATED)'!$A$2:$H$19,8,FALSE)</f>
        <v>1509</v>
      </c>
      <c r="M246" s="25" t="str">
        <f>K246&amp;J246</f>
        <v>AM</v>
      </c>
      <c r="N246" s="25" t="e">
        <f>VLOOKUP(G246,#REF!,2,FALSE)</f>
        <v>#REF!</v>
      </c>
      <c r="O246" s="31">
        <v>45137</v>
      </c>
      <c r="P246" s="32">
        <v>9.6999999999999993</v>
      </c>
      <c r="Q246" s="32">
        <v>6.4</v>
      </c>
      <c r="R246" s="32">
        <v>2.5</v>
      </c>
      <c r="S246" s="32">
        <f>Table2[[#This Row],[2_Temp_H]]-Table2[[#This Row],[2_Temp_L]]</f>
        <v>7.1999999999999993</v>
      </c>
      <c r="T246" s="32">
        <v>54.7</v>
      </c>
      <c r="U246" s="32">
        <v>14.2</v>
      </c>
      <c r="V246" s="32">
        <v>1016.93</v>
      </c>
      <c r="W246" s="32">
        <v>1008.81</v>
      </c>
      <c r="X246" s="32">
        <v>0</v>
      </c>
      <c r="Y246" s="32" t="s">
        <v>147</v>
      </c>
      <c r="Z246" s="32" t="s">
        <v>141</v>
      </c>
      <c r="AA246" s="32" t="s">
        <v>26</v>
      </c>
      <c r="AB246" s="32" t="s">
        <v>144</v>
      </c>
      <c r="AC246" s="32" t="s">
        <v>146</v>
      </c>
      <c r="AD246" s="32" t="s">
        <v>137</v>
      </c>
      <c r="AE246" s="32">
        <f>VLOOKUP(Table2[[#This Row],[3_Elephant_ID]],'[1]Attributes(OUTDATED)'!$A$2:$N$19,12,FALSE)</f>
        <v>450</v>
      </c>
      <c r="AF246" s="32">
        <f>VLOOKUP(Table2[[#This Row],[3_Elephant_ID]],'[1]Attributes(OUTDATED)'!$A$2:$N$19,13,FALSE)</f>
        <v>0.375</v>
      </c>
      <c r="AG246" s="32">
        <f>VLOOKUP(Table2[[#This Row],[3_Elephant_ID]],'[1]Attributes(OUTDATED)'!$A$2:$N$19,14,FALSE)</f>
        <v>0.37414375430996583</v>
      </c>
      <c r="AH246" s="32">
        <v>2</v>
      </c>
      <c r="AI246" s="32">
        <v>1</v>
      </c>
      <c r="AJ246" s="32">
        <v>0</v>
      </c>
      <c r="AK246" s="32">
        <v>1</v>
      </c>
      <c r="AL246" s="32">
        <f>VLOOKUP(Table2[[#This Row],[3_Elephant_ID]],'[1]Attributes(OUTDATED)'!$A$2:$P$19,16,FALSE)</f>
        <v>1</v>
      </c>
      <c r="AM246" s="32">
        <f>VLOOKUP(Table2[[#This Row],[3_Elephant_ID]],'[1]Attributes(OUTDATED)'!$A$2:$S$19,17,FALSE)</f>
        <v>48</v>
      </c>
      <c r="AN246" s="32">
        <f>VLOOKUP(Table2[[#This Row],[3_Elephant_ID]],'[1]Attributes(OUTDATED)'!$A$2:$S$19,18,FALSE)</f>
        <v>3</v>
      </c>
    </row>
    <row r="247" spans="1:40" s="33" customFormat="1" ht="28" x14ac:dyDescent="0.15">
      <c r="A247" s="25">
        <v>249</v>
      </c>
      <c r="B247" s="26" t="s">
        <v>92</v>
      </c>
      <c r="C247" s="27">
        <v>1</v>
      </c>
      <c r="D247" s="27">
        <v>8</v>
      </c>
      <c r="E247" s="27">
        <v>2023</v>
      </c>
      <c r="F247" s="28">
        <v>45139</v>
      </c>
      <c r="G247" s="26" t="s">
        <v>6</v>
      </c>
      <c r="H247" s="29">
        <v>0.41842990654205608</v>
      </c>
      <c r="I247" s="30">
        <f>ROUNDUP((Table2[[#This Row],[fGCM_Conc]]*10000),0)</f>
        <v>4185</v>
      </c>
      <c r="J247" s="25" t="str">
        <f>VLOOKUP(G247,'[1]Attributes(OUTDATED)'!$A$2:$C$19,2,FALSE)</f>
        <v>F</v>
      </c>
      <c r="K247" s="25" t="str">
        <f>VLOOKUP(G247,'[1]Attributes(OUTDATED)'!$A$2:$C$19,3,FALSE)</f>
        <v>A</v>
      </c>
      <c r="L247" s="25">
        <f>VLOOKUP(G247,'[1]Attributes(OUTDATED)'!$A$2:$H$19,8,FALSE)</f>
        <v>1168</v>
      </c>
      <c r="M247" s="25" t="str">
        <f>K247&amp;J247</f>
        <v>AF</v>
      </c>
      <c r="N247" s="25" t="e">
        <f>VLOOKUP(G247,#REF!,2,FALSE)</f>
        <v>#REF!</v>
      </c>
      <c r="O247" s="31">
        <v>45137</v>
      </c>
      <c r="P247" s="32">
        <v>9.6999999999999993</v>
      </c>
      <c r="Q247" s="32">
        <v>6.4</v>
      </c>
      <c r="R247" s="32">
        <v>2.5</v>
      </c>
      <c r="S247" s="32">
        <f>Table2[[#This Row],[2_Temp_H]]-Table2[[#This Row],[2_Temp_L]]</f>
        <v>7.1999999999999993</v>
      </c>
      <c r="T247" s="32">
        <v>54.7</v>
      </c>
      <c r="U247" s="32">
        <v>14.2</v>
      </c>
      <c r="V247" s="32">
        <v>1016.93</v>
      </c>
      <c r="W247" s="32">
        <v>1008.81</v>
      </c>
      <c r="X247" s="32">
        <v>0</v>
      </c>
      <c r="Y247" s="32" t="s">
        <v>147</v>
      </c>
      <c r="Z247" s="32" t="s">
        <v>141</v>
      </c>
      <c r="AA247" s="32" t="s">
        <v>26</v>
      </c>
      <c r="AB247" s="32" t="s">
        <v>144</v>
      </c>
      <c r="AC247" s="32" t="s">
        <v>146</v>
      </c>
      <c r="AD247" s="32" t="s">
        <v>137</v>
      </c>
      <c r="AE247" s="32">
        <f>VLOOKUP(Table2[[#This Row],[3_Elephant_ID]],'[1]Attributes(OUTDATED)'!$A$2:$N$19,12,FALSE)</f>
        <v>286</v>
      </c>
      <c r="AF247" s="32">
        <f>VLOOKUP(Table2[[#This Row],[3_Elephant_ID]],'[1]Attributes(OUTDATED)'!$A$2:$N$19,13,FALSE)</f>
        <v>0.26800000000000002</v>
      </c>
      <c r="AG247" s="32">
        <f>VLOOKUP(Table2[[#This Row],[3_Elephant_ID]],'[1]Attributes(OUTDATED)'!$A$2:$N$19,14,FALSE)</f>
        <v>0.26721028245328138</v>
      </c>
      <c r="AH247" s="32">
        <v>2</v>
      </c>
      <c r="AI247" s="32">
        <v>0</v>
      </c>
      <c r="AJ247" s="32">
        <v>0</v>
      </c>
      <c r="AK247" s="32">
        <v>0</v>
      </c>
      <c r="AL247" s="32">
        <f>VLOOKUP(Table2[[#This Row],[3_Elephant_ID]],'[1]Attributes(OUTDATED)'!$A$2:$P$19,16,FALSE)</f>
        <v>2</v>
      </c>
      <c r="AM247" s="32">
        <f>VLOOKUP(Table2[[#This Row],[3_Elephant_ID]],'[1]Attributes(OUTDATED)'!$A$2:$S$19,17,FALSE)</f>
        <v>12</v>
      </c>
      <c r="AN247" s="32">
        <f>VLOOKUP(Table2[[#This Row],[3_Elephant_ID]],'[1]Attributes(OUTDATED)'!$A$2:$S$19,18,FALSE)</f>
        <v>5</v>
      </c>
    </row>
    <row r="248" spans="1:40" s="33" customFormat="1" ht="28" x14ac:dyDescent="0.15">
      <c r="A248" s="25">
        <v>254</v>
      </c>
      <c r="B248" s="26" t="s">
        <v>97</v>
      </c>
      <c r="C248" s="27">
        <v>1</v>
      </c>
      <c r="D248" s="27">
        <v>8</v>
      </c>
      <c r="E248" s="27">
        <v>2023</v>
      </c>
      <c r="F248" s="28">
        <v>45139</v>
      </c>
      <c r="G248" s="26" t="s">
        <v>3</v>
      </c>
      <c r="H248" s="29">
        <v>0.40508474576271186</v>
      </c>
      <c r="I248" s="30">
        <f>ROUNDUP((Table2[[#This Row],[fGCM_Conc]]*10000),0)</f>
        <v>4051</v>
      </c>
      <c r="J248" s="25" t="str">
        <f>VLOOKUP(G248,'[1]Attributes(OUTDATED)'!$A$2:$C$19,2,FALSE)</f>
        <v>M</v>
      </c>
      <c r="K248" s="25" t="str">
        <f>VLOOKUP(G248,'[1]Attributes(OUTDATED)'!$A$2:$C$19,3,FALSE)</f>
        <v>J</v>
      </c>
      <c r="L248" s="25">
        <f>VLOOKUP(G248,'[1]Attributes(OUTDATED)'!$A$2:$H$19,8,FALSE)</f>
        <v>1031</v>
      </c>
      <c r="M248" s="25" t="str">
        <f>K248&amp;J248</f>
        <v>JM</v>
      </c>
      <c r="N248" s="25" t="e">
        <f>VLOOKUP(G248,#REF!,2,FALSE)</f>
        <v>#REF!</v>
      </c>
      <c r="O248" s="31">
        <v>45137</v>
      </c>
      <c r="P248" s="32">
        <v>9.6999999999999993</v>
      </c>
      <c r="Q248" s="32">
        <v>6.4</v>
      </c>
      <c r="R248" s="32">
        <v>2.5</v>
      </c>
      <c r="S248" s="32">
        <f>Table2[[#This Row],[2_Temp_H]]-Table2[[#This Row],[2_Temp_L]]</f>
        <v>7.1999999999999993</v>
      </c>
      <c r="T248" s="32">
        <v>54.7</v>
      </c>
      <c r="U248" s="32">
        <v>14.2</v>
      </c>
      <c r="V248" s="32">
        <v>1016.93</v>
      </c>
      <c r="W248" s="32">
        <v>1008.81</v>
      </c>
      <c r="X248" s="32">
        <v>0</v>
      </c>
      <c r="Y248" s="32" t="s">
        <v>147</v>
      </c>
      <c r="Z248" s="32" t="s">
        <v>141</v>
      </c>
      <c r="AA248" s="32" t="s">
        <v>26</v>
      </c>
      <c r="AB248" s="32" t="s">
        <v>144</v>
      </c>
      <c r="AC248" s="32" t="s">
        <v>146</v>
      </c>
      <c r="AD248" s="32" t="s">
        <v>137</v>
      </c>
      <c r="AE248" s="32">
        <f>VLOOKUP(Table2[[#This Row],[3_Elephant_ID]],'[1]Attributes(OUTDATED)'!$A$2:$N$19,12,FALSE)</f>
        <v>234</v>
      </c>
      <c r="AF248" s="32">
        <f>VLOOKUP(Table2[[#This Row],[3_Elephant_ID]],'[1]Attributes(OUTDATED)'!$A$2:$N$19,13,FALSE)</f>
        <v>0.16500000000000001</v>
      </c>
      <c r="AG248" s="32">
        <f>VLOOKUP(Table2[[#This Row],[3_Elephant_ID]],'[1]Attributes(OUTDATED)'!$A$2:$N$19,14,FALSE)</f>
        <v>0.16420161303383449</v>
      </c>
      <c r="AH248" s="32">
        <v>2</v>
      </c>
      <c r="AI248" s="32">
        <v>1</v>
      </c>
      <c r="AJ248" s="32">
        <v>0</v>
      </c>
      <c r="AK248" s="32">
        <v>1</v>
      </c>
      <c r="AL248" s="32">
        <f>VLOOKUP(Table2[[#This Row],[3_Elephant_ID]],'[1]Attributes(OUTDATED)'!$A$2:$P$19,16,FALSE)</f>
        <v>1</v>
      </c>
      <c r="AM248" s="32">
        <f>VLOOKUP(Table2[[#This Row],[3_Elephant_ID]],'[1]Attributes(OUTDATED)'!$A$2:$S$19,17,FALSE)</f>
        <v>9</v>
      </c>
      <c r="AN248" s="32">
        <f>VLOOKUP(Table2[[#This Row],[3_Elephant_ID]],'[1]Attributes(OUTDATED)'!$A$2:$S$19,18,FALSE)</f>
        <v>9</v>
      </c>
    </row>
    <row r="249" spans="1:40" s="33" customFormat="1" ht="28" x14ac:dyDescent="0.15">
      <c r="A249" s="25">
        <v>258</v>
      </c>
      <c r="B249" s="26" t="s">
        <v>101</v>
      </c>
      <c r="C249" s="27">
        <v>1</v>
      </c>
      <c r="D249" s="27">
        <v>8</v>
      </c>
      <c r="E249" s="27">
        <v>2023</v>
      </c>
      <c r="F249" s="28">
        <v>45139</v>
      </c>
      <c r="G249" s="26" t="s">
        <v>5</v>
      </c>
      <c r="H249" s="29">
        <v>0.39635643564356438</v>
      </c>
      <c r="I249" s="30">
        <f>ROUNDUP((Table2[[#This Row],[fGCM_Conc]]*10000),0)</f>
        <v>3964</v>
      </c>
      <c r="J249" s="25" t="str">
        <f>VLOOKUP(G249,'[1]Attributes(OUTDATED)'!$A$2:$C$19,2,FALSE)</f>
        <v>M</v>
      </c>
      <c r="K249" s="25" t="str">
        <f>VLOOKUP(G249,'[1]Attributes(OUTDATED)'!$A$2:$C$19,3,FALSE)</f>
        <v>J</v>
      </c>
      <c r="L249" s="25">
        <f>VLOOKUP(G249,'[1]Attributes(OUTDATED)'!$A$2:$H$19,8,FALSE)</f>
        <v>940</v>
      </c>
      <c r="M249" s="25" t="str">
        <f>K249&amp;J249</f>
        <v>JM</v>
      </c>
      <c r="N249" s="25" t="e">
        <f>VLOOKUP(G249,#REF!,2,FALSE)</f>
        <v>#REF!</v>
      </c>
      <c r="O249" s="31">
        <v>45137</v>
      </c>
      <c r="P249" s="32">
        <v>9.6999999999999993</v>
      </c>
      <c r="Q249" s="32">
        <v>6.4</v>
      </c>
      <c r="R249" s="32">
        <v>2.5</v>
      </c>
      <c r="S249" s="32">
        <f>Table2[[#This Row],[2_Temp_H]]-Table2[[#This Row],[2_Temp_L]]</f>
        <v>7.1999999999999993</v>
      </c>
      <c r="T249" s="32">
        <v>54.7</v>
      </c>
      <c r="U249" s="32">
        <v>14.2</v>
      </c>
      <c r="V249" s="32">
        <v>1016.93</v>
      </c>
      <c r="W249" s="32">
        <v>1008.81</v>
      </c>
      <c r="X249" s="32">
        <v>0</v>
      </c>
      <c r="Y249" s="32" t="s">
        <v>147</v>
      </c>
      <c r="Z249" s="32" t="s">
        <v>141</v>
      </c>
      <c r="AA249" s="32" t="s">
        <v>26</v>
      </c>
      <c r="AB249" s="32" t="s">
        <v>144</v>
      </c>
      <c r="AC249" s="32" t="s">
        <v>146</v>
      </c>
      <c r="AD249" s="32" t="s">
        <v>137</v>
      </c>
      <c r="AE249" s="32">
        <f>VLOOKUP(Table2[[#This Row],[3_Elephant_ID]],'[1]Attributes(OUTDATED)'!$A$2:$N$19,12,FALSE)</f>
        <v>361</v>
      </c>
      <c r="AF249" s="32">
        <f>VLOOKUP(Table2[[#This Row],[3_Elephant_ID]],'[1]Attributes(OUTDATED)'!$A$2:$N$19,13,FALSE)</f>
        <v>0.40600000000000003</v>
      </c>
      <c r="AG249" s="32">
        <f>VLOOKUP(Table2[[#This Row],[3_Elephant_ID]],'[1]Attributes(OUTDATED)'!$A$2:$N$19,14,FALSE)</f>
        <v>0.40590323220736402</v>
      </c>
      <c r="AH249" s="32">
        <v>2</v>
      </c>
      <c r="AI249" s="32">
        <v>0</v>
      </c>
      <c r="AJ249" s="32">
        <v>1</v>
      </c>
      <c r="AK249" s="32">
        <v>1</v>
      </c>
      <c r="AL249" s="32">
        <f>VLOOKUP(Table2[[#This Row],[3_Elephant_ID]],'[1]Attributes(OUTDATED)'!$A$2:$P$19,16,FALSE)</f>
        <v>1</v>
      </c>
      <c r="AM249" s="32">
        <f>VLOOKUP(Table2[[#This Row],[3_Elephant_ID]],'[1]Attributes(OUTDATED)'!$A$2:$S$19,17,FALSE)</f>
        <v>2</v>
      </c>
      <c r="AN249" s="32">
        <f>VLOOKUP(Table2[[#This Row],[3_Elephant_ID]],'[1]Attributes(OUTDATED)'!$A$2:$S$19,18,FALSE)</f>
        <v>7</v>
      </c>
    </row>
    <row r="250" spans="1:40" s="33" customFormat="1" ht="28" x14ac:dyDescent="0.15">
      <c r="A250" s="25">
        <v>248</v>
      </c>
      <c r="B250" s="26" t="s">
        <v>91</v>
      </c>
      <c r="C250" s="27">
        <v>1</v>
      </c>
      <c r="D250" s="27">
        <v>8</v>
      </c>
      <c r="E250" s="27">
        <v>2023</v>
      </c>
      <c r="F250" s="28">
        <v>45139</v>
      </c>
      <c r="G250" s="26" t="s">
        <v>17</v>
      </c>
      <c r="H250" s="29">
        <v>0.37949119373776907</v>
      </c>
      <c r="I250" s="30">
        <f>ROUNDUP((Table2[[#This Row],[fGCM_Conc]]*10000),0)</f>
        <v>3795</v>
      </c>
      <c r="J250" s="25" t="str">
        <f>VLOOKUP(G250,'[1]Attributes(OUTDATED)'!$A$2:$C$19,2,FALSE)</f>
        <v>M</v>
      </c>
      <c r="K250" s="25" t="str">
        <f>VLOOKUP(G250,'[1]Attributes(OUTDATED)'!$A$2:$C$19,3,FALSE)</f>
        <v>J</v>
      </c>
      <c r="L250" s="25">
        <f>VLOOKUP(G250,'[1]Attributes(OUTDATED)'!$A$2:$H$19,8,FALSE)</f>
        <v>699</v>
      </c>
      <c r="M250" s="25" t="str">
        <f>K250&amp;J250</f>
        <v>JM</v>
      </c>
      <c r="N250" s="25" t="e">
        <f>VLOOKUP(G250,#REF!,2,FALSE)</f>
        <v>#REF!</v>
      </c>
      <c r="O250" s="31">
        <v>45137</v>
      </c>
      <c r="P250" s="32">
        <v>9.6999999999999993</v>
      </c>
      <c r="Q250" s="32">
        <v>6.4</v>
      </c>
      <c r="R250" s="32">
        <v>2.5</v>
      </c>
      <c r="S250" s="32">
        <f>Table2[[#This Row],[2_Temp_H]]-Table2[[#This Row],[2_Temp_L]]</f>
        <v>7.1999999999999993</v>
      </c>
      <c r="T250" s="32">
        <v>54.7</v>
      </c>
      <c r="U250" s="32">
        <v>14.2</v>
      </c>
      <c r="V250" s="32">
        <v>1016.93</v>
      </c>
      <c r="W250" s="32">
        <v>1008.81</v>
      </c>
      <c r="X250" s="32">
        <v>0</v>
      </c>
      <c r="Y250" s="32" t="s">
        <v>147</v>
      </c>
      <c r="Z250" s="32" t="s">
        <v>141</v>
      </c>
      <c r="AA250" s="32" t="s">
        <v>26</v>
      </c>
      <c r="AB250" s="32" t="s">
        <v>144</v>
      </c>
      <c r="AC250" s="32" t="s">
        <v>146</v>
      </c>
      <c r="AD250" s="32" t="s">
        <v>137</v>
      </c>
      <c r="AE250" s="32">
        <f>VLOOKUP(Table2[[#This Row],[3_Elephant_ID]],'[1]Attributes(OUTDATED)'!$A$2:$N$19,12,FALSE)</f>
        <v>343</v>
      </c>
      <c r="AF250" s="32">
        <f>VLOOKUP(Table2[[#This Row],[3_Elephant_ID]],'[1]Attributes(OUTDATED)'!$A$2:$N$19,13,FALSE)</f>
        <v>0.81</v>
      </c>
      <c r="AG250" s="32">
        <f>VLOOKUP(Table2[[#This Row],[3_Elephant_ID]],'[1]Attributes(OUTDATED)'!$A$2:$N$19,14,FALSE)</f>
        <v>0.80966774571167055</v>
      </c>
      <c r="AH250" s="32">
        <v>2</v>
      </c>
      <c r="AI250" s="32">
        <v>0</v>
      </c>
      <c r="AJ250" s="32">
        <v>0</v>
      </c>
      <c r="AK250" s="32">
        <v>0</v>
      </c>
      <c r="AL250" s="32">
        <f>VLOOKUP(Table2[[#This Row],[3_Elephant_ID]],'[1]Attributes(OUTDATED)'!$A$2:$P$19,16,FALSE)</f>
        <v>1</v>
      </c>
      <c r="AM250" s="32">
        <f>VLOOKUP(Table2[[#This Row],[3_Elephant_ID]],'[1]Attributes(OUTDATED)'!$A$2:$S$19,17,FALSE)</f>
        <v>0</v>
      </c>
      <c r="AN250" s="32">
        <f>VLOOKUP(Table2[[#This Row],[3_Elephant_ID]],'[1]Attributes(OUTDATED)'!$A$2:$S$19,18,FALSE)</f>
        <v>8</v>
      </c>
    </row>
    <row r="251" spans="1:40" s="33" customFormat="1" ht="28" x14ac:dyDescent="0.15">
      <c r="A251" s="25">
        <v>255</v>
      </c>
      <c r="B251" s="26" t="s">
        <v>98</v>
      </c>
      <c r="C251" s="27">
        <v>1</v>
      </c>
      <c r="D251" s="27">
        <v>8</v>
      </c>
      <c r="E251" s="27">
        <v>2023</v>
      </c>
      <c r="F251" s="28">
        <v>45139</v>
      </c>
      <c r="G251" s="26" t="s">
        <v>10</v>
      </c>
      <c r="H251" s="29">
        <v>0.32486187845303865</v>
      </c>
      <c r="I251" s="30">
        <f>ROUNDUP((Table2[[#This Row],[fGCM_Conc]]*10000),0)</f>
        <v>3249</v>
      </c>
      <c r="J251" s="25" t="str">
        <f>VLOOKUP(G251,'[1]Attributes(OUTDATED)'!$A$2:$C$19,2,FALSE)</f>
        <v>F</v>
      </c>
      <c r="K251" s="25" t="str">
        <f>VLOOKUP(G251,'[1]Attributes(OUTDATED)'!$A$2:$C$19,3,FALSE)</f>
        <v>A</v>
      </c>
      <c r="L251" s="25">
        <f>VLOOKUP(G251,'[1]Attributes(OUTDATED)'!$A$2:$H$19,8,FALSE)</f>
        <v>1146</v>
      </c>
      <c r="M251" s="25" t="str">
        <f>K251&amp;J251</f>
        <v>AF</v>
      </c>
      <c r="N251" s="25" t="e">
        <f>VLOOKUP(G251,#REF!,2,FALSE)</f>
        <v>#REF!</v>
      </c>
      <c r="O251" s="31">
        <v>45137</v>
      </c>
      <c r="P251" s="32">
        <v>9.6999999999999993</v>
      </c>
      <c r="Q251" s="32">
        <v>6.4</v>
      </c>
      <c r="R251" s="32">
        <v>2.5</v>
      </c>
      <c r="S251" s="32">
        <f>Table2[[#This Row],[2_Temp_H]]-Table2[[#This Row],[2_Temp_L]]</f>
        <v>7.1999999999999993</v>
      </c>
      <c r="T251" s="32">
        <v>54.7</v>
      </c>
      <c r="U251" s="32">
        <v>14.2</v>
      </c>
      <c r="V251" s="32">
        <v>1016.93</v>
      </c>
      <c r="W251" s="32">
        <v>1008.81</v>
      </c>
      <c r="X251" s="32">
        <v>0</v>
      </c>
      <c r="Y251" s="32" t="s">
        <v>147</v>
      </c>
      <c r="Z251" s="32" t="s">
        <v>141</v>
      </c>
      <c r="AA251" s="32" t="s">
        <v>26</v>
      </c>
      <c r="AB251" s="32" t="s">
        <v>144</v>
      </c>
      <c r="AC251" s="32" t="s">
        <v>146</v>
      </c>
      <c r="AD251" s="32" t="s">
        <v>137</v>
      </c>
      <c r="AE251" s="32">
        <f>VLOOKUP(Table2[[#This Row],[3_Elephant_ID]],'[1]Attributes(OUTDATED)'!$A$2:$N$19,12,FALSE)</f>
        <v>424</v>
      </c>
      <c r="AF251" s="32">
        <f>VLOOKUP(Table2[[#This Row],[3_Elephant_ID]],'[1]Attributes(OUTDATED)'!$A$2:$N$19,13,FALSE)</f>
        <v>0.10299999999999999</v>
      </c>
      <c r="AG251" s="32">
        <f>VLOOKUP(Table2[[#This Row],[3_Elephant_ID]],'[1]Attributes(OUTDATED)'!$A$2:$N$19,14,FALSE)</f>
        <v>0.10282190709599449</v>
      </c>
      <c r="AH251" s="32">
        <v>2</v>
      </c>
      <c r="AI251" s="32">
        <v>0</v>
      </c>
      <c r="AJ251" s="32">
        <v>0</v>
      </c>
      <c r="AK251" s="32">
        <v>0</v>
      </c>
      <c r="AL251" s="32">
        <f>VLOOKUP(Table2[[#This Row],[3_Elephant_ID]],'[1]Attributes(OUTDATED)'!$A$2:$P$19,16,FALSE)</f>
        <v>1</v>
      </c>
      <c r="AM251" s="32">
        <f>VLOOKUP(Table2[[#This Row],[3_Elephant_ID]],'[1]Attributes(OUTDATED)'!$A$2:$S$19,17,FALSE)</f>
        <v>9</v>
      </c>
      <c r="AN251" s="32">
        <f>VLOOKUP(Table2[[#This Row],[3_Elephant_ID]],'[1]Attributes(OUTDATED)'!$A$2:$S$19,18,FALSE)</f>
        <v>8</v>
      </c>
    </row>
    <row r="252" spans="1:40" s="33" customFormat="1" ht="28" x14ac:dyDescent="0.15">
      <c r="A252" s="25">
        <v>251</v>
      </c>
      <c r="B252" s="26" t="s">
        <v>94</v>
      </c>
      <c r="C252" s="27">
        <v>1</v>
      </c>
      <c r="D252" s="27">
        <v>8</v>
      </c>
      <c r="E252" s="27">
        <v>2023</v>
      </c>
      <c r="F252" s="28">
        <v>45139</v>
      </c>
      <c r="G252" s="26" t="s">
        <v>12</v>
      </c>
      <c r="H252" s="29">
        <v>0.27674858223062376</v>
      </c>
      <c r="I252" s="30">
        <f>ROUNDUP((Table2[[#This Row],[fGCM_Conc]]*10000),0)</f>
        <v>2768</v>
      </c>
      <c r="J252" s="25" t="str">
        <f>VLOOKUP(G252,'[1]Attributes(OUTDATED)'!$A$2:$C$19,2,FALSE)</f>
        <v>M</v>
      </c>
      <c r="K252" s="25" t="str">
        <f>VLOOKUP(G252,'[1]Attributes(OUTDATED)'!$A$2:$C$19,3,FALSE)</f>
        <v>A</v>
      </c>
      <c r="L252" s="25">
        <f>VLOOKUP(G252,'[1]Attributes(OUTDATED)'!$A$2:$H$19,8,FALSE)</f>
        <v>1509</v>
      </c>
      <c r="M252" s="25" t="str">
        <f>K252&amp;J252</f>
        <v>AM</v>
      </c>
      <c r="N252" s="25" t="e">
        <f>VLOOKUP(G252,#REF!,2,FALSE)</f>
        <v>#REF!</v>
      </c>
      <c r="O252" s="31">
        <v>45137</v>
      </c>
      <c r="P252" s="32">
        <v>9.6999999999999993</v>
      </c>
      <c r="Q252" s="32">
        <v>6.4</v>
      </c>
      <c r="R252" s="32">
        <v>2.5</v>
      </c>
      <c r="S252" s="32">
        <f>Table2[[#This Row],[2_Temp_H]]-Table2[[#This Row],[2_Temp_L]]</f>
        <v>7.1999999999999993</v>
      </c>
      <c r="T252" s="32">
        <v>54.7</v>
      </c>
      <c r="U252" s="32">
        <v>14.2</v>
      </c>
      <c r="V252" s="32">
        <v>1016.93</v>
      </c>
      <c r="W252" s="32">
        <v>1008.81</v>
      </c>
      <c r="X252" s="32">
        <v>0</v>
      </c>
      <c r="Y252" s="32" t="s">
        <v>147</v>
      </c>
      <c r="Z252" s="32" t="s">
        <v>141</v>
      </c>
      <c r="AA252" s="32" t="s">
        <v>26</v>
      </c>
      <c r="AB252" s="32" t="s">
        <v>144</v>
      </c>
      <c r="AC252" s="32" t="s">
        <v>146</v>
      </c>
      <c r="AD252" s="32" t="s">
        <v>137</v>
      </c>
      <c r="AE252" s="32">
        <f>VLOOKUP(Table2[[#This Row],[3_Elephant_ID]],'[1]Attributes(OUTDATED)'!$A$2:$N$19,12,FALSE)</f>
        <v>450</v>
      </c>
      <c r="AF252" s="32">
        <f>VLOOKUP(Table2[[#This Row],[3_Elephant_ID]],'[1]Attributes(OUTDATED)'!$A$2:$N$19,13,FALSE)</f>
        <v>0.375</v>
      </c>
      <c r="AG252" s="32">
        <f>VLOOKUP(Table2[[#This Row],[3_Elephant_ID]],'[1]Attributes(OUTDATED)'!$A$2:$N$19,14,FALSE)</f>
        <v>0.37414375430996583</v>
      </c>
      <c r="AH252" s="32">
        <v>2</v>
      </c>
      <c r="AI252" s="32">
        <v>1</v>
      </c>
      <c r="AJ252" s="32">
        <v>0</v>
      </c>
      <c r="AK252" s="32">
        <v>1</v>
      </c>
      <c r="AL252" s="32">
        <f>VLOOKUP(Table2[[#This Row],[3_Elephant_ID]],'[1]Attributes(OUTDATED)'!$A$2:$P$19,16,FALSE)</f>
        <v>1</v>
      </c>
      <c r="AM252" s="32">
        <f>VLOOKUP(Table2[[#This Row],[3_Elephant_ID]],'[1]Attributes(OUTDATED)'!$A$2:$S$19,17,FALSE)</f>
        <v>48</v>
      </c>
      <c r="AN252" s="32">
        <f>VLOOKUP(Table2[[#This Row],[3_Elephant_ID]],'[1]Attributes(OUTDATED)'!$A$2:$S$19,18,FALSE)</f>
        <v>3</v>
      </c>
    </row>
    <row r="253" spans="1:40" s="33" customFormat="1" ht="28" x14ac:dyDescent="0.15">
      <c r="A253" s="25">
        <v>252</v>
      </c>
      <c r="B253" s="26" t="s">
        <v>95</v>
      </c>
      <c r="C253" s="27">
        <v>1</v>
      </c>
      <c r="D253" s="27">
        <v>8</v>
      </c>
      <c r="E253" s="27">
        <v>2023</v>
      </c>
      <c r="F253" s="28">
        <v>45139</v>
      </c>
      <c r="G253" s="26" t="s">
        <v>8</v>
      </c>
      <c r="H253" s="29">
        <v>0.26371541501976287</v>
      </c>
      <c r="I253" s="30">
        <f>ROUNDUP((Table2[[#This Row],[fGCM_Conc]]*10000),0)</f>
        <v>2638</v>
      </c>
      <c r="J253" s="25" t="str">
        <f>VLOOKUP(G253,'[1]Attributes(OUTDATED)'!$A$2:$C$19,2,FALSE)</f>
        <v>F</v>
      </c>
      <c r="K253" s="25" t="str">
        <f>VLOOKUP(G253,'[1]Attributes(OUTDATED)'!$A$2:$C$19,3,FALSE)</f>
        <v>A</v>
      </c>
      <c r="L253" s="25">
        <f>VLOOKUP(G253,'[1]Attributes(OUTDATED)'!$A$2:$H$19,8,FALSE)</f>
        <v>1096</v>
      </c>
      <c r="M253" s="25" t="str">
        <f>K253&amp;J253</f>
        <v>AF</v>
      </c>
      <c r="N253" s="25" t="e">
        <f>VLOOKUP(G253,#REF!,2,FALSE)</f>
        <v>#REF!</v>
      </c>
      <c r="O253" s="31">
        <v>45137</v>
      </c>
      <c r="P253" s="32">
        <v>9.6999999999999993</v>
      </c>
      <c r="Q253" s="32">
        <v>6.4</v>
      </c>
      <c r="R253" s="32">
        <v>2.5</v>
      </c>
      <c r="S253" s="32">
        <f>Table2[[#This Row],[2_Temp_H]]-Table2[[#This Row],[2_Temp_L]]</f>
        <v>7.1999999999999993</v>
      </c>
      <c r="T253" s="32">
        <v>54.7</v>
      </c>
      <c r="U253" s="32">
        <v>14.2</v>
      </c>
      <c r="V253" s="32">
        <v>1016.93</v>
      </c>
      <c r="W253" s="32">
        <v>1008.81</v>
      </c>
      <c r="X253" s="32">
        <v>0</v>
      </c>
      <c r="Y253" s="32" t="s">
        <v>147</v>
      </c>
      <c r="Z253" s="32" t="s">
        <v>141</v>
      </c>
      <c r="AA253" s="32" t="s">
        <v>26</v>
      </c>
      <c r="AB253" s="32" t="s">
        <v>144</v>
      </c>
      <c r="AC253" s="32" t="s">
        <v>146</v>
      </c>
      <c r="AD253" s="32" t="s">
        <v>137</v>
      </c>
      <c r="AE253" s="32">
        <f>VLOOKUP(Table2[[#This Row],[3_Elephant_ID]],'[1]Attributes(OUTDATED)'!$A$2:$N$19,12,FALSE)</f>
        <v>346</v>
      </c>
      <c r="AF253" s="32">
        <f>VLOOKUP(Table2[[#This Row],[3_Elephant_ID]],'[1]Attributes(OUTDATED)'!$A$2:$N$19,13,FALSE)</f>
        <v>0.28999999999999998</v>
      </c>
      <c r="AG253" s="32">
        <f>VLOOKUP(Table2[[#This Row],[3_Elephant_ID]],'[1]Attributes(OUTDATED)'!$A$2:$N$19,14,FALSE)</f>
        <v>0.28929989906834258</v>
      </c>
      <c r="AH253" s="32">
        <v>2</v>
      </c>
      <c r="AI253" s="32">
        <v>0</v>
      </c>
      <c r="AJ253" s="32">
        <v>0</v>
      </c>
      <c r="AK253" s="32">
        <v>0</v>
      </c>
      <c r="AL253" s="32">
        <f>VLOOKUP(Table2[[#This Row],[3_Elephant_ID]],'[1]Attributes(OUTDATED)'!$A$2:$P$19,16,FALSE)</f>
        <v>1</v>
      </c>
      <c r="AM253" s="32">
        <f>VLOOKUP(Table2[[#This Row],[3_Elephant_ID]],'[1]Attributes(OUTDATED)'!$A$2:$S$19,17,FALSE)</f>
        <v>11</v>
      </c>
      <c r="AN253" s="32">
        <f>VLOOKUP(Table2[[#This Row],[3_Elephant_ID]],'[1]Attributes(OUTDATED)'!$A$2:$S$19,18,FALSE)</f>
        <v>7</v>
      </c>
    </row>
    <row r="254" spans="1:40" s="33" customFormat="1" ht="28" x14ac:dyDescent="0.15">
      <c r="A254" s="25">
        <v>257</v>
      </c>
      <c r="B254" s="26" t="s">
        <v>100</v>
      </c>
      <c r="C254" s="27">
        <v>1</v>
      </c>
      <c r="D254" s="27">
        <v>8</v>
      </c>
      <c r="E254" s="27">
        <v>2023</v>
      </c>
      <c r="F254" s="28">
        <v>45139</v>
      </c>
      <c r="G254" s="26" t="s">
        <v>2</v>
      </c>
      <c r="H254" s="29">
        <v>0.22257884972170683</v>
      </c>
      <c r="I254" s="30">
        <f>ROUNDUP((Table2[[#This Row],[fGCM_Conc]]*10000),0)</f>
        <v>2226</v>
      </c>
      <c r="J254" s="25" t="str">
        <f>VLOOKUP(G254,'[1]Attributes(OUTDATED)'!$A$2:$C$19,2,FALSE)</f>
        <v>F</v>
      </c>
      <c r="K254" s="25" t="str">
        <f>VLOOKUP(G254,'[1]Attributes(OUTDATED)'!$A$2:$C$19,3,FALSE)</f>
        <v>A</v>
      </c>
      <c r="L254" s="25">
        <f>VLOOKUP(G254,'[1]Attributes(OUTDATED)'!$A$2:$H$19,8,FALSE)</f>
        <v>892</v>
      </c>
      <c r="M254" s="25" t="str">
        <f>K254&amp;J254</f>
        <v>AF</v>
      </c>
      <c r="N254" s="25" t="e">
        <f>VLOOKUP(G254,#REF!,2,FALSE)</f>
        <v>#REF!</v>
      </c>
      <c r="O254" s="31">
        <v>45137</v>
      </c>
      <c r="P254" s="32">
        <v>9.6999999999999993</v>
      </c>
      <c r="Q254" s="32">
        <v>6.4</v>
      </c>
      <c r="R254" s="32">
        <v>2.5</v>
      </c>
      <c r="S254" s="32">
        <f>Table2[[#This Row],[2_Temp_H]]-Table2[[#This Row],[2_Temp_L]]</f>
        <v>7.1999999999999993</v>
      </c>
      <c r="T254" s="32">
        <v>54.7</v>
      </c>
      <c r="U254" s="32">
        <v>14.2</v>
      </c>
      <c r="V254" s="32">
        <v>1016.93</v>
      </c>
      <c r="W254" s="32">
        <v>1008.81</v>
      </c>
      <c r="X254" s="32">
        <v>0</v>
      </c>
      <c r="Y254" s="32" t="s">
        <v>147</v>
      </c>
      <c r="Z254" s="32" t="s">
        <v>141</v>
      </c>
      <c r="AA254" s="32" t="s">
        <v>26</v>
      </c>
      <c r="AB254" s="32" t="s">
        <v>144</v>
      </c>
      <c r="AC254" s="32" t="s">
        <v>146</v>
      </c>
      <c r="AD254" s="32" t="s">
        <v>137</v>
      </c>
      <c r="AE254" s="32">
        <f>VLOOKUP(Table2[[#This Row],[3_Elephant_ID]],'[1]Attributes(OUTDATED)'!$A$2:$N$19,12,FALSE)</f>
        <v>378</v>
      </c>
      <c r="AF254" s="32">
        <f>VLOOKUP(Table2[[#This Row],[3_Elephant_ID]],'[1]Attributes(OUTDATED)'!$A$2:$N$19,13,FALSE)</f>
        <v>8.6999999999999994E-2</v>
      </c>
      <c r="AG254" s="32">
        <f>VLOOKUP(Table2[[#This Row],[3_Elephant_ID]],'[1]Attributes(OUTDATED)'!$A$2:$N$19,14,FALSE)</f>
        <v>8.6599138783086713E-2</v>
      </c>
      <c r="AH254" s="32">
        <v>2</v>
      </c>
      <c r="AI254" s="32">
        <v>0</v>
      </c>
      <c r="AJ254" s="32">
        <v>0</v>
      </c>
      <c r="AK254" s="32">
        <v>0</v>
      </c>
      <c r="AL254" s="32">
        <f>VLOOKUP(Table2[[#This Row],[3_Elephant_ID]],'[1]Attributes(OUTDATED)'!$A$2:$P$19,16,FALSE)</f>
        <v>1</v>
      </c>
      <c r="AM254" s="32">
        <f>VLOOKUP(Table2[[#This Row],[3_Elephant_ID]],'[1]Attributes(OUTDATED)'!$A$2:$S$19,17,FALSE)</f>
        <v>4</v>
      </c>
      <c r="AN254" s="32">
        <f>VLOOKUP(Table2[[#This Row],[3_Elephant_ID]],'[1]Attributes(OUTDATED)'!$A$2:$S$19,18,FALSE)</f>
        <v>20</v>
      </c>
    </row>
    <row r="255" spans="1:40" s="33" customFormat="1" ht="28" x14ac:dyDescent="0.15">
      <c r="A255" s="25">
        <v>246</v>
      </c>
      <c r="B255" s="26" t="s">
        <v>89</v>
      </c>
      <c r="C255" s="27">
        <v>2</v>
      </c>
      <c r="D255" s="27">
        <v>8</v>
      </c>
      <c r="E255" s="27">
        <v>2023</v>
      </c>
      <c r="F255" s="28">
        <v>45140</v>
      </c>
      <c r="G255" s="26" t="s">
        <v>10</v>
      </c>
      <c r="H255" s="29">
        <v>0.51617810760667893</v>
      </c>
      <c r="I255" s="30">
        <f>ROUNDUP((Table2[[#This Row],[fGCM_Conc]]*10000),0)</f>
        <v>5162</v>
      </c>
      <c r="J255" s="25" t="str">
        <f>VLOOKUP(G255,'[1]Attributes(OUTDATED)'!$A$2:$C$19,2,FALSE)</f>
        <v>F</v>
      </c>
      <c r="K255" s="25" t="str">
        <f>VLOOKUP(G255,'[1]Attributes(OUTDATED)'!$A$2:$C$19,3,FALSE)</f>
        <v>A</v>
      </c>
      <c r="L255" s="25">
        <f>VLOOKUP(G255,'[1]Attributes(OUTDATED)'!$A$2:$H$19,8,FALSE)</f>
        <v>1146</v>
      </c>
      <c r="M255" s="25" t="str">
        <f>K255&amp;J255</f>
        <v>AF</v>
      </c>
      <c r="N255" s="25" t="e">
        <f>VLOOKUP(G255,#REF!,2,FALSE)</f>
        <v>#REF!</v>
      </c>
      <c r="O255" s="31">
        <v>45138</v>
      </c>
      <c r="P255" s="32">
        <v>11.6</v>
      </c>
      <c r="Q255" s="32">
        <v>7.2</v>
      </c>
      <c r="R255" s="32">
        <v>1.2</v>
      </c>
      <c r="S255" s="32">
        <f>Table2[[#This Row],[2_Temp_H]]-Table2[[#This Row],[2_Temp_L]]</f>
        <v>10.4</v>
      </c>
      <c r="T255" s="32">
        <v>35.200000000000003</v>
      </c>
      <c r="U255" s="32">
        <v>9.6</v>
      </c>
      <c r="V255" s="32">
        <v>1024.04</v>
      </c>
      <c r="W255" s="32">
        <v>1015.92</v>
      </c>
      <c r="X255" s="32">
        <v>0</v>
      </c>
      <c r="Y255" s="32" t="s">
        <v>147</v>
      </c>
      <c r="Z255" s="32" t="s">
        <v>139</v>
      </c>
      <c r="AA255" s="32" t="s">
        <v>26</v>
      </c>
      <c r="AB255" s="32" t="s">
        <v>144</v>
      </c>
      <c r="AC255" s="32" t="s">
        <v>146</v>
      </c>
      <c r="AD255" s="32" t="s">
        <v>137</v>
      </c>
      <c r="AE255" s="32">
        <f>VLOOKUP(Table2[[#This Row],[3_Elephant_ID]],'[1]Attributes(OUTDATED)'!$A$2:$N$19,12,FALSE)</f>
        <v>424</v>
      </c>
      <c r="AF255" s="32">
        <f>VLOOKUP(Table2[[#This Row],[3_Elephant_ID]],'[1]Attributes(OUTDATED)'!$A$2:$N$19,13,FALSE)</f>
        <v>0.10299999999999999</v>
      </c>
      <c r="AG255" s="32">
        <f>VLOOKUP(Table2[[#This Row],[3_Elephant_ID]],'[1]Attributes(OUTDATED)'!$A$2:$N$19,14,FALSE)</f>
        <v>0.10282190709599449</v>
      </c>
      <c r="AH255" s="32">
        <v>1</v>
      </c>
      <c r="AI255" s="32">
        <v>0</v>
      </c>
      <c r="AJ255" s="32">
        <v>0</v>
      </c>
      <c r="AK255" s="32">
        <v>0</v>
      </c>
      <c r="AL255" s="32">
        <f>VLOOKUP(Table2[[#This Row],[3_Elephant_ID]],'[1]Attributes(OUTDATED)'!$A$2:$P$19,16,FALSE)</f>
        <v>1</v>
      </c>
      <c r="AM255" s="32">
        <f>VLOOKUP(Table2[[#This Row],[3_Elephant_ID]],'[1]Attributes(OUTDATED)'!$A$2:$S$19,17,FALSE)</f>
        <v>9</v>
      </c>
      <c r="AN255" s="32">
        <f>VLOOKUP(Table2[[#This Row],[3_Elephant_ID]],'[1]Attributes(OUTDATED)'!$A$2:$S$19,18,FALSE)</f>
        <v>8</v>
      </c>
    </row>
    <row r="256" spans="1:40" s="33" customFormat="1" ht="28" x14ac:dyDescent="0.15">
      <c r="A256" s="25">
        <v>237</v>
      </c>
      <c r="B256" s="26" t="s">
        <v>80</v>
      </c>
      <c r="C256" s="27">
        <v>2</v>
      </c>
      <c r="D256" s="27">
        <v>8</v>
      </c>
      <c r="E256" s="27">
        <v>2023</v>
      </c>
      <c r="F256" s="28">
        <v>45140</v>
      </c>
      <c r="G256" s="26" t="s">
        <v>11</v>
      </c>
      <c r="H256" s="29">
        <v>0.48650735294117647</v>
      </c>
      <c r="I256" s="30">
        <f>ROUNDUP((Table2[[#This Row],[fGCM_Conc]]*10000),0)</f>
        <v>4866</v>
      </c>
      <c r="J256" s="25" t="str">
        <f>VLOOKUP(G256,'[1]Attributes(OUTDATED)'!$A$2:$C$19,2,FALSE)</f>
        <v>M</v>
      </c>
      <c r="K256" s="25" t="str">
        <f>VLOOKUP(G256,'[1]Attributes(OUTDATED)'!$A$2:$C$19,3,FALSE)</f>
        <v>A</v>
      </c>
      <c r="L256" s="25">
        <f>VLOOKUP(G256,'[1]Attributes(OUTDATED)'!$A$2:$H$19,8,FALSE)</f>
        <v>1223</v>
      </c>
      <c r="M256" s="25" t="str">
        <f>K256&amp;J256</f>
        <v>AM</v>
      </c>
      <c r="N256" s="25" t="e">
        <f>VLOOKUP(G256,#REF!,2,FALSE)</f>
        <v>#REF!</v>
      </c>
      <c r="O256" s="31">
        <v>45138</v>
      </c>
      <c r="P256" s="32">
        <v>11.6</v>
      </c>
      <c r="Q256" s="32">
        <v>7.2</v>
      </c>
      <c r="R256" s="32">
        <v>1.2</v>
      </c>
      <c r="S256" s="32">
        <f>Table2[[#This Row],[2_Temp_H]]-Table2[[#This Row],[2_Temp_L]]</f>
        <v>10.4</v>
      </c>
      <c r="T256" s="32">
        <v>35.200000000000003</v>
      </c>
      <c r="U256" s="32">
        <v>9.6</v>
      </c>
      <c r="V256" s="32">
        <v>1024.04</v>
      </c>
      <c r="W256" s="32">
        <v>1015.92</v>
      </c>
      <c r="X256" s="32">
        <v>0</v>
      </c>
      <c r="Y256" s="32" t="s">
        <v>147</v>
      </c>
      <c r="Z256" s="32" t="s">
        <v>139</v>
      </c>
      <c r="AA256" s="32" t="s">
        <v>26</v>
      </c>
      <c r="AB256" s="32" t="s">
        <v>144</v>
      </c>
      <c r="AC256" s="32" t="s">
        <v>146</v>
      </c>
      <c r="AD256" s="32" t="s">
        <v>137</v>
      </c>
      <c r="AE256" s="32">
        <f>VLOOKUP(Table2[[#This Row],[3_Elephant_ID]],'[1]Attributes(OUTDATED)'!$A$2:$N$19,12,FALSE)</f>
        <v>404</v>
      </c>
      <c r="AF256" s="32">
        <f>VLOOKUP(Table2[[#This Row],[3_Elephant_ID]],'[1]Attributes(OUTDATED)'!$A$2:$N$19,13,FALSE)</f>
        <v>0.91700000000000004</v>
      </c>
      <c r="AG256" s="32">
        <f>VLOOKUP(Table2[[#This Row],[3_Elephant_ID]],'[1]Attributes(OUTDATED)'!$A$2:$N$19,14,FALSE)</f>
        <v>0.91664628583929353</v>
      </c>
      <c r="AH256" s="32">
        <v>1</v>
      </c>
      <c r="AI256" s="32">
        <v>0</v>
      </c>
      <c r="AJ256" s="32">
        <v>0</v>
      </c>
      <c r="AK256" s="32">
        <v>0</v>
      </c>
      <c r="AL256" s="32">
        <f>VLOOKUP(Table2[[#This Row],[3_Elephant_ID]],'[1]Attributes(OUTDATED)'!$A$2:$P$19,16,FALSE)</f>
        <v>1</v>
      </c>
      <c r="AM256" s="32">
        <f>VLOOKUP(Table2[[#This Row],[3_Elephant_ID]],'[1]Attributes(OUTDATED)'!$A$2:$S$19,17,FALSE)</f>
        <v>14</v>
      </c>
      <c r="AN256" s="32">
        <f>VLOOKUP(Table2[[#This Row],[3_Elephant_ID]],'[1]Attributes(OUTDATED)'!$A$2:$S$19,18,FALSE)</f>
        <v>17</v>
      </c>
    </row>
    <row r="257" spans="1:40" s="33" customFormat="1" ht="28" x14ac:dyDescent="0.15">
      <c r="A257" s="25">
        <v>244</v>
      </c>
      <c r="B257" s="26" t="s">
        <v>87</v>
      </c>
      <c r="C257" s="27">
        <v>2</v>
      </c>
      <c r="D257" s="27">
        <v>8</v>
      </c>
      <c r="E257" s="27">
        <v>2023</v>
      </c>
      <c r="F257" s="28">
        <v>45140</v>
      </c>
      <c r="G257" s="26" t="s">
        <v>6</v>
      </c>
      <c r="H257" s="29">
        <v>0.4751594746716698</v>
      </c>
      <c r="I257" s="30">
        <f>ROUNDUP((Table2[[#This Row],[fGCM_Conc]]*10000),0)</f>
        <v>4752</v>
      </c>
      <c r="J257" s="25" t="str">
        <f>VLOOKUP(G257,'[1]Attributes(OUTDATED)'!$A$2:$C$19,2,FALSE)</f>
        <v>F</v>
      </c>
      <c r="K257" s="25" t="str">
        <f>VLOOKUP(G257,'[1]Attributes(OUTDATED)'!$A$2:$C$19,3,FALSE)</f>
        <v>A</v>
      </c>
      <c r="L257" s="25">
        <f>VLOOKUP(G257,'[1]Attributes(OUTDATED)'!$A$2:$H$19,8,FALSE)</f>
        <v>1168</v>
      </c>
      <c r="M257" s="25" t="str">
        <f>K257&amp;J257</f>
        <v>AF</v>
      </c>
      <c r="N257" s="25" t="e">
        <f>VLOOKUP(G257,#REF!,2,FALSE)</f>
        <v>#REF!</v>
      </c>
      <c r="O257" s="31">
        <v>45138</v>
      </c>
      <c r="P257" s="32">
        <v>11.6</v>
      </c>
      <c r="Q257" s="32">
        <v>7.2</v>
      </c>
      <c r="R257" s="32">
        <v>1.2</v>
      </c>
      <c r="S257" s="32">
        <f>Table2[[#This Row],[2_Temp_H]]-Table2[[#This Row],[2_Temp_L]]</f>
        <v>10.4</v>
      </c>
      <c r="T257" s="32">
        <v>35.200000000000003</v>
      </c>
      <c r="U257" s="32">
        <v>9.6</v>
      </c>
      <c r="V257" s="32">
        <v>1024.04</v>
      </c>
      <c r="W257" s="32">
        <v>1015.92</v>
      </c>
      <c r="X257" s="32">
        <v>0</v>
      </c>
      <c r="Y257" s="32" t="s">
        <v>147</v>
      </c>
      <c r="Z257" s="32" t="s">
        <v>139</v>
      </c>
      <c r="AA257" s="32" t="s">
        <v>26</v>
      </c>
      <c r="AB257" s="32" t="s">
        <v>144</v>
      </c>
      <c r="AC257" s="32" t="s">
        <v>146</v>
      </c>
      <c r="AD257" s="32" t="s">
        <v>137</v>
      </c>
      <c r="AE257" s="32">
        <f>VLOOKUP(Table2[[#This Row],[3_Elephant_ID]],'[1]Attributes(OUTDATED)'!$A$2:$N$19,12,FALSE)</f>
        <v>286</v>
      </c>
      <c r="AF257" s="32">
        <f>VLOOKUP(Table2[[#This Row],[3_Elephant_ID]],'[1]Attributes(OUTDATED)'!$A$2:$N$19,13,FALSE)</f>
        <v>0.26800000000000002</v>
      </c>
      <c r="AG257" s="32">
        <f>VLOOKUP(Table2[[#This Row],[3_Elephant_ID]],'[1]Attributes(OUTDATED)'!$A$2:$N$19,14,FALSE)</f>
        <v>0.26721028245328138</v>
      </c>
      <c r="AH257" s="32">
        <v>1</v>
      </c>
      <c r="AI257" s="32">
        <v>0</v>
      </c>
      <c r="AJ257" s="32">
        <v>0</v>
      </c>
      <c r="AK257" s="32">
        <v>0</v>
      </c>
      <c r="AL257" s="32">
        <f>VLOOKUP(Table2[[#This Row],[3_Elephant_ID]],'[1]Attributes(OUTDATED)'!$A$2:$P$19,16,FALSE)</f>
        <v>2</v>
      </c>
      <c r="AM257" s="32">
        <f>VLOOKUP(Table2[[#This Row],[3_Elephant_ID]],'[1]Attributes(OUTDATED)'!$A$2:$S$19,17,FALSE)</f>
        <v>12</v>
      </c>
      <c r="AN257" s="32">
        <f>VLOOKUP(Table2[[#This Row],[3_Elephant_ID]],'[1]Attributes(OUTDATED)'!$A$2:$S$19,18,FALSE)</f>
        <v>5</v>
      </c>
    </row>
    <row r="258" spans="1:40" s="33" customFormat="1" ht="28" x14ac:dyDescent="0.15">
      <c r="A258" s="25">
        <v>243</v>
      </c>
      <c r="B258" s="26" t="s">
        <v>86</v>
      </c>
      <c r="C258" s="27">
        <v>2</v>
      </c>
      <c r="D258" s="27">
        <v>8</v>
      </c>
      <c r="E258" s="27">
        <v>2023</v>
      </c>
      <c r="F258" s="28">
        <v>45140</v>
      </c>
      <c r="G258" s="26" t="s">
        <v>9</v>
      </c>
      <c r="H258" s="29">
        <v>0.46645161290322601</v>
      </c>
      <c r="I258" s="30">
        <f>ROUNDUP((Table2[[#This Row],[fGCM_Conc]]*10000),0)</f>
        <v>4665</v>
      </c>
      <c r="J258" s="25" t="str">
        <f>VLOOKUP(G258,'[1]Attributes(OUTDATED)'!$A$2:$C$19,2,FALSE)</f>
        <v>F</v>
      </c>
      <c r="K258" s="25" t="str">
        <f>VLOOKUP(G258,'[1]Attributes(OUTDATED)'!$A$2:$C$19,3,FALSE)</f>
        <v>J</v>
      </c>
      <c r="L258" s="25">
        <f>VLOOKUP(G258,'[1]Attributes(OUTDATED)'!$A$2:$H$19,8,FALSE)</f>
        <v>820</v>
      </c>
      <c r="M258" s="25" t="str">
        <f>K258&amp;J258</f>
        <v>JF</v>
      </c>
      <c r="N258" s="25" t="e">
        <f>VLOOKUP(G258,#REF!,2,FALSE)</f>
        <v>#REF!</v>
      </c>
      <c r="O258" s="31">
        <v>45138</v>
      </c>
      <c r="P258" s="32">
        <v>11.6</v>
      </c>
      <c r="Q258" s="32">
        <v>7.2</v>
      </c>
      <c r="R258" s="32">
        <v>1.2</v>
      </c>
      <c r="S258" s="32">
        <f>Table2[[#This Row],[2_Temp_H]]-Table2[[#This Row],[2_Temp_L]]</f>
        <v>10.4</v>
      </c>
      <c r="T258" s="32">
        <v>35.200000000000003</v>
      </c>
      <c r="U258" s="32">
        <v>9.6</v>
      </c>
      <c r="V258" s="32">
        <v>1024.04</v>
      </c>
      <c r="W258" s="32">
        <v>1015.92</v>
      </c>
      <c r="X258" s="32">
        <v>0</v>
      </c>
      <c r="Y258" s="32" t="s">
        <v>147</v>
      </c>
      <c r="Z258" s="32" t="s">
        <v>139</v>
      </c>
      <c r="AA258" s="32" t="s">
        <v>26</v>
      </c>
      <c r="AB258" s="32" t="s">
        <v>144</v>
      </c>
      <c r="AC258" s="32" t="s">
        <v>146</v>
      </c>
      <c r="AD258" s="32" t="s">
        <v>137</v>
      </c>
      <c r="AE258" s="32">
        <f>VLOOKUP(Table2[[#This Row],[3_Elephant_ID]],'[1]Attributes(OUTDATED)'!$A$2:$N$19,12,FALSE)</f>
        <v>305</v>
      </c>
      <c r="AF258" s="32">
        <f>VLOOKUP(Table2[[#This Row],[3_Elephant_ID]],'[1]Attributes(OUTDATED)'!$A$2:$N$19,13,FALSE)</f>
        <v>0.17499999999999999</v>
      </c>
      <c r="AG258" s="32">
        <f>VLOOKUP(Table2[[#This Row],[3_Elephant_ID]],'[1]Attributes(OUTDATED)'!$A$2:$N$19,14,FALSE)</f>
        <v>0.17467336145108631</v>
      </c>
      <c r="AH258" s="32">
        <v>1</v>
      </c>
      <c r="AI258" s="32">
        <v>0</v>
      </c>
      <c r="AJ258" s="32">
        <v>1</v>
      </c>
      <c r="AK258" s="32">
        <v>1</v>
      </c>
      <c r="AL258" s="32">
        <f>VLOOKUP(Table2[[#This Row],[3_Elephant_ID]],'[1]Attributes(OUTDATED)'!$A$2:$P$19,16,FALSE)</f>
        <v>2</v>
      </c>
      <c r="AM258" s="32">
        <f>VLOOKUP(Table2[[#This Row],[3_Elephant_ID]],'[1]Attributes(OUTDATED)'!$A$2:$S$19,17,FALSE)</f>
        <v>0</v>
      </c>
      <c r="AN258" s="32">
        <f>VLOOKUP(Table2[[#This Row],[3_Elephant_ID]],'[1]Attributes(OUTDATED)'!$A$2:$S$19,18,FALSE)</f>
        <v>4</v>
      </c>
    </row>
    <row r="259" spans="1:40" s="33" customFormat="1" ht="28" x14ac:dyDescent="0.15">
      <c r="A259" s="25">
        <v>241</v>
      </c>
      <c r="B259" s="26" t="s">
        <v>84</v>
      </c>
      <c r="C259" s="27">
        <v>2</v>
      </c>
      <c r="D259" s="27">
        <v>8</v>
      </c>
      <c r="E259" s="27">
        <v>2023</v>
      </c>
      <c r="F259" s="28">
        <v>45140</v>
      </c>
      <c r="G259" s="26" t="s">
        <v>15</v>
      </c>
      <c r="H259" s="29">
        <v>0.44186640471512773</v>
      </c>
      <c r="I259" s="30">
        <f>ROUNDUP((Table2[[#This Row],[fGCM_Conc]]*10000),0)</f>
        <v>4419</v>
      </c>
      <c r="J259" s="25" t="str">
        <f>VLOOKUP(G259,'[1]Attributes(OUTDATED)'!$A$2:$C$19,2,FALSE)</f>
        <v>M</v>
      </c>
      <c r="K259" s="25" t="str">
        <f>VLOOKUP(G259,'[1]Attributes(OUTDATED)'!$A$2:$C$19,3,FALSE)</f>
        <v>J</v>
      </c>
      <c r="L259" s="25">
        <f>VLOOKUP(G259,'[1]Attributes(OUTDATED)'!$A$2:$H$19,8,FALSE)</f>
        <v>828</v>
      </c>
      <c r="M259" s="25" t="str">
        <f>K259&amp;J259</f>
        <v>JM</v>
      </c>
      <c r="N259" s="25" t="e">
        <f>VLOOKUP(G259,#REF!,2,FALSE)</f>
        <v>#REF!</v>
      </c>
      <c r="O259" s="31">
        <v>45138</v>
      </c>
      <c r="P259" s="32">
        <v>11.6</v>
      </c>
      <c r="Q259" s="32">
        <v>7.2</v>
      </c>
      <c r="R259" s="32">
        <v>1.2</v>
      </c>
      <c r="S259" s="32">
        <f>Table2[[#This Row],[2_Temp_H]]-Table2[[#This Row],[2_Temp_L]]</f>
        <v>10.4</v>
      </c>
      <c r="T259" s="32">
        <v>35.200000000000003</v>
      </c>
      <c r="U259" s="32">
        <v>9.6</v>
      </c>
      <c r="V259" s="32">
        <v>1024.04</v>
      </c>
      <c r="W259" s="32">
        <v>1015.92</v>
      </c>
      <c r="X259" s="32">
        <v>0</v>
      </c>
      <c r="Y259" s="32" t="s">
        <v>147</v>
      </c>
      <c r="Z259" s="32" t="s">
        <v>139</v>
      </c>
      <c r="AA259" s="32" t="s">
        <v>26</v>
      </c>
      <c r="AB259" s="32" t="s">
        <v>144</v>
      </c>
      <c r="AC259" s="32" t="s">
        <v>146</v>
      </c>
      <c r="AD259" s="32" t="s">
        <v>137</v>
      </c>
      <c r="AE259" s="32">
        <f>VLOOKUP(Table2[[#This Row],[3_Elephant_ID]],'[1]Attributes(OUTDATED)'!$A$2:$N$19,12,FALSE)</f>
        <v>219</v>
      </c>
      <c r="AF259" s="32">
        <f>VLOOKUP(Table2[[#This Row],[3_Elephant_ID]],'[1]Attributes(OUTDATED)'!$A$2:$N$19,13,FALSE)</f>
        <v>0.32300000000000001</v>
      </c>
      <c r="AG259" s="32">
        <f>VLOOKUP(Table2[[#This Row],[3_Elephant_ID]],'[1]Attributes(OUTDATED)'!$A$2:$N$19,14,FALSE)</f>
        <v>0.32257531484312868</v>
      </c>
      <c r="AH259" s="32">
        <v>1</v>
      </c>
      <c r="AI259" s="32">
        <v>0</v>
      </c>
      <c r="AJ259" s="32">
        <v>0</v>
      </c>
      <c r="AK259" s="32">
        <v>0</v>
      </c>
      <c r="AL259" s="32">
        <f>VLOOKUP(Table2[[#This Row],[3_Elephant_ID]],'[1]Attributes(OUTDATED)'!$A$2:$P$19,16,FALSE)</f>
        <v>2</v>
      </c>
      <c r="AM259" s="32">
        <f>VLOOKUP(Table2[[#This Row],[3_Elephant_ID]],'[1]Attributes(OUTDATED)'!$A$2:$S$19,17,FALSE)</f>
        <v>1</v>
      </c>
      <c r="AN259" s="32">
        <f>VLOOKUP(Table2[[#This Row],[3_Elephant_ID]],'[1]Attributes(OUTDATED)'!$A$2:$S$19,18,FALSE)</f>
        <v>6</v>
      </c>
    </row>
    <row r="260" spans="1:40" s="33" customFormat="1" ht="28" x14ac:dyDescent="0.15">
      <c r="A260" s="25">
        <v>238</v>
      </c>
      <c r="B260" s="26" t="s">
        <v>81</v>
      </c>
      <c r="C260" s="27">
        <v>2</v>
      </c>
      <c r="D260" s="27">
        <v>8</v>
      </c>
      <c r="E260" s="27">
        <v>2023</v>
      </c>
      <c r="F260" s="28">
        <v>45140</v>
      </c>
      <c r="G260" s="26" t="s">
        <v>14</v>
      </c>
      <c r="H260" s="29">
        <v>0.42813359528487233</v>
      </c>
      <c r="I260" s="30">
        <f>ROUNDUP((Table2[[#This Row],[fGCM_Conc]]*10000),0)</f>
        <v>4282</v>
      </c>
      <c r="J260" s="25" t="str">
        <f>VLOOKUP(G260,'[1]Attributes(OUTDATED)'!$A$2:$C$19,2,FALSE)</f>
        <v>F</v>
      </c>
      <c r="K260" s="25" t="str">
        <f>VLOOKUP(G260,'[1]Attributes(OUTDATED)'!$A$2:$C$19,3,FALSE)</f>
        <v>J</v>
      </c>
      <c r="L260" s="25">
        <f>VLOOKUP(G260,'[1]Attributes(OUTDATED)'!$A$2:$H$19,8,FALSE)</f>
        <v>879</v>
      </c>
      <c r="M260" s="25" t="str">
        <f>K260&amp;J260</f>
        <v>JF</v>
      </c>
      <c r="N260" s="25" t="e">
        <f>VLOOKUP(G260,#REF!,2,FALSE)</f>
        <v>#REF!</v>
      </c>
      <c r="O260" s="31">
        <v>45138</v>
      </c>
      <c r="P260" s="32">
        <v>11.6</v>
      </c>
      <c r="Q260" s="32">
        <v>7.2</v>
      </c>
      <c r="R260" s="32">
        <v>1.2</v>
      </c>
      <c r="S260" s="32">
        <f>Table2[[#This Row],[2_Temp_H]]-Table2[[#This Row],[2_Temp_L]]</f>
        <v>10.4</v>
      </c>
      <c r="T260" s="32">
        <v>35.200000000000003</v>
      </c>
      <c r="U260" s="32">
        <v>9.6</v>
      </c>
      <c r="V260" s="32">
        <v>1024.04</v>
      </c>
      <c r="W260" s="32">
        <v>1015.92</v>
      </c>
      <c r="X260" s="32">
        <v>0</v>
      </c>
      <c r="Y260" s="32" t="s">
        <v>147</v>
      </c>
      <c r="Z260" s="32" t="s">
        <v>139</v>
      </c>
      <c r="AA260" s="32" t="s">
        <v>26</v>
      </c>
      <c r="AB260" s="32" t="s">
        <v>144</v>
      </c>
      <c r="AC260" s="32" t="s">
        <v>146</v>
      </c>
      <c r="AD260" s="32" t="s">
        <v>137</v>
      </c>
      <c r="AE260" s="32">
        <f>VLOOKUP(Table2[[#This Row],[3_Elephant_ID]],'[1]Attributes(OUTDATED)'!$A$2:$N$19,12,FALSE)</f>
        <v>269</v>
      </c>
      <c r="AF260" s="32">
        <f>VLOOKUP(Table2[[#This Row],[3_Elephant_ID]],'[1]Attributes(OUTDATED)'!$A$2:$N$19,13,FALSE)</f>
        <v>0.65800000000000003</v>
      </c>
      <c r="AG260" s="32">
        <f>VLOOKUP(Table2[[#This Row],[3_Elephant_ID]],'[1]Attributes(OUTDATED)'!$A$2:$N$19,14,FALSE)</f>
        <v>0.65767064449315993</v>
      </c>
      <c r="AH260" s="32">
        <v>1</v>
      </c>
      <c r="AI260" s="32">
        <v>0</v>
      </c>
      <c r="AJ260" s="32">
        <v>0</v>
      </c>
      <c r="AK260" s="32">
        <v>0</v>
      </c>
      <c r="AL260" s="32">
        <f>VLOOKUP(Table2[[#This Row],[3_Elephant_ID]],'[1]Attributes(OUTDATED)'!$A$2:$P$19,16,FALSE)</f>
        <v>1</v>
      </c>
      <c r="AM260" s="32">
        <f>VLOOKUP(Table2[[#This Row],[3_Elephant_ID]],'[1]Attributes(OUTDATED)'!$A$2:$S$19,17,FALSE)</f>
        <v>3</v>
      </c>
      <c r="AN260" s="32">
        <f>VLOOKUP(Table2[[#This Row],[3_Elephant_ID]],'[1]Attributes(OUTDATED)'!$A$2:$S$19,18,FALSE)</f>
        <v>9</v>
      </c>
    </row>
    <row r="261" spans="1:40" s="33" customFormat="1" ht="28" x14ac:dyDescent="0.15">
      <c r="A261" s="25">
        <v>247</v>
      </c>
      <c r="B261" s="26" t="s">
        <v>90</v>
      </c>
      <c r="C261" s="27">
        <v>2</v>
      </c>
      <c r="D261" s="27">
        <v>8</v>
      </c>
      <c r="E261" s="27">
        <v>2023</v>
      </c>
      <c r="F261" s="28">
        <v>45140</v>
      </c>
      <c r="G261" s="26" t="s">
        <v>3</v>
      </c>
      <c r="H261" s="29">
        <v>0.39818181818181808</v>
      </c>
      <c r="I261" s="30">
        <f>ROUNDUP((Table2[[#This Row],[fGCM_Conc]]*10000),0)</f>
        <v>3982</v>
      </c>
      <c r="J261" s="25" t="str">
        <f>VLOOKUP(G261,'[1]Attributes(OUTDATED)'!$A$2:$C$19,2,FALSE)</f>
        <v>M</v>
      </c>
      <c r="K261" s="25" t="str">
        <f>VLOOKUP(G261,'[1]Attributes(OUTDATED)'!$A$2:$C$19,3,FALSE)</f>
        <v>J</v>
      </c>
      <c r="L261" s="25">
        <f>VLOOKUP(G261,'[1]Attributes(OUTDATED)'!$A$2:$H$19,8,FALSE)</f>
        <v>1031</v>
      </c>
      <c r="M261" s="25" t="str">
        <f>K261&amp;J261</f>
        <v>JM</v>
      </c>
      <c r="N261" s="25" t="e">
        <f>VLOOKUP(G261,#REF!,2,FALSE)</f>
        <v>#REF!</v>
      </c>
      <c r="O261" s="31">
        <v>45138</v>
      </c>
      <c r="P261" s="32">
        <v>11.6</v>
      </c>
      <c r="Q261" s="32">
        <v>7.2</v>
      </c>
      <c r="R261" s="32">
        <v>1.2</v>
      </c>
      <c r="S261" s="32">
        <f>Table2[[#This Row],[2_Temp_H]]-Table2[[#This Row],[2_Temp_L]]</f>
        <v>10.4</v>
      </c>
      <c r="T261" s="32">
        <v>35.200000000000003</v>
      </c>
      <c r="U261" s="32">
        <v>9.6</v>
      </c>
      <c r="V261" s="32">
        <v>1024.04</v>
      </c>
      <c r="W261" s="32">
        <v>1015.92</v>
      </c>
      <c r="X261" s="32">
        <v>0</v>
      </c>
      <c r="Y261" s="32" t="s">
        <v>147</v>
      </c>
      <c r="Z261" s="32" t="s">
        <v>139</v>
      </c>
      <c r="AA261" s="32" t="s">
        <v>26</v>
      </c>
      <c r="AB261" s="32" t="s">
        <v>144</v>
      </c>
      <c r="AC261" s="32" t="s">
        <v>146</v>
      </c>
      <c r="AD261" s="32" t="s">
        <v>137</v>
      </c>
      <c r="AE261" s="32">
        <f>VLOOKUP(Table2[[#This Row],[3_Elephant_ID]],'[1]Attributes(OUTDATED)'!$A$2:$N$19,12,FALSE)</f>
        <v>234</v>
      </c>
      <c r="AF261" s="32">
        <f>VLOOKUP(Table2[[#This Row],[3_Elephant_ID]],'[1]Attributes(OUTDATED)'!$A$2:$N$19,13,FALSE)</f>
        <v>0.16500000000000001</v>
      </c>
      <c r="AG261" s="32">
        <f>VLOOKUP(Table2[[#This Row],[3_Elephant_ID]],'[1]Attributes(OUTDATED)'!$A$2:$N$19,14,FALSE)</f>
        <v>0.16420161303383449</v>
      </c>
      <c r="AH261" s="32">
        <v>1</v>
      </c>
      <c r="AI261" s="32">
        <v>0</v>
      </c>
      <c r="AJ261" s="32">
        <v>0</v>
      </c>
      <c r="AK261" s="32">
        <v>0</v>
      </c>
      <c r="AL261" s="32">
        <f>VLOOKUP(Table2[[#This Row],[3_Elephant_ID]],'[1]Attributes(OUTDATED)'!$A$2:$P$19,16,FALSE)</f>
        <v>1</v>
      </c>
      <c r="AM261" s="32">
        <f>VLOOKUP(Table2[[#This Row],[3_Elephant_ID]],'[1]Attributes(OUTDATED)'!$A$2:$S$19,17,FALSE)</f>
        <v>9</v>
      </c>
      <c r="AN261" s="32">
        <f>VLOOKUP(Table2[[#This Row],[3_Elephant_ID]],'[1]Attributes(OUTDATED)'!$A$2:$S$19,18,FALSE)</f>
        <v>9</v>
      </c>
    </row>
    <row r="262" spans="1:40" s="33" customFormat="1" ht="28" x14ac:dyDescent="0.15">
      <c r="A262" s="25">
        <v>239</v>
      </c>
      <c r="B262" s="26" t="s">
        <v>82</v>
      </c>
      <c r="C262" s="27">
        <v>2</v>
      </c>
      <c r="D262" s="27">
        <v>8</v>
      </c>
      <c r="E262" s="27">
        <v>2023</v>
      </c>
      <c r="F262" s="28">
        <v>45140</v>
      </c>
      <c r="G262" s="26" t="s">
        <v>4</v>
      </c>
      <c r="H262" s="29">
        <v>0.39440313111545994</v>
      </c>
      <c r="I262" s="30">
        <f>ROUNDUP((Table2[[#This Row],[fGCM_Conc]]*10000),0)</f>
        <v>3945</v>
      </c>
      <c r="J262" s="25" t="str">
        <f>VLOOKUP(G262,'[1]Attributes(OUTDATED)'!$A$2:$C$19,2,FALSE)</f>
        <v>M</v>
      </c>
      <c r="K262" s="25" t="str">
        <f>VLOOKUP(G262,'[1]Attributes(OUTDATED)'!$A$2:$C$19,3,FALSE)</f>
        <v>J</v>
      </c>
      <c r="L262" s="25">
        <f>VLOOKUP(G262,'[1]Attributes(OUTDATED)'!$A$2:$H$19,8,FALSE)</f>
        <v>1055</v>
      </c>
      <c r="M262" s="25" t="str">
        <f>K262&amp;J262</f>
        <v>JM</v>
      </c>
      <c r="N262" s="25" t="e">
        <f>VLOOKUP(G262,#REF!,2,FALSE)</f>
        <v>#REF!</v>
      </c>
      <c r="O262" s="31">
        <v>45138</v>
      </c>
      <c r="P262" s="32">
        <v>11.6</v>
      </c>
      <c r="Q262" s="32">
        <v>7.2</v>
      </c>
      <c r="R262" s="32">
        <v>1.2</v>
      </c>
      <c r="S262" s="32">
        <f>Table2[[#This Row],[2_Temp_H]]-Table2[[#This Row],[2_Temp_L]]</f>
        <v>10.4</v>
      </c>
      <c r="T262" s="32">
        <v>35.200000000000003</v>
      </c>
      <c r="U262" s="32">
        <v>9.6</v>
      </c>
      <c r="V262" s="32">
        <v>1024.04</v>
      </c>
      <c r="W262" s="32">
        <v>1015.92</v>
      </c>
      <c r="X262" s="32">
        <v>0</v>
      </c>
      <c r="Y262" s="32" t="s">
        <v>147</v>
      </c>
      <c r="Z262" s="32" t="s">
        <v>139</v>
      </c>
      <c r="AA262" s="32" t="s">
        <v>26</v>
      </c>
      <c r="AB262" s="32" t="s">
        <v>144</v>
      </c>
      <c r="AC262" s="32" t="s">
        <v>146</v>
      </c>
      <c r="AD262" s="32" t="s">
        <v>137</v>
      </c>
      <c r="AE262" s="32">
        <f>VLOOKUP(Table2[[#This Row],[3_Elephant_ID]],'[1]Attributes(OUTDATED)'!$A$2:$N$19,12,FALSE)</f>
        <v>181</v>
      </c>
      <c r="AF262" s="32">
        <f>VLOOKUP(Table2[[#This Row],[3_Elephant_ID]],'[1]Attributes(OUTDATED)'!$A$2:$N$19,13,FALSE)</f>
        <v>7.3999999999999996E-2</v>
      </c>
      <c r="AG262" s="32">
        <f>VLOOKUP(Table2[[#This Row],[3_Elephant_ID]],'[1]Attributes(OUTDATED)'!$A$2:$N$19,14,FALSE)</f>
        <v>7.3914663535330896E-2</v>
      </c>
      <c r="AH262" s="32">
        <v>1</v>
      </c>
      <c r="AI262" s="32">
        <v>0</v>
      </c>
      <c r="AJ262" s="32">
        <v>0</v>
      </c>
      <c r="AK262" s="32">
        <v>0</v>
      </c>
      <c r="AL262" s="32">
        <f>VLOOKUP(Table2[[#This Row],[3_Elephant_ID]],'[1]Attributes(OUTDATED)'!$A$2:$P$19,16,FALSE)</f>
        <v>1</v>
      </c>
      <c r="AM262" s="32">
        <f>VLOOKUP(Table2[[#This Row],[3_Elephant_ID]],'[1]Attributes(OUTDATED)'!$A$2:$S$19,17,FALSE)</f>
        <v>7</v>
      </c>
      <c r="AN262" s="32">
        <f>VLOOKUP(Table2[[#This Row],[3_Elephant_ID]],'[1]Attributes(OUTDATED)'!$A$2:$S$19,18,FALSE)</f>
        <v>9</v>
      </c>
    </row>
    <row r="263" spans="1:40" s="33" customFormat="1" ht="28" x14ac:dyDescent="0.15">
      <c r="A263" s="25">
        <v>240</v>
      </c>
      <c r="B263" s="26" t="s">
        <v>83</v>
      </c>
      <c r="C263" s="27">
        <v>2</v>
      </c>
      <c r="D263" s="27">
        <v>8</v>
      </c>
      <c r="E263" s="27">
        <v>2023</v>
      </c>
      <c r="F263" s="28">
        <v>45140</v>
      </c>
      <c r="G263" s="26" t="s">
        <v>17</v>
      </c>
      <c r="H263" s="29">
        <v>0.35480225988700564</v>
      </c>
      <c r="I263" s="30">
        <f>ROUNDUP((Table2[[#This Row],[fGCM_Conc]]*10000),0)</f>
        <v>3549</v>
      </c>
      <c r="J263" s="25" t="str">
        <f>VLOOKUP(G263,'[1]Attributes(OUTDATED)'!$A$2:$C$19,2,FALSE)</f>
        <v>M</v>
      </c>
      <c r="K263" s="25" t="str">
        <f>VLOOKUP(G263,'[1]Attributes(OUTDATED)'!$A$2:$C$19,3,FALSE)</f>
        <v>J</v>
      </c>
      <c r="L263" s="25">
        <f>VLOOKUP(G263,'[1]Attributes(OUTDATED)'!$A$2:$H$19,8,FALSE)</f>
        <v>699</v>
      </c>
      <c r="M263" s="25" t="str">
        <f>K263&amp;J263</f>
        <v>JM</v>
      </c>
      <c r="N263" s="25" t="e">
        <f>VLOOKUP(G263,#REF!,2,FALSE)</f>
        <v>#REF!</v>
      </c>
      <c r="O263" s="31">
        <v>45138</v>
      </c>
      <c r="P263" s="32">
        <v>11.6</v>
      </c>
      <c r="Q263" s="32">
        <v>7.2</v>
      </c>
      <c r="R263" s="32">
        <v>1.2</v>
      </c>
      <c r="S263" s="32">
        <f>Table2[[#This Row],[2_Temp_H]]-Table2[[#This Row],[2_Temp_L]]</f>
        <v>10.4</v>
      </c>
      <c r="T263" s="32">
        <v>35.200000000000003</v>
      </c>
      <c r="U263" s="32">
        <v>9.6</v>
      </c>
      <c r="V263" s="32">
        <v>1024.04</v>
      </c>
      <c r="W263" s="32">
        <v>1015.92</v>
      </c>
      <c r="X263" s="32">
        <v>0</v>
      </c>
      <c r="Y263" s="32" t="s">
        <v>147</v>
      </c>
      <c r="Z263" s="32" t="s">
        <v>139</v>
      </c>
      <c r="AA263" s="32" t="s">
        <v>26</v>
      </c>
      <c r="AB263" s="32" t="s">
        <v>144</v>
      </c>
      <c r="AC263" s="32" t="s">
        <v>146</v>
      </c>
      <c r="AD263" s="32" t="s">
        <v>137</v>
      </c>
      <c r="AE263" s="32">
        <f>VLOOKUP(Table2[[#This Row],[3_Elephant_ID]],'[1]Attributes(OUTDATED)'!$A$2:$N$19,12,FALSE)</f>
        <v>343</v>
      </c>
      <c r="AF263" s="32">
        <f>VLOOKUP(Table2[[#This Row],[3_Elephant_ID]],'[1]Attributes(OUTDATED)'!$A$2:$N$19,13,FALSE)</f>
        <v>0.81</v>
      </c>
      <c r="AG263" s="32">
        <f>VLOOKUP(Table2[[#This Row],[3_Elephant_ID]],'[1]Attributes(OUTDATED)'!$A$2:$N$19,14,FALSE)</f>
        <v>0.80966774571167055</v>
      </c>
      <c r="AH263" s="32">
        <v>1</v>
      </c>
      <c r="AI263" s="32">
        <v>0</v>
      </c>
      <c r="AJ263" s="32">
        <v>0</v>
      </c>
      <c r="AK263" s="32">
        <v>0</v>
      </c>
      <c r="AL263" s="32">
        <f>VLOOKUP(Table2[[#This Row],[3_Elephant_ID]],'[1]Attributes(OUTDATED)'!$A$2:$P$19,16,FALSE)</f>
        <v>1</v>
      </c>
      <c r="AM263" s="32">
        <f>VLOOKUP(Table2[[#This Row],[3_Elephant_ID]],'[1]Attributes(OUTDATED)'!$A$2:$S$19,17,FALSE)</f>
        <v>0</v>
      </c>
      <c r="AN263" s="32">
        <f>VLOOKUP(Table2[[#This Row],[3_Elephant_ID]],'[1]Attributes(OUTDATED)'!$A$2:$S$19,18,FALSE)</f>
        <v>8</v>
      </c>
    </row>
    <row r="264" spans="1:40" s="33" customFormat="1" ht="28" x14ac:dyDescent="0.15">
      <c r="A264" s="25">
        <v>245</v>
      </c>
      <c r="B264" s="26" t="s">
        <v>88</v>
      </c>
      <c r="C264" s="27">
        <v>2</v>
      </c>
      <c r="D264" s="27">
        <v>8</v>
      </c>
      <c r="E264" s="27">
        <v>2023</v>
      </c>
      <c r="F264" s="28">
        <v>45140</v>
      </c>
      <c r="G264" s="26" t="s">
        <v>2</v>
      </c>
      <c r="H264" s="29">
        <v>0.33350649350649347</v>
      </c>
      <c r="I264" s="30">
        <f>ROUNDUP((Table2[[#This Row],[fGCM_Conc]]*10000),0)</f>
        <v>3336</v>
      </c>
      <c r="J264" s="25" t="str">
        <f>VLOOKUP(G264,'[1]Attributes(OUTDATED)'!$A$2:$C$19,2,FALSE)</f>
        <v>F</v>
      </c>
      <c r="K264" s="25" t="str">
        <f>VLOOKUP(G264,'[1]Attributes(OUTDATED)'!$A$2:$C$19,3,FALSE)</f>
        <v>A</v>
      </c>
      <c r="L264" s="25">
        <f>VLOOKUP(G264,'[1]Attributes(OUTDATED)'!$A$2:$H$19,8,FALSE)</f>
        <v>892</v>
      </c>
      <c r="M264" s="25" t="str">
        <f>K264&amp;J264</f>
        <v>AF</v>
      </c>
      <c r="N264" s="25" t="e">
        <f>VLOOKUP(G264,#REF!,2,FALSE)</f>
        <v>#REF!</v>
      </c>
      <c r="O264" s="31">
        <v>45138</v>
      </c>
      <c r="P264" s="32">
        <v>11.6</v>
      </c>
      <c r="Q264" s="32">
        <v>7.2</v>
      </c>
      <c r="R264" s="32">
        <v>1.2</v>
      </c>
      <c r="S264" s="32">
        <f>Table2[[#This Row],[2_Temp_H]]-Table2[[#This Row],[2_Temp_L]]</f>
        <v>10.4</v>
      </c>
      <c r="T264" s="32">
        <v>35.200000000000003</v>
      </c>
      <c r="U264" s="32">
        <v>9.6</v>
      </c>
      <c r="V264" s="32">
        <v>1024.04</v>
      </c>
      <c r="W264" s="32">
        <v>1015.92</v>
      </c>
      <c r="X264" s="32">
        <v>0</v>
      </c>
      <c r="Y264" s="32" t="s">
        <v>147</v>
      </c>
      <c r="Z264" s="32" t="s">
        <v>139</v>
      </c>
      <c r="AA264" s="32" t="s">
        <v>26</v>
      </c>
      <c r="AB264" s="32" t="s">
        <v>144</v>
      </c>
      <c r="AC264" s="32" t="s">
        <v>146</v>
      </c>
      <c r="AD264" s="32" t="s">
        <v>137</v>
      </c>
      <c r="AE264" s="32">
        <f>VLOOKUP(Table2[[#This Row],[3_Elephant_ID]],'[1]Attributes(OUTDATED)'!$A$2:$N$19,12,FALSE)</f>
        <v>378</v>
      </c>
      <c r="AF264" s="32">
        <f>VLOOKUP(Table2[[#This Row],[3_Elephant_ID]],'[1]Attributes(OUTDATED)'!$A$2:$N$19,13,FALSE)</f>
        <v>8.6999999999999994E-2</v>
      </c>
      <c r="AG264" s="32">
        <f>VLOOKUP(Table2[[#This Row],[3_Elephant_ID]],'[1]Attributes(OUTDATED)'!$A$2:$N$19,14,FALSE)</f>
        <v>8.6599138783086713E-2</v>
      </c>
      <c r="AH264" s="32">
        <v>1</v>
      </c>
      <c r="AI264" s="32">
        <v>0</v>
      </c>
      <c r="AJ264" s="32">
        <v>0</v>
      </c>
      <c r="AK264" s="32">
        <v>0</v>
      </c>
      <c r="AL264" s="32">
        <f>VLOOKUP(Table2[[#This Row],[3_Elephant_ID]],'[1]Attributes(OUTDATED)'!$A$2:$P$19,16,FALSE)</f>
        <v>1</v>
      </c>
      <c r="AM264" s="32">
        <f>VLOOKUP(Table2[[#This Row],[3_Elephant_ID]],'[1]Attributes(OUTDATED)'!$A$2:$S$19,17,FALSE)</f>
        <v>4</v>
      </c>
      <c r="AN264" s="32">
        <f>VLOOKUP(Table2[[#This Row],[3_Elephant_ID]],'[1]Attributes(OUTDATED)'!$A$2:$S$19,18,FALSE)</f>
        <v>20</v>
      </c>
    </row>
    <row r="265" spans="1:40" s="33" customFormat="1" ht="28" x14ac:dyDescent="0.15">
      <c r="A265" s="25">
        <v>242</v>
      </c>
      <c r="B265" s="26" t="s">
        <v>85</v>
      </c>
      <c r="C265" s="27">
        <v>2</v>
      </c>
      <c r="D265" s="27">
        <v>8</v>
      </c>
      <c r="E265" s="27">
        <v>2023</v>
      </c>
      <c r="F265" s="28">
        <v>45140</v>
      </c>
      <c r="G265" s="26" t="s">
        <v>1</v>
      </c>
      <c r="H265" s="29">
        <v>0.31719851576994423</v>
      </c>
      <c r="I265" s="30">
        <f>ROUNDUP((Table2[[#This Row],[fGCM_Conc]]*10000),0)</f>
        <v>3172</v>
      </c>
      <c r="J265" s="25" t="str">
        <f>VLOOKUP(G265,'[1]Attributes(OUTDATED)'!$A$2:$C$19,2,FALSE)</f>
        <v>F</v>
      </c>
      <c r="K265" s="25" t="str">
        <f>VLOOKUP(G265,'[1]Attributes(OUTDATED)'!$A$2:$C$19,3,FALSE)</f>
        <v>A</v>
      </c>
      <c r="L265" s="25">
        <f>VLOOKUP(G265,'[1]Attributes(OUTDATED)'!$A$2:$H$19,8,FALSE)</f>
        <v>929</v>
      </c>
      <c r="M265" s="25" t="str">
        <f>K265&amp;J265</f>
        <v>AF</v>
      </c>
      <c r="N265" s="25" t="e">
        <f>VLOOKUP(G265,#REF!,2,FALSE)</f>
        <v>#REF!</v>
      </c>
      <c r="O265" s="31">
        <v>45138</v>
      </c>
      <c r="P265" s="32">
        <v>11.6</v>
      </c>
      <c r="Q265" s="32">
        <v>7.2</v>
      </c>
      <c r="R265" s="32">
        <v>1.2</v>
      </c>
      <c r="S265" s="32">
        <f>Table2[[#This Row],[2_Temp_H]]-Table2[[#This Row],[2_Temp_L]]</f>
        <v>10.4</v>
      </c>
      <c r="T265" s="32">
        <v>35.200000000000003</v>
      </c>
      <c r="U265" s="32">
        <v>9.6</v>
      </c>
      <c r="V265" s="32">
        <v>1024.04</v>
      </c>
      <c r="W265" s="32">
        <v>1015.92</v>
      </c>
      <c r="X265" s="32">
        <v>0</v>
      </c>
      <c r="Y265" s="32" t="s">
        <v>147</v>
      </c>
      <c r="Z265" s="32" t="s">
        <v>139</v>
      </c>
      <c r="AA265" s="32" t="s">
        <v>26</v>
      </c>
      <c r="AB265" s="32" t="s">
        <v>144</v>
      </c>
      <c r="AC265" s="32" t="s">
        <v>146</v>
      </c>
      <c r="AD265" s="32" t="s">
        <v>137</v>
      </c>
      <c r="AE265" s="32">
        <f>VLOOKUP(Table2[[#This Row],[3_Elephant_ID]],'[1]Attributes(OUTDATED)'!$A$2:$N$19,12,FALSE)</f>
        <v>321</v>
      </c>
      <c r="AF265" s="32">
        <f>VLOOKUP(Table2[[#This Row],[3_Elephant_ID]],'[1]Attributes(OUTDATED)'!$A$2:$N$19,13,FALSE)</f>
        <v>0.17599999999999999</v>
      </c>
      <c r="AG265" s="32">
        <f>VLOOKUP(Table2[[#This Row],[3_Elephant_ID]],'[1]Attributes(OUTDATED)'!$A$2:$N$19,14,FALSE)</f>
        <v>0.17530262753188491</v>
      </c>
      <c r="AH265" s="32">
        <v>1</v>
      </c>
      <c r="AI265" s="32">
        <v>0</v>
      </c>
      <c r="AJ265" s="32">
        <v>0</v>
      </c>
      <c r="AK265" s="32">
        <v>0</v>
      </c>
      <c r="AL265" s="32">
        <f>VLOOKUP(Table2[[#This Row],[3_Elephant_ID]],'[1]Attributes(OUTDATED)'!$A$2:$P$19,16,FALSE)</f>
        <v>1</v>
      </c>
      <c r="AM265" s="32">
        <f>VLOOKUP(Table2[[#This Row],[3_Elephant_ID]],'[1]Attributes(OUTDATED)'!$A$2:$S$19,17,FALSE)</f>
        <v>6</v>
      </c>
      <c r="AN265" s="32">
        <f>VLOOKUP(Table2[[#This Row],[3_Elephant_ID]],'[1]Attributes(OUTDATED)'!$A$2:$S$19,18,FALSE)</f>
        <v>8</v>
      </c>
    </row>
    <row r="266" spans="1:40" ht="28" x14ac:dyDescent="0.15">
      <c r="A266" s="3">
        <v>346</v>
      </c>
      <c r="B266" s="6" t="s">
        <v>123</v>
      </c>
      <c r="C266" s="7">
        <v>7</v>
      </c>
      <c r="D266" s="7">
        <v>1</v>
      </c>
      <c r="E266" s="7">
        <v>2024</v>
      </c>
      <c r="F266" s="5">
        <v>45298</v>
      </c>
      <c r="G266" s="6" t="s">
        <v>11</v>
      </c>
      <c r="H266" s="17">
        <v>0.54556818181818201</v>
      </c>
      <c r="I266" s="20">
        <f>ROUNDUP((Table2[[#This Row],[fGCM_Conc]]*10000),0)</f>
        <v>5456</v>
      </c>
      <c r="J266" s="3" t="str">
        <f>VLOOKUP(G266,'[1]Attributes(OUTDATED)'!$A$2:$C$19,2,FALSE)</f>
        <v>M</v>
      </c>
      <c r="K266" s="3" t="str">
        <f>VLOOKUP(G266,'[1]Attributes(OUTDATED)'!$A$2:$C$19,3,FALSE)</f>
        <v>A</v>
      </c>
      <c r="L266" s="3">
        <f>VLOOKUP(G266,'[1]Attributes(OUTDATED)'!$A$2:$H$19,8,FALSE)</f>
        <v>1223</v>
      </c>
      <c r="M266" s="3" t="str">
        <f>K266&amp;J266</f>
        <v>AM</v>
      </c>
      <c r="N266" s="3" t="e">
        <f>VLOOKUP(G266,#REF!,2,FALSE)</f>
        <v>#REF!</v>
      </c>
      <c r="O266" s="11">
        <v>45296</v>
      </c>
      <c r="P266" s="13">
        <v>37</v>
      </c>
      <c r="Q266" s="13">
        <v>26.4</v>
      </c>
      <c r="R266" s="13">
        <v>16.3</v>
      </c>
      <c r="S266" s="13">
        <f>Table2[[#This Row],[2_Temp_H]]-Table2[[#This Row],[2_Temp_L]]</f>
        <v>20.7</v>
      </c>
      <c r="T266" s="13">
        <v>28.6</v>
      </c>
      <c r="U266" s="13">
        <v>5.4</v>
      </c>
      <c r="V266" s="13">
        <v>1008.81</v>
      </c>
      <c r="W266" s="13">
        <v>1005.08</v>
      </c>
      <c r="X266" s="13">
        <v>0.25</v>
      </c>
      <c r="Y266" s="13" t="s">
        <v>148</v>
      </c>
      <c r="Z266" s="13" t="s">
        <v>141</v>
      </c>
      <c r="AA266" s="13" t="s">
        <v>26</v>
      </c>
      <c r="AB266" s="13" t="s">
        <v>143</v>
      </c>
      <c r="AC266" s="13" t="s">
        <v>145</v>
      </c>
      <c r="AD266" s="13" t="s">
        <v>137</v>
      </c>
      <c r="AE266" s="13">
        <f>VLOOKUP(Table2[[#This Row],[3_Elephant_ID]],'[1]Attributes(OUTDATED)'!$A$2:$N$19,12,FALSE)</f>
        <v>404</v>
      </c>
      <c r="AF266" s="13">
        <f>VLOOKUP(Table2[[#This Row],[3_Elephant_ID]],'[1]Attributes(OUTDATED)'!$A$2:$N$19,13,FALSE)</f>
        <v>0.91700000000000004</v>
      </c>
      <c r="AG266" s="13">
        <f>VLOOKUP(Table2[[#This Row],[3_Elephant_ID]],'[1]Attributes(OUTDATED)'!$A$2:$N$19,14,FALSE)</f>
        <v>0.91664628583929353</v>
      </c>
      <c r="AH266" s="13">
        <v>0</v>
      </c>
      <c r="AI266" s="13">
        <v>0</v>
      </c>
      <c r="AJ266" s="13">
        <v>0</v>
      </c>
      <c r="AK266" s="13">
        <v>0</v>
      </c>
      <c r="AL266" s="13">
        <f>VLOOKUP(Table2[[#This Row],[3_Elephant_ID]],'[1]Attributes(OUTDATED)'!$A$2:$P$19,16,FALSE)</f>
        <v>1</v>
      </c>
      <c r="AM266" s="13">
        <f>VLOOKUP(Table2[[#This Row],[3_Elephant_ID]],'[1]Attributes(OUTDATED)'!$A$2:$S$19,17,FALSE)</f>
        <v>14</v>
      </c>
      <c r="AN266" s="13">
        <f>VLOOKUP(Table2[[#This Row],[3_Elephant_ID]],'[1]Attributes(OUTDATED)'!$A$2:$S$19,18,FALSE)</f>
        <v>17</v>
      </c>
    </row>
    <row r="267" spans="1:40" ht="28" x14ac:dyDescent="0.15">
      <c r="A267" s="3">
        <v>347</v>
      </c>
      <c r="B267" s="6" t="s">
        <v>124</v>
      </c>
      <c r="C267" s="7">
        <v>7</v>
      </c>
      <c r="D267" s="7">
        <v>1</v>
      </c>
      <c r="E267" s="7">
        <v>2024</v>
      </c>
      <c r="F267" s="5">
        <v>45298</v>
      </c>
      <c r="G267" s="6" t="s">
        <v>17</v>
      </c>
      <c r="H267" s="17">
        <v>0.50033009708737863</v>
      </c>
      <c r="I267" s="20">
        <f>ROUNDUP((Table2[[#This Row],[fGCM_Conc]]*10000),0)</f>
        <v>5004</v>
      </c>
      <c r="J267" s="3" t="str">
        <f>VLOOKUP(G267,'[1]Attributes(OUTDATED)'!$A$2:$C$19,2,FALSE)</f>
        <v>M</v>
      </c>
      <c r="K267" s="3" t="str">
        <f>VLOOKUP(G267,'[1]Attributes(OUTDATED)'!$A$2:$C$19,3,FALSE)</f>
        <v>J</v>
      </c>
      <c r="L267" s="3">
        <f>VLOOKUP(G267,'[1]Attributes(OUTDATED)'!$A$2:$H$19,8,FALSE)</f>
        <v>699</v>
      </c>
      <c r="M267" s="3" t="str">
        <f>K267&amp;J267</f>
        <v>JM</v>
      </c>
      <c r="N267" s="3" t="e">
        <f>VLOOKUP(G267,#REF!,2,FALSE)</f>
        <v>#REF!</v>
      </c>
      <c r="O267" s="11">
        <v>45296</v>
      </c>
      <c r="P267" s="13">
        <v>37</v>
      </c>
      <c r="Q267" s="13">
        <v>26.4</v>
      </c>
      <c r="R267" s="13">
        <v>16.3</v>
      </c>
      <c r="S267" s="13">
        <f>Table2[[#This Row],[2_Temp_H]]-Table2[[#This Row],[2_Temp_L]]</f>
        <v>20.7</v>
      </c>
      <c r="T267" s="13">
        <v>28.6</v>
      </c>
      <c r="U267" s="13">
        <v>5.4</v>
      </c>
      <c r="V267" s="13">
        <v>1008.81</v>
      </c>
      <c r="W267" s="13">
        <v>1005.08</v>
      </c>
      <c r="X267" s="13">
        <v>0.25</v>
      </c>
      <c r="Y267" s="13" t="s">
        <v>148</v>
      </c>
      <c r="Z267" s="13" t="s">
        <v>141</v>
      </c>
      <c r="AA267" s="13" t="s">
        <v>26</v>
      </c>
      <c r="AB267" s="13" t="s">
        <v>143</v>
      </c>
      <c r="AC267" s="13" t="s">
        <v>145</v>
      </c>
      <c r="AD267" s="13" t="s">
        <v>137</v>
      </c>
      <c r="AE267" s="13">
        <f>VLOOKUP(Table2[[#This Row],[3_Elephant_ID]],'[1]Attributes(OUTDATED)'!$A$2:$N$19,12,FALSE)</f>
        <v>343</v>
      </c>
      <c r="AF267" s="13">
        <f>VLOOKUP(Table2[[#This Row],[3_Elephant_ID]],'[1]Attributes(OUTDATED)'!$A$2:$N$19,13,FALSE)</f>
        <v>0.81</v>
      </c>
      <c r="AG267" s="13">
        <f>VLOOKUP(Table2[[#This Row],[3_Elephant_ID]],'[1]Attributes(OUTDATED)'!$A$2:$N$19,14,FALSE)</f>
        <v>0.80966774571167055</v>
      </c>
      <c r="AH267" s="13">
        <v>0</v>
      </c>
      <c r="AI267" s="13">
        <v>0</v>
      </c>
      <c r="AJ267" s="13">
        <v>0</v>
      </c>
      <c r="AK267" s="13">
        <v>0</v>
      </c>
      <c r="AL267" s="13">
        <f>VLOOKUP(Table2[[#This Row],[3_Elephant_ID]],'[1]Attributes(OUTDATED)'!$A$2:$P$19,16,FALSE)</f>
        <v>1</v>
      </c>
      <c r="AM267" s="13">
        <f>VLOOKUP(Table2[[#This Row],[3_Elephant_ID]],'[1]Attributes(OUTDATED)'!$A$2:$S$19,17,FALSE)</f>
        <v>0</v>
      </c>
      <c r="AN267" s="13">
        <f>VLOOKUP(Table2[[#This Row],[3_Elephant_ID]],'[1]Attributes(OUTDATED)'!$A$2:$S$19,18,FALSE)</f>
        <v>8</v>
      </c>
    </row>
    <row r="268" spans="1:40" ht="28" x14ac:dyDescent="0.15">
      <c r="A268" s="3">
        <v>345</v>
      </c>
      <c r="B268" s="6" t="s">
        <v>122</v>
      </c>
      <c r="C268" s="7">
        <v>7</v>
      </c>
      <c r="D268" s="7">
        <v>1</v>
      </c>
      <c r="E268" s="7">
        <v>2024</v>
      </c>
      <c r="F268" s="5">
        <v>45298</v>
      </c>
      <c r="G268" s="6" t="s">
        <v>15</v>
      </c>
      <c r="H268" s="17">
        <v>0.48302197802197805</v>
      </c>
      <c r="I268" s="20">
        <f>ROUNDUP((Table2[[#This Row],[fGCM_Conc]]*10000),0)</f>
        <v>4831</v>
      </c>
      <c r="J268" s="3" t="str">
        <f>VLOOKUP(G268,'[1]Attributes(OUTDATED)'!$A$2:$C$19,2,FALSE)</f>
        <v>M</v>
      </c>
      <c r="K268" s="3" t="str">
        <f>VLOOKUP(G268,'[1]Attributes(OUTDATED)'!$A$2:$C$19,3,FALSE)</f>
        <v>J</v>
      </c>
      <c r="L268" s="3">
        <f>VLOOKUP(G268,'[1]Attributes(OUTDATED)'!$A$2:$H$19,8,FALSE)</f>
        <v>828</v>
      </c>
      <c r="M268" s="3" t="str">
        <f>K268&amp;J268</f>
        <v>JM</v>
      </c>
      <c r="N268" s="3" t="e">
        <f>VLOOKUP(G268,#REF!,2,FALSE)</f>
        <v>#REF!</v>
      </c>
      <c r="O268" s="11">
        <v>45296</v>
      </c>
      <c r="P268" s="13">
        <v>37</v>
      </c>
      <c r="Q268" s="13">
        <v>26.4</v>
      </c>
      <c r="R268" s="13">
        <v>16.3</v>
      </c>
      <c r="S268" s="13">
        <f>Table2[[#This Row],[2_Temp_H]]-Table2[[#This Row],[2_Temp_L]]</f>
        <v>20.7</v>
      </c>
      <c r="T268" s="13">
        <v>28.6</v>
      </c>
      <c r="U268" s="13">
        <v>5.4</v>
      </c>
      <c r="V268" s="13">
        <v>1008.81</v>
      </c>
      <c r="W268" s="13">
        <v>1005.08</v>
      </c>
      <c r="X268" s="13">
        <v>0.25</v>
      </c>
      <c r="Y268" s="13" t="s">
        <v>148</v>
      </c>
      <c r="Z268" s="13" t="s">
        <v>141</v>
      </c>
      <c r="AA268" s="13" t="s">
        <v>26</v>
      </c>
      <c r="AB268" s="13" t="s">
        <v>143</v>
      </c>
      <c r="AC268" s="13" t="s">
        <v>145</v>
      </c>
      <c r="AD268" s="13" t="s">
        <v>137</v>
      </c>
      <c r="AE268" s="13">
        <f>VLOOKUP(Table2[[#This Row],[3_Elephant_ID]],'[1]Attributes(OUTDATED)'!$A$2:$N$19,12,FALSE)</f>
        <v>219</v>
      </c>
      <c r="AF268" s="13">
        <f>VLOOKUP(Table2[[#This Row],[3_Elephant_ID]],'[1]Attributes(OUTDATED)'!$A$2:$N$19,13,FALSE)</f>
        <v>0.32300000000000001</v>
      </c>
      <c r="AG268" s="13">
        <f>VLOOKUP(Table2[[#This Row],[3_Elephant_ID]],'[1]Attributes(OUTDATED)'!$A$2:$N$19,14,FALSE)</f>
        <v>0.32257531484312868</v>
      </c>
      <c r="AH268" s="13">
        <v>0</v>
      </c>
      <c r="AI268" s="13">
        <v>0</v>
      </c>
      <c r="AJ268" s="13">
        <v>0</v>
      </c>
      <c r="AK268" s="13">
        <v>0</v>
      </c>
      <c r="AL268" s="13">
        <f>VLOOKUP(Table2[[#This Row],[3_Elephant_ID]],'[1]Attributes(OUTDATED)'!$A$2:$P$19,16,FALSE)</f>
        <v>2</v>
      </c>
      <c r="AM268" s="13">
        <f>VLOOKUP(Table2[[#This Row],[3_Elephant_ID]],'[1]Attributes(OUTDATED)'!$A$2:$S$19,17,FALSE)</f>
        <v>1</v>
      </c>
      <c r="AN268" s="13">
        <f>VLOOKUP(Table2[[#This Row],[3_Elephant_ID]],'[1]Attributes(OUTDATED)'!$A$2:$S$19,18,FALSE)</f>
        <v>6</v>
      </c>
    </row>
    <row r="269" spans="1:40" ht="28" x14ac:dyDescent="0.15">
      <c r="A269" s="3">
        <v>344</v>
      </c>
      <c r="B269" s="6" t="s">
        <v>121</v>
      </c>
      <c r="C269" s="7">
        <v>7</v>
      </c>
      <c r="D269" s="7">
        <v>1</v>
      </c>
      <c r="E269" s="7">
        <v>2024</v>
      </c>
      <c r="F269" s="5">
        <v>45298</v>
      </c>
      <c r="G269" s="6" t="s">
        <v>10</v>
      </c>
      <c r="H269" s="17">
        <v>0.36090056285178235</v>
      </c>
      <c r="I269" s="20">
        <f>ROUNDUP((Table2[[#This Row],[fGCM_Conc]]*10000),0)</f>
        <v>3610</v>
      </c>
      <c r="J269" s="3" t="str">
        <f>VLOOKUP(G269,'[1]Attributes(OUTDATED)'!$A$2:$C$19,2,FALSE)</f>
        <v>F</v>
      </c>
      <c r="K269" s="3" t="str">
        <f>VLOOKUP(G269,'[1]Attributes(OUTDATED)'!$A$2:$C$19,3,FALSE)</f>
        <v>A</v>
      </c>
      <c r="L269" s="3">
        <f>VLOOKUP(G269,'[1]Attributes(OUTDATED)'!$A$2:$H$19,8,FALSE)</f>
        <v>1146</v>
      </c>
      <c r="M269" s="3" t="str">
        <f>K269&amp;J269</f>
        <v>AF</v>
      </c>
      <c r="N269" s="3" t="e">
        <f>VLOOKUP(G269,#REF!,2,FALSE)</f>
        <v>#REF!</v>
      </c>
      <c r="O269" s="11">
        <v>45296</v>
      </c>
      <c r="P269" s="13">
        <v>37</v>
      </c>
      <c r="Q269" s="13">
        <v>26.4</v>
      </c>
      <c r="R269" s="13">
        <v>16.3</v>
      </c>
      <c r="S269" s="13">
        <f>Table2[[#This Row],[2_Temp_H]]-Table2[[#This Row],[2_Temp_L]]</f>
        <v>20.7</v>
      </c>
      <c r="T269" s="13">
        <v>28.6</v>
      </c>
      <c r="U269" s="13">
        <v>5.4</v>
      </c>
      <c r="V269" s="13">
        <v>1008.81</v>
      </c>
      <c r="W269" s="13">
        <v>1005.08</v>
      </c>
      <c r="X269" s="13">
        <v>0.25</v>
      </c>
      <c r="Y269" s="13" t="s">
        <v>148</v>
      </c>
      <c r="Z269" s="13" t="s">
        <v>141</v>
      </c>
      <c r="AA269" s="13" t="s">
        <v>26</v>
      </c>
      <c r="AB269" s="13" t="s">
        <v>143</v>
      </c>
      <c r="AC269" s="13" t="s">
        <v>145</v>
      </c>
      <c r="AD269" s="13" t="s">
        <v>137</v>
      </c>
      <c r="AE269" s="13">
        <f>VLOOKUP(Table2[[#This Row],[3_Elephant_ID]],'[1]Attributes(OUTDATED)'!$A$2:$N$19,12,FALSE)</f>
        <v>424</v>
      </c>
      <c r="AF269" s="13">
        <f>VLOOKUP(Table2[[#This Row],[3_Elephant_ID]],'[1]Attributes(OUTDATED)'!$A$2:$N$19,13,FALSE)</f>
        <v>0.10299999999999999</v>
      </c>
      <c r="AG269" s="13">
        <f>VLOOKUP(Table2[[#This Row],[3_Elephant_ID]],'[1]Attributes(OUTDATED)'!$A$2:$N$19,14,FALSE)</f>
        <v>0.10282190709599449</v>
      </c>
      <c r="AH269" s="13">
        <v>0</v>
      </c>
      <c r="AI269" s="13">
        <v>0</v>
      </c>
      <c r="AJ269" s="13">
        <v>0</v>
      </c>
      <c r="AK269" s="13">
        <v>0</v>
      </c>
      <c r="AL269" s="13">
        <f>VLOOKUP(Table2[[#This Row],[3_Elephant_ID]],'[1]Attributes(OUTDATED)'!$A$2:$P$19,16,FALSE)</f>
        <v>1</v>
      </c>
      <c r="AM269" s="13">
        <f>VLOOKUP(Table2[[#This Row],[3_Elephant_ID]],'[1]Attributes(OUTDATED)'!$A$2:$S$19,17,FALSE)</f>
        <v>9</v>
      </c>
      <c r="AN269" s="13">
        <f>VLOOKUP(Table2[[#This Row],[3_Elephant_ID]],'[1]Attributes(OUTDATED)'!$A$2:$S$19,18,FALSE)</f>
        <v>8</v>
      </c>
    </row>
    <row r="270" spans="1:40" ht="28" x14ac:dyDescent="0.15">
      <c r="A270" s="3">
        <v>342</v>
      </c>
      <c r="B270" s="6">
        <v>1101241131</v>
      </c>
      <c r="C270" s="7">
        <v>11</v>
      </c>
      <c r="D270" s="7">
        <v>1</v>
      </c>
      <c r="E270" s="7">
        <v>2024</v>
      </c>
      <c r="F270" s="5">
        <v>45302</v>
      </c>
      <c r="G270" s="6" t="s">
        <v>5</v>
      </c>
      <c r="H270" s="17">
        <v>0.27701886792452829</v>
      </c>
      <c r="I270" s="20">
        <f>ROUNDUP((Table2[[#This Row],[fGCM_Conc]]*10000),0)</f>
        <v>2771</v>
      </c>
      <c r="J270" s="3" t="str">
        <f>VLOOKUP(G270,'[1]Attributes(OUTDATED)'!$A$2:$C$19,2,FALSE)</f>
        <v>M</v>
      </c>
      <c r="K270" s="3" t="str">
        <f>VLOOKUP(G270,'[1]Attributes(OUTDATED)'!$A$2:$C$19,3,FALSE)</f>
        <v>J</v>
      </c>
      <c r="L270" s="3">
        <f>VLOOKUP(G270,'[1]Attributes(OUTDATED)'!$A$2:$H$19,8,FALSE)</f>
        <v>940</v>
      </c>
      <c r="M270" s="3" t="str">
        <f>K270&amp;J270</f>
        <v>JM</v>
      </c>
      <c r="N270" s="3" t="e">
        <f>VLOOKUP(G270,#REF!,2,FALSE)</f>
        <v>#REF!</v>
      </c>
      <c r="O270" s="11">
        <v>45300</v>
      </c>
      <c r="P270" s="13">
        <v>30.4</v>
      </c>
      <c r="Q270" s="13">
        <v>22</v>
      </c>
      <c r="R270" s="13">
        <v>14.8</v>
      </c>
      <c r="S270" s="13">
        <f>Table2[[#This Row],[2_Temp_H]]-Table2[[#This Row],[2_Temp_L]]</f>
        <v>15.599999999999998</v>
      </c>
      <c r="T270" s="13">
        <v>21.1</v>
      </c>
      <c r="U270" s="13">
        <v>5.0999999999999996</v>
      </c>
      <c r="V270" s="13">
        <v>1010.84</v>
      </c>
      <c r="W270" s="13">
        <v>1005.08</v>
      </c>
      <c r="X270" s="13">
        <v>0</v>
      </c>
      <c r="Y270" s="13" t="s">
        <v>148</v>
      </c>
      <c r="Z270" s="16" t="s">
        <v>171</v>
      </c>
      <c r="AA270" s="13" t="s">
        <v>137</v>
      </c>
      <c r="AB270" s="13" t="s">
        <v>143</v>
      </c>
      <c r="AC270" s="13" t="s">
        <v>145</v>
      </c>
      <c r="AD270" s="13" t="s">
        <v>137</v>
      </c>
      <c r="AE270" s="13">
        <f>VLOOKUP(Table2[[#This Row],[3_Elephant_ID]],'[1]Attributes(OUTDATED)'!$A$2:$N$19,12,FALSE)</f>
        <v>361</v>
      </c>
      <c r="AF270" s="13">
        <f>VLOOKUP(Table2[[#This Row],[3_Elephant_ID]],'[1]Attributes(OUTDATED)'!$A$2:$N$19,13,FALSE)</f>
        <v>0.40600000000000003</v>
      </c>
      <c r="AG270" s="13">
        <f>VLOOKUP(Table2[[#This Row],[3_Elephant_ID]],'[1]Attributes(OUTDATED)'!$A$2:$N$19,14,FALSE)</f>
        <v>0.40590323220736402</v>
      </c>
      <c r="AH270" s="13">
        <v>0</v>
      </c>
      <c r="AI270" s="13">
        <v>0</v>
      </c>
      <c r="AJ270" s="13">
        <v>0</v>
      </c>
      <c r="AK270" s="13">
        <v>0</v>
      </c>
      <c r="AL270" s="13">
        <f>VLOOKUP(Table2[[#This Row],[3_Elephant_ID]],'[1]Attributes(OUTDATED)'!$A$2:$P$19,16,FALSE)</f>
        <v>1</v>
      </c>
      <c r="AM270" s="13">
        <f>VLOOKUP(Table2[[#This Row],[3_Elephant_ID]],'[1]Attributes(OUTDATED)'!$A$2:$S$19,17,FALSE)</f>
        <v>2</v>
      </c>
      <c r="AN270" s="13">
        <f>VLOOKUP(Table2[[#This Row],[3_Elephant_ID]],'[1]Attributes(OUTDATED)'!$A$2:$S$19,18,FALSE)</f>
        <v>7</v>
      </c>
    </row>
    <row r="271" spans="1:40" ht="28" x14ac:dyDescent="0.15">
      <c r="A271" s="3">
        <v>343</v>
      </c>
      <c r="B271" s="6">
        <v>1101241129</v>
      </c>
      <c r="C271" s="7">
        <v>11</v>
      </c>
      <c r="D271" s="7">
        <v>1</v>
      </c>
      <c r="E271" s="7">
        <v>2024</v>
      </c>
      <c r="F271" s="5">
        <v>45302</v>
      </c>
      <c r="G271" s="6" t="s">
        <v>17</v>
      </c>
      <c r="H271" s="17">
        <v>0.21860420650095602</v>
      </c>
      <c r="I271" s="20">
        <f>ROUNDUP((Table2[[#This Row],[fGCM_Conc]]*10000),0)</f>
        <v>2187</v>
      </c>
      <c r="J271" s="3" t="str">
        <f>VLOOKUP(G271,'[1]Attributes(OUTDATED)'!$A$2:$C$19,2,FALSE)</f>
        <v>M</v>
      </c>
      <c r="K271" s="3" t="str">
        <f>VLOOKUP(G271,'[1]Attributes(OUTDATED)'!$A$2:$C$19,3,FALSE)</f>
        <v>J</v>
      </c>
      <c r="L271" s="3">
        <f>VLOOKUP(G271,'[1]Attributes(OUTDATED)'!$A$2:$H$19,8,FALSE)</f>
        <v>699</v>
      </c>
      <c r="M271" s="3" t="str">
        <f>K271&amp;J271</f>
        <v>JM</v>
      </c>
      <c r="N271" s="3" t="e">
        <f>VLOOKUP(G271,#REF!,2,FALSE)</f>
        <v>#REF!</v>
      </c>
      <c r="O271" s="11">
        <v>45300</v>
      </c>
      <c r="P271" s="13">
        <v>30.4</v>
      </c>
      <c r="Q271" s="13">
        <v>22</v>
      </c>
      <c r="R271" s="13">
        <v>14.8</v>
      </c>
      <c r="S271" s="13">
        <f>Table2[[#This Row],[2_Temp_H]]-Table2[[#This Row],[2_Temp_L]]</f>
        <v>15.599999999999998</v>
      </c>
      <c r="T271" s="13">
        <v>21.1</v>
      </c>
      <c r="U271" s="13">
        <v>5.0999999999999996</v>
      </c>
      <c r="V271" s="13">
        <v>1010.84</v>
      </c>
      <c r="W271" s="13">
        <v>1005.08</v>
      </c>
      <c r="X271" s="13">
        <v>0</v>
      </c>
      <c r="Y271" s="13" t="s">
        <v>148</v>
      </c>
      <c r="Z271" s="16" t="s">
        <v>171</v>
      </c>
      <c r="AA271" s="13" t="s">
        <v>137</v>
      </c>
      <c r="AB271" s="13" t="s">
        <v>143</v>
      </c>
      <c r="AC271" s="13" t="s">
        <v>145</v>
      </c>
      <c r="AD271" s="13" t="s">
        <v>137</v>
      </c>
      <c r="AE271" s="13">
        <f>VLOOKUP(Table2[[#This Row],[3_Elephant_ID]],'[1]Attributes(OUTDATED)'!$A$2:$N$19,12,FALSE)</f>
        <v>343</v>
      </c>
      <c r="AF271" s="13">
        <f>VLOOKUP(Table2[[#This Row],[3_Elephant_ID]],'[1]Attributes(OUTDATED)'!$A$2:$N$19,13,FALSE)</f>
        <v>0.81</v>
      </c>
      <c r="AG271" s="13">
        <f>VLOOKUP(Table2[[#This Row],[3_Elephant_ID]],'[1]Attributes(OUTDATED)'!$A$2:$N$19,14,FALSE)</f>
        <v>0.80966774571167055</v>
      </c>
      <c r="AH271" s="13">
        <v>0</v>
      </c>
      <c r="AI271" s="13">
        <v>0</v>
      </c>
      <c r="AJ271" s="13">
        <v>0</v>
      </c>
      <c r="AK271" s="13">
        <v>0</v>
      </c>
      <c r="AL271" s="13">
        <f>VLOOKUP(Table2[[#This Row],[3_Elephant_ID]],'[1]Attributes(OUTDATED)'!$A$2:$P$19,16,FALSE)</f>
        <v>1</v>
      </c>
      <c r="AM271" s="13">
        <f>VLOOKUP(Table2[[#This Row],[3_Elephant_ID]],'[1]Attributes(OUTDATED)'!$A$2:$S$19,17,FALSE)</f>
        <v>0</v>
      </c>
      <c r="AN271" s="13">
        <f>VLOOKUP(Table2[[#This Row],[3_Elephant_ID]],'[1]Attributes(OUTDATED)'!$A$2:$S$19,18,FALSE)</f>
        <v>8</v>
      </c>
    </row>
    <row r="272" spans="1:40" ht="28" x14ac:dyDescent="0.15">
      <c r="A272" s="3">
        <v>340</v>
      </c>
      <c r="B272" s="6">
        <v>1201241507</v>
      </c>
      <c r="C272" s="7">
        <v>12</v>
      </c>
      <c r="D272" s="7">
        <v>1</v>
      </c>
      <c r="E272" s="7">
        <v>2024</v>
      </c>
      <c r="F272" s="5">
        <v>45303</v>
      </c>
      <c r="G272" s="6" t="s">
        <v>16</v>
      </c>
      <c r="H272" s="17">
        <v>0.48097701149425287</v>
      </c>
      <c r="I272" s="20">
        <f>ROUNDUP((Table2[[#This Row],[fGCM_Conc]]*10000),0)</f>
        <v>4810</v>
      </c>
      <c r="J272" s="3" t="str">
        <f>VLOOKUP(G272,'[1]Attributes(OUTDATED)'!$A$2:$C$19,2,FALSE)</f>
        <v>F</v>
      </c>
      <c r="K272" s="3" t="str">
        <f>VLOOKUP(G272,'[1]Attributes(OUTDATED)'!$A$2:$C$19,3,FALSE)</f>
        <v>A</v>
      </c>
      <c r="L272" s="3">
        <f>VLOOKUP(G272,'[1]Attributes(OUTDATED)'!$A$2:$H$19,8,FALSE)</f>
        <v>1346</v>
      </c>
      <c r="M272" s="3" t="str">
        <f>K272&amp;J272</f>
        <v>AF</v>
      </c>
      <c r="N272" s="3" t="e">
        <f>VLOOKUP(G272,#REF!,2,FALSE)</f>
        <v>#REF!</v>
      </c>
      <c r="O272" s="11">
        <v>45301</v>
      </c>
      <c r="P272" s="13">
        <v>27.1</v>
      </c>
      <c r="Q272" s="13">
        <v>20.5</v>
      </c>
      <c r="R272" s="13">
        <v>16.2</v>
      </c>
      <c r="S272" s="13">
        <f>Table2[[#This Row],[2_Temp_H]]-Table2[[#This Row],[2_Temp_L]]</f>
        <v>10.900000000000002</v>
      </c>
      <c r="T272" s="13">
        <v>24.8</v>
      </c>
      <c r="U272" s="13">
        <v>5</v>
      </c>
      <c r="V272" s="13">
        <v>1008.81</v>
      </c>
      <c r="W272" s="13">
        <v>1006.1</v>
      </c>
      <c r="X272" s="13">
        <v>7.87</v>
      </c>
      <c r="Y272" s="13" t="s">
        <v>148</v>
      </c>
      <c r="Z272" s="16" t="s">
        <v>171</v>
      </c>
      <c r="AA272" s="13" t="s">
        <v>137</v>
      </c>
      <c r="AB272" s="13" t="s">
        <v>143</v>
      </c>
      <c r="AC272" s="13" t="s">
        <v>145</v>
      </c>
      <c r="AD272" s="13" t="s">
        <v>137</v>
      </c>
      <c r="AE272" s="13">
        <f>VLOOKUP(Table2[[#This Row],[3_Elephant_ID]],'[1]Attributes(OUTDATED)'!$A$2:$N$19,12,FALSE)</f>
        <v>474</v>
      </c>
      <c r="AF272" s="13">
        <f>VLOOKUP(Table2[[#This Row],[3_Elephant_ID]],'[1]Attributes(OUTDATED)'!$A$2:$N$19,13,FALSE)</f>
        <v>0.121</v>
      </c>
      <c r="AG272" s="13">
        <f>VLOOKUP(Table2[[#This Row],[3_Elephant_ID]],'[1]Attributes(OUTDATED)'!$A$2:$N$19,14,FALSE)</f>
        <v>0.1206993463154281</v>
      </c>
      <c r="AH272" s="13">
        <v>0</v>
      </c>
      <c r="AI272" s="13">
        <v>0</v>
      </c>
      <c r="AJ272" s="13">
        <v>0</v>
      </c>
      <c r="AK272" s="13">
        <v>0</v>
      </c>
      <c r="AL272" s="13">
        <f>VLOOKUP(Table2[[#This Row],[3_Elephant_ID]],'[1]Attributes(OUTDATED)'!$A$2:$P$19,16,FALSE)</f>
        <v>1</v>
      </c>
      <c r="AM272" s="13">
        <f>VLOOKUP(Table2[[#This Row],[3_Elephant_ID]],'[1]Attributes(OUTDATED)'!$A$2:$S$19,17,FALSE)</f>
        <v>16</v>
      </c>
      <c r="AN272" s="13">
        <f>VLOOKUP(Table2[[#This Row],[3_Elephant_ID]],'[1]Attributes(OUTDATED)'!$A$2:$S$19,18,FALSE)</f>
        <v>1</v>
      </c>
    </row>
    <row r="273" spans="1:40" ht="28" x14ac:dyDescent="0.15">
      <c r="A273" s="3">
        <v>338</v>
      </c>
      <c r="B273" s="6">
        <v>1201241514</v>
      </c>
      <c r="C273" s="7">
        <v>12</v>
      </c>
      <c r="D273" s="7">
        <v>1</v>
      </c>
      <c r="E273" s="7">
        <v>2024</v>
      </c>
      <c r="F273" s="5">
        <v>45303</v>
      </c>
      <c r="G273" s="6" t="s">
        <v>13</v>
      </c>
      <c r="H273" s="17">
        <v>0.43248587570621466</v>
      </c>
      <c r="I273" s="20">
        <f>ROUNDUP((Table2[[#This Row],[fGCM_Conc]]*10000),0)</f>
        <v>4325</v>
      </c>
      <c r="J273" s="3" t="str">
        <f>VLOOKUP(G273,'[1]Attributes(OUTDATED)'!$A$2:$C$19,2,FALSE)</f>
        <v>F</v>
      </c>
      <c r="K273" s="3" t="str">
        <f>VLOOKUP(G273,'[1]Attributes(OUTDATED)'!$A$2:$C$19,3,FALSE)</f>
        <v>A</v>
      </c>
      <c r="L273" s="3">
        <f>VLOOKUP(G273,'[1]Attributes(OUTDATED)'!$A$2:$H$19,8,FALSE)</f>
        <v>963</v>
      </c>
      <c r="M273" s="3" t="str">
        <f>K273&amp;J273</f>
        <v>AF</v>
      </c>
      <c r="N273" s="3" t="e">
        <f>VLOOKUP(G273,#REF!,2,FALSE)</f>
        <v>#REF!</v>
      </c>
      <c r="O273" s="11">
        <v>45301</v>
      </c>
      <c r="P273" s="13">
        <v>27.1</v>
      </c>
      <c r="Q273" s="13">
        <v>20.5</v>
      </c>
      <c r="R273" s="13">
        <v>16.2</v>
      </c>
      <c r="S273" s="13">
        <f>Table2[[#This Row],[2_Temp_H]]-Table2[[#This Row],[2_Temp_L]]</f>
        <v>10.900000000000002</v>
      </c>
      <c r="T273" s="13">
        <v>24.8</v>
      </c>
      <c r="U273" s="13">
        <v>5</v>
      </c>
      <c r="V273" s="13">
        <v>1008.81</v>
      </c>
      <c r="W273" s="13">
        <v>1006.1</v>
      </c>
      <c r="X273" s="13">
        <v>7.87</v>
      </c>
      <c r="Y273" s="13" t="s">
        <v>148</v>
      </c>
      <c r="Z273" s="16" t="s">
        <v>171</v>
      </c>
      <c r="AA273" s="13" t="s">
        <v>137</v>
      </c>
      <c r="AB273" s="13" t="s">
        <v>143</v>
      </c>
      <c r="AC273" s="13" t="s">
        <v>145</v>
      </c>
      <c r="AD273" s="13" t="s">
        <v>137</v>
      </c>
      <c r="AE273" s="13">
        <f>VLOOKUP(Table2[[#This Row],[3_Elephant_ID]],'[1]Attributes(OUTDATED)'!$A$2:$N$19,12,FALSE)</f>
        <v>289</v>
      </c>
      <c r="AF273" s="13">
        <f>VLOOKUP(Table2[[#This Row],[3_Elephant_ID]],'[1]Attributes(OUTDATED)'!$A$2:$N$19,13,FALSE)</f>
        <v>0.32400000000000001</v>
      </c>
      <c r="AG273" s="13">
        <f>VLOOKUP(Table2[[#This Row],[3_Elephant_ID]],'[1]Attributes(OUTDATED)'!$A$2:$N$19,14,FALSE)</f>
        <v>0.32380809109629533</v>
      </c>
      <c r="AH273" s="13">
        <v>0</v>
      </c>
      <c r="AI273" s="13">
        <v>0</v>
      </c>
      <c r="AJ273" s="13">
        <v>0</v>
      </c>
      <c r="AK273" s="13">
        <v>0</v>
      </c>
      <c r="AL273" s="13">
        <f>VLOOKUP(Table2[[#This Row],[3_Elephant_ID]],'[1]Attributes(OUTDATED)'!$A$2:$P$19,16,FALSE)</f>
        <v>2</v>
      </c>
      <c r="AM273" s="13">
        <f>VLOOKUP(Table2[[#This Row],[3_Elephant_ID]],'[1]Attributes(OUTDATED)'!$A$2:$S$19,17,FALSE)</f>
        <v>9</v>
      </c>
      <c r="AN273" s="13">
        <f>VLOOKUP(Table2[[#This Row],[3_Elephant_ID]],'[1]Attributes(OUTDATED)'!$A$2:$S$19,18,FALSE)</f>
        <v>9</v>
      </c>
    </row>
    <row r="274" spans="1:40" ht="28" x14ac:dyDescent="0.15">
      <c r="A274" s="3">
        <v>339</v>
      </c>
      <c r="B274" s="6">
        <v>1201241510</v>
      </c>
      <c r="C274" s="7">
        <v>12</v>
      </c>
      <c r="D274" s="7">
        <v>1</v>
      </c>
      <c r="E274" s="7">
        <v>2024</v>
      </c>
      <c r="F274" s="5">
        <v>45303</v>
      </c>
      <c r="G274" s="6" t="s">
        <v>11</v>
      </c>
      <c r="H274" s="17">
        <v>0.27466292134831455</v>
      </c>
      <c r="I274" s="20">
        <f>ROUNDUP((Table2[[#This Row],[fGCM_Conc]]*10000),0)</f>
        <v>2747</v>
      </c>
      <c r="J274" s="3" t="str">
        <f>VLOOKUP(G274,'[1]Attributes(OUTDATED)'!$A$2:$C$19,2,FALSE)</f>
        <v>M</v>
      </c>
      <c r="K274" s="3" t="str">
        <f>VLOOKUP(G274,'[1]Attributes(OUTDATED)'!$A$2:$C$19,3,FALSE)</f>
        <v>A</v>
      </c>
      <c r="L274" s="3">
        <f>VLOOKUP(G274,'[1]Attributes(OUTDATED)'!$A$2:$H$19,8,FALSE)</f>
        <v>1223</v>
      </c>
      <c r="M274" s="3" t="str">
        <f>K274&amp;J274</f>
        <v>AM</v>
      </c>
      <c r="N274" s="3" t="e">
        <f>VLOOKUP(G274,#REF!,2,FALSE)</f>
        <v>#REF!</v>
      </c>
      <c r="O274" s="11">
        <v>45301</v>
      </c>
      <c r="P274" s="13">
        <v>27.1</v>
      </c>
      <c r="Q274" s="13">
        <v>20.5</v>
      </c>
      <c r="R274" s="13">
        <v>16.2</v>
      </c>
      <c r="S274" s="13">
        <f>Table2[[#This Row],[2_Temp_H]]-Table2[[#This Row],[2_Temp_L]]</f>
        <v>10.900000000000002</v>
      </c>
      <c r="T274" s="13">
        <v>24.8</v>
      </c>
      <c r="U274" s="13">
        <v>5</v>
      </c>
      <c r="V274" s="13">
        <v>1008.81</v>
      </c>
      <c r="W274" s="13">
        <v>1006.1</v>
      </c>
      <c r="X274" s="13">
        <v>7.87</v>
      </c>
      <c r="Y274" s="13" t="s">
        <v>148</v>
      </c>
      <c r="Z274" s="16" t="s">
        <v>171</v>
      </c>
      <c r="AA274" s="13" t="s">
        <v>137</v>
      </c>
      <c r="AB274" s="13" t="s">
        <v>143</v>
      </c>
      <c r="AC274" s="13" t="s">
        <v>145</v>
      </c>
      <c r="AD274" s="13" t="s">
        <v>137</v>
      </c>
      <c r="AE274" s="13">
        <f>VLOOKUP(Table2[[#This Row],[3_Elephant_ID]],'[1]Attributes(OUTDATED)'!$A$2:$N$19,12,FALSE)</f>
        <v>404</v>
      </c>
      <c r="AF274" s="13">
        <f>VLOOKUP(Table2[[#This Row],[3_Elephant_ID]],'[1]Attributes(OUTDATED)'!$A$2:$N$19,13,FALSE)</f>
        <v>0.91700000000000004</v>
      </c>
      <c r="AG274" s="13">
        <f>VLOOKUP(Table2[[#This Row],[3_Elephant_ID]],'[1]Attributes(OUTDATED)'!$A$2:$N$19,14,FALSE)</f>
        <v>0.91664628583929353</v>
      </c>
      <c r="AH274" s="13">
        <v>0</v>
      </c>
      <c r="AI274" s="13">
        <v>0</v>
      </c>
      <c r="AJ274" s="13">
        <v>0</v>
      </c>
      <c r="AK274" s="13">
        <v>0</v>
      </c>
      <c r="AL274" s="13">
        <f>VLOOKUP(Table2[[#This Row],[3_Elephant_ID]],'[1]Attributes(OUTDATED)'!$A$2:$P$19,16,FALSE)</f>
        <v>1</v>
      </c>
      <c r="AM274" s="13">
        <f>VLOOKUP(Table2[[#This Row],[3_Elephant_ID]],'[1]Attributes(OUTDATED)'!$A$2:$S$19,17,FALSE)</f>
        <v>14</v>
      </c>
      <c r="AN274" s="13">
        <f>VLOOKUP(Table2[[#This Row],[3_Elephant_ID]],'[1]Attributes(OUTDATED)'!$A$2:$S$19,18,FALSE)</f>
        <v>17</v>
      </c>
    </row>
    <row r="275" spans="1:40" ht="28" x14ac:dyDescent="0.15">
      <c r="A275" s="3">
        <v>341</v>
      </c>
      <c r="B275" s="6">
        <v>1201241019</v>
      </c>
      <c r="C275" s="7">
        <v>12</v>
      </c>
      <c r="D275" s="7">
        <v>1</v>
      </c>
      <c r="E275" s="7">
        <v>2024</v>
      </c>
      <c r="F275" s="5">
        <v>45303</v>
      </c>
      <c r="G275" s="6" t="s">
        <v>14</v>
      </c>
      <c r="H275" s="17">
        <v>0.26624288425047443</v>
      </c>
      <c r="I275" s="20">
        <f>ROUNDUP((Table2[[#This Row],[fGCM_Conc]]*10000),0)</f>
        <v>2663</v>
      </c>
      <c r="J275" s="3" t="str">
        <f>VLOOKUP(G275,'[1]Attributes(OUTDATED)'!$A$2:$C$19,2,FALSE)</f>
        <v>F</v>
      </c>
      <c r="K275" s="3" t="str">
        <f>VLOOKUP(G275,'[1]Attributes(OUTDATED)'!$A$2:$C$19,3,FALSE)</f>
        <v>J</v>
      </c>
      <c r="L275" s="3">
        <f>VLOOKUP(G275,'[1]Attributes(OUTDATED)'!$A$2:$H$19,8,FALSE)</f>
        <v>879</v>
      </c>
      <c r="M275" s="3" t="str">
        <f>K275&amp;J275</f>
        <v>JF</v>
      </c>
      <c r="N275" s="3" t="e">
        <f>VLOOKUP(G275,#REF!,2,FALSE)</f>
        <v>#REF!</v>
      </c>
      <c r="O275" s="11">
        <v>45301</v>
      </c>
      <c r="P275" s="13">
        <v>27.1</v>
      </c>
      <c r="Q275" s="13">
        <v>20.5</v>
      </c>
      <c r="R275" s="13">
        <v>16.2</v>
      </c>
      <c r="S275" s="13">
        <f>Table2[[#This Row],[2_Temp_H]]-Table2[[#This Row],[2_Temp_L]]</f>
        <v>10.900000000000002</v>
      </c>
      <c r="T275" s="13">
        <v>24.8</v>
      </c>
      <c r="U275" s="13">
        <v>5</v>
      </c>
      <c r="V275" s="13">
        <v>1008.81</v>
      </c>
      <c r="W275" s="13">
        <v>1006.1</v>
      </c>
      <c r="X275" s="13">
        <v>7.87</v>
      </c>
      <c r="Y275" s="13" t="s">
        <v>148</v>
      </c>
      <c r="Z275" s="16" t="s">
        <v>171</v>
      </c>
      <c r="AA275" s="13" t="s">
        <v>137</v>
      </c>
      <c r="AB275" s="13" t="s">
        <v>143</v>
      </c>
      <c r="AC275" s="13" t="s">
        <v>145</v>
      </c>
      <c r="AD275" s="13" t="s">
        <v>137</v>
      </c>
      <c r="AE275" s="13">
        <f>VLOOKUP(Table2[[#This Row],[3_Elephant_ID]],'[1]Attributes(OUTDATED)'!$A$2:$N$19,12,FALSE)</f>
        <v>269</v>
      </c>
      <c r="AF275" s="13">
        <f>VLOOKUP(Table2[[#This Row],[3_Elephant_ID]],'[1]Attributes(OUTDATED)'!$A$2:$N$19,13,FALSE)</f>
        <v>0.65800000000000003</v>
      </c>
      <c r="AG275" s="13">
        <f>VLOOKUP(Table2[[#This Row],[3_Elephant_ID]],'[1]Attributes(OUTDATED)'!$A$2:$N$19,14,FALSE)</f>
        <v>0.65767064449315993</v>
      </c>
      <c r="AH275" s="13">
        <v>0</v>
      </c>
      <c r="AI275" s="13">
        <v>0</v>
      </c>
      <c r="AJ275" s="13">
        <v>0</v>
      </c>
      <c r="AK275" s="13">
        <v>0</v>
      </c>
      <c r="AL275" s="13">
        <f>VLOOKUP(Table2[[#This Row],[3_Elephant_ID]],'[1]Attributes(OUTDATED)'!$A$2:$P$19,16,FALSE)</f>
        <v>1</v>
      </c>
      <c r="AM275" s="13">
        <f>VLOOKUP(Table2[[#This Row],[3_Elephant_ID]],'[1]Attributes(OUTDATED)'!$A$2:$S$19,17,FALSE)</f>
        <v>3</v>
      </c>
      <c r="AN275" s="13">
        <f>VLOOKUP(Table2[[#This Row],[3_Elephant_ID]],'[1]Attributes(OUTDATED)'!$A$2:$S$19,18,FALSE)</f>
        <v>9</v>
      </c>
    </row>
    <row r="276" spans="1:40" ht="28" x14ac:dyDescent="0.15">
      <c r="A276" s="3">
        <v>337</v>
      </c>
      <c r="B276" s="6">
        <v>1201241523</v>
      </c>
      <c r="C276" s="7">
        <v>12</v>
      </c>
      <c r="D276" s="7">
        <v>1</v>
      </c>
      <c r="E276" s="7">
        <v>2024</v>
      </c>
      <c r="F276" s="5">
        <v>45303</v>
      </c>
      <c r="G276" s="6" t="s">
        <v>7</v>
      </c>
      <c r="H276" s="17">
        <v>0.11824497257769655</v>
      </c>
      <c r="I276" s="20">
        <f>ROUNDUP((Table2[[#This Row],[fGCM_Conc]]*10000),0)</f>
        <v>1183</v>
      </c>
      <c r="J276" s="3" t="str">
        <f>VLOOKUP(G276,'[1]Attributes(OUTDATED)'!$A$2:$C$19,2,FALSE)</f>
        <v>F</v>
      </c>
      <c r="K276" s="3" t="str">
        <f>VLOOKUP(G276,'[1]Attributes(OUTDATED)'!$A$2:$C$19,3,FALSE)</f>
        <v>J</v>
      </c>
      <c r="L276" s="3">
        <f>VLOOKUP(G276,'[1]Attributes(OUTDATED)'!$A$2:$H$19,8,FALSE)</f>
        <v>711</v>
      </c>
      <c r="M276" s="3" t="str">
        <f>K276&amp;J276</f>
        <v>JF</v>
      </c>
      <c r="N276" s="3" t="e">
        <f>VLOOKUP(G276,#REF!,2,FALSE)</f>
        <v>#REF!</v>
      </c>
      <c r="O276" s="11">
        <v>45301</v>
      </c>
      <c r="P276" s="13">
        <v>27.1</v>
      </c>
      <c r="Q276" s="13">
        <v>20.5</v>
      </c>
      <c r="R276" s="13">
        <v>16.2</v>
      </c>
      <c r="S276" s="13">
        <f>Table2[[#This Row],[2_Temp_H]]-Table2[[#This Row],[2_Temp_L]]</f>
        <v>10.900000000000002</v>
      </c>
      <c r="T276" s="13">
        <v>24.8</v>
      </c>
      <c r="U276" s="13">
        <v>5</v>
      </c>
      <c r="V276" s="13">
        <v>1008.81</v>
      </c>
      <c r="W276" s="13">
        <v>1006.1</v>
      </c>
      <c r="X276" s="13">
        <v>7.87</v>
      </c>
      <c r="Y276" s="13" t="s">
        <v>148</v>
      </c>
      <c r="Z276" s="16" t="s">
        <v>171</v>
      </c>
      <c r="AA276" s="13" t="s">
        <v>137</v>
      </c>
      <c r="AB276" s="13" t="s">
        <v>143</v>
      </c>
      <c r="AC276" s="13" t="s">
        <v>145</v>
      </c>
      <c r="AD276" s="13" t="s">
        <v>137</v>
      </c>
      <c r="AE276" s="13">
        <f>VLOOKUP(Table2[[#This Row],[3_Elephant_ID]],'[1]Attributes(OUTDATED)'!$A$2:$N$19,12,FALSE)</f>
        <v>398</v>
      </c>
      <c r="AF276" s="13">
        <f>VLOOKUP(Table2[[#This Row],[3_Elephant_ID]],'[1]Attributes(OUTDATED)'!$A$2:$N$19,13,FALSE)</f>
        <v>0.47899999999999998</v>
      </c>
      <c r="AG276" s="13">
        <f>VLOOKUP(Table2[[#This Row],[3_Elephant_ID]],'[1]Attributes(OUTDATED)'!$A$2:$N$19,14,FALSE)</f>
        <v>0.47820662037086947</v>
      </c>
      <c r="AH276" s="13">
        <v>0</v>
      </c>
      <c r="AI276" s="13">
        <v>0</v>
      </c>
      <c r="AJ276" s="13">
        <v>0</v>
      </c>
      <c r="AK276" s="13">
        <v>0</v>
      </c>
      <c r="AL276" s="13">
        <f>VLOOKUP(Table2[[#This Row],[3_Elephant_ID]],'[1]Attributes(OUTDATED)'!$A$2:$P$19,16,FALSE)</f>
        <v>1</v>
      </c>
      <c r="AM276" s="13">
        <f>VLOOKUP(Table2[[#This Row],[3_Elephant_ID]],'[1]Attributes(OUTDATED)'!$A$2:$S$19,17,FALSE)</f>
        <v>0</v>
      </c>
      <c r="AN276" s="13">
        <f>VLOOKUP(Table2[[#This Row],[3_Elephant_ID]],'[1]Attributes(OUTDATED)'!$A$2:$S$19,18,FALSE)</f>
        <v>12</v>
      </c>
    </row>
    <row r="277" spans="1:40" ht="28" x14ac:dyDescent="0.15">
      <c r="A277" s="3">
        <v>335</v>
      </c>
      <c r="B277" s="6">
        <v>1501241131</v>
      </c>
      <c r="C277" s="7">
        <v>15</v>
      </c>
      <c r="D277" s="7">
        <v>1</v>
      </c>
      <c r="E277" s="7">
        <v>2024</v>
      </c>
      <c r="F277" s="5">
        <v>45306</v>
      </c>
      <c r="G277" s="6" t="s">
        <v>12</v>
      </c>
      <c r="H277" s="17">
        <v>0.43600746268656726</v>
      </c>
      <c r="I277" s="20">
        <f>ROUNDUP((Table2[[#This Row],[fGCM_Conc]]*10000),0)</f>
        <v>4361</v>
      </c>
      <c r="J277" s="3" t="str">
        <f>VLOOKUP(G277,'[1]Attributes(OUTDATED)'!$A$2:$C$19,2,FALSE)</f>
        <v>M</v>
      </c>
      <c r="K277" s="3" t="str">
        <f>VLOOKUP(G277,'[1]Attributes(OUTDATED)'!$A$2:$C$19,3,FALSE)</f>
        <v>A</v>
      </c>
      <c r="L277" s="3">
        <f>VLOOKUP(G277,'[1]Attributes(OUTDATED)'!$A$2:$H$19,8,FALSE)</f>
        <v>1509</v>
      </c>
      <c r="M277" s="3" t="str">
        <f>K277&amp;J277</f>
        <v>AM</v>
      </c>
      <c r="N277" s="3" t="e">
        <f>VLOOKUP(G277,#REF!,2,FALSE)</f>
        <v>#REF!</v>
      </c>
      <c r="O277" s="11">
        <v>45304</v>
      </c>
      <c r="P277" s="13">
        <v>32.299999999999997</v>
      </c>
      <c r="Q277" s="13">
        <v>23.6</v>
      </c>
      <c r="R277" s="13">
        <v>18</v>
      </c>
      <c r="S277" s="13">
        <f>Table2[[#This Row],[2_Temp_H]]-Table2[[#This Row],[2_Temp_L]]</f>
        <v>14.299999999999997</v>
      </c>
      <c r="T277" s="13">
        <v>26.2</v>
      </c>
      <c r="U277" s="13">
        <v>5.8</v>
      </c>
      <c r="V277" s="13">
        <v>1009.82</v>
      </c>
      <c r="W277" s="13">
        <v>1006.1</v>
      </c>
      <c r="X277" s="13">
        <v>0</v>
      </c>
      <c r="Y277" s="13" t="s">
        <v>148</v>
      </c>
      <c r="Z277" s="16" t="s">
        <v>171</v>
      </c>
      <c r="AA277" s="13" t="s">
        <v>137</v>
      </c>
      <c r="AB277" s="13" t="s">
        <v>143</v>
      </c>
      <c r="AC277" s="13" t="s">
        <v>145</v>
      </c>
      <c r="AD277" s="13" t="s">
        <v>137</v>
      </c>
      <c r="AE277" s="13">
        <f>VLOOKUP(Table2[[#This Row],[3_Elephant_ID]],'[1]Attributes(OUTDATED)'!$A$2:$N$19,12,FALSE)</f>
        <v>450</v>
      </c>
      <c r="AF277" s="13">
        <f>VLOOKUP(Table2[[#This Row],[3_Elephant_ID]],'[1]Attributes(OUTDATED)'!$A$2:$N$19,13,FALSE)</f>
        <v>0.375</v>
      </c>
      <c r="AG277" s="13">
        <f>VLOOKUP(Table2[[#This Row],[3_Elephant_ID]],'[1]Attributes(OUTDATED)'!$A$2:$N$19,14,FALSE)</f>
        <v>0.37414375430996583</v>
      </c>
      <c r="AH277" s="13">
        <v>0</v>
      </c>
      <c r="AI277" s="13">
        <v>0</v>
      </c>
      <c r="AJ277" s="13">
        <v>0</v>
      </c>
      <c r="AK277" s="13">
        <v>0</v>
      </c>
      <c r="AL277" s="13">
        <f>VLOOKUP(Table2[[#This Row],[3_Elephant_ID]],'[1]Attributes(OUTDATED)'!$A$2:$P$19,16,FALSE)</f>
        <v>1</v>
      </c>
      <c r="AM277" s="13">
        <f>VLOOKUP(Table2[[#This Row],[3_Elephant_ID]],'[1]Attributes(OUTDATED)'!$A$2:$S$19,17,FALSE)</f>
        <v>48</v>
      </c>
      <c r="AN277" s="13">
        <f>VLOOKUP(Table2[[#This Row],[3_Elephant_ID]],'[1]Attributes(OUTDATED)'!$A$2:$S$19,18,FALSE)</f>
        <v>3</v>
      </c>
    </row>
    <row r="278" spans="1:40" ht="28" x14ac:dyDescent="0.15">
      <c r="A278" s="3">
        <v>336</v>
      </c>
      <c r="B278" s="6">
        <v>1501241127</v>
      </c>
      <c r="C278" s="7">
        <v>15</v>
      </c>
      <c r="D278" s="7">
        <v>1</v>
      </c>
      <c r="E278" s="7">
        <v>2024</v>
      </c>
      <c r="F278" s="5">
        <v>45306</v>
      </c>
      <c r="G278" s="6" t="s">
        <v>4</v>
      </c>
      <c r="H278" s="17">
        <v>0.42598870056497184</v>
      </c>
      <c r="I278" s="20">
        <f>ROUNDUP((Table2[[#This Row],[fGCM_Conc]]*10000),0)</f>
        <v>4260</v>
      </c>
      <c r="J278" s="3" t="str">
        <f>VLOOKUP(G278,'[1]Attributes(OUTDATED)'!$A$2:$C$19,2,FALSE)</f>
        <v>M</v>
      </c>
      <c r="K278" s="3" t="str">
        <f>VLOOKUP(G278,'[1]Attributes(OUTDATED)'!$A$2:$C$19,3,FALSE)</f>
        <v>J</v>
      </c>
      <c r="L278" s="3">
        <f>VLOOKUP(G278,'[1]Attributes(OUTDATED)'!$A$2:$H$19,8,FALSE)</f>
        <v>1055</v>
      </c>
      <c r="M278" s="3" t="str">
        <f>K278&amp;J278</f>
        <v>JM</v>
      </c>
      <c r="N278" s="3" t="e">
        <f>VLOOKUP(G278,#REF!,2,FALSE)</f>
        <v>#REF!</v>
      </c>
      <c r="O278" s="11">
        <v>45304</v>
      </c>
      <c r="P278" s="13">
        <v>32.299999999999997</v>
      </c>
      <c r="Q278" s="13">
        <v>23.6</v>
      </c>
      <c r="R278" s="13">
        <v>18</v>
      </c>
      <c r="S278" s="13">
        <f>Table2[[#This Row],[2_Temp_H]]-Table2[[#This Row],[2_Temp_L]]</f>
        <v>14.299999999999997</v>
      </c>
      <c r="T278" s="13">
        <v>26.2</v>
      </c>
      <c r="U278" s="13">
        <v>5.8</v>
      </c>
      <c r="V278" s="13">
        <v>1009.82</v>
      </c>
      <c r="W278" s="13">
        <v>1006.1</v>
      </c>
      <c r="X278" s="13">
        <v>0</v>
      </c>
      <c r="Y278" s="13" t="s">
        <v>148</v>
      </c>
      <c r="Z278" s="16" t="s">
        <v>171</v>
      </c>
      <c r="AA278" s="13" t="s">
        <v>137</v>
      </c>
      <c r="AB278" s="13" t="s">
        <v>143</v>
      </c>
      <c r="AC278" s="13" t="s">
        <v>145</v>
      </c>
      <c r="AD278" s="13" t="s">
        <v>137</v>
      </c>
      <c r="AE278" s="13">
        <f>VLOOKUP(Table2[[#This Row],[3_Elephant_ID]],'[1]Attributes(OUTDATED)'!$A$2:$N$19,12,FALSE)</f>
        <v>181</v>
      </c>
      <c r="AF278" s="13">
        <f>VLOOKUP(Table2[[#This Row],[3_Elephant_ID]],'[1]Attributes(OUTDATED)'!$A$2:$N$19,13,FALSE)</f>
        <v>7.3999999999999996E-2</v>
      </c>
      <c r="AG278" s="13">
        <f>VLOOKUP(Table2[[#This Row],[3_Elephant_ID]],'[1]Attributes(OUTDATED)'!$A$2:$N$19,14,FALSE)</f>
        <v>7.3914663535330896E-2</v>
      </c>
      <c r="AH278" s="13">
        <v>0</v>
      </c>
      <c r="AI278" s="13">
        <v>0</v>
      </c>
      <c r="AJ278" s="13">
        <v>0</v>
      </c>
      <c r="AK278" s="13">
        <v>0</v>
      </c>
      <c r="AL278" s="13">
        <f>VLOOKUP(Table2[[#This Row],[3_Elephant_ID]],'[1]Attributes(OUTDATED)'!$A$2:$P$19,16,FALSE)</f>
        <v>1</v>
      </c>
      <c r="AM278" s="13">
        <f>VLOOKUP(Table2[[#This Row],[3_Elephant_ID]],'[1]Attributes(OUTDATED)'!$A$2:$S$19,17,FALSE)</f>
        <v>7</v>
      </c>
      <c r="AN278" s="13">
        <f>VLOOKUP(Table2[[#This Row],[3_Elephant_ID]],'[1]Attributes(OUTDATED)'!$A$2:$S$19,18,FALSE)</f>
        <v>9</v>
      </c>
    </row>
    <row r="279" spans="1:40" ht="28" x14ac:dyDescent="0.15">
      <c r="A279" s="3">
        <v>332</v>
      </c>
      <c r="B279" s="6">
        <v>1601241030</v>
      </c>
      <c r="C279" s="7">
        <v>16</v>
      </c>
      <c r="D279" s="7">
        <v>1</v>
      </c>
      <c r="E279" s="7">
        <v>2024</v>
      </c>
      <c r="F279" s="5">
        <v>45307</v>
      </c>
      <c r="G279" s="6" t="s">
        <v>6</v>
      </c>
      <c r="H279" s="17">
        <v>0.44588345864661655</v>
      </c>
      <c r="I279" s="20">
        <f>ROUNDUP((Table2[[#This Row],[fGCM_Conc]]*10000),0)</f>
        <v>4459</v>
      </c>
      <c r="J279" s="3" t="str">
        <f>VLOOKUP(G279,'[1]Attributes(OUTDATED)'!$A$2:$C$19,2,FALSE)</f>
        <v>F</v>
      </c>
      <c r="K279" s="3" t="str">
        <f>VLOOKUP(G279,'[1]Attributes(OUTDATED)'!$A$2:$C$19,3,FALSE)</f>
        <v>A</v>
      </c>
      <c r="L279" s="3">
        <f>VLOOKUP(G279,'[1]Attributes(OUTDATED)'!$A$2:$H$19,8,FALSE)</f>
        <v>1168</v>
      </c>
      <c r="M279" s="3" t="str">
        <f>K279&amp;J279</f>
        <v>AF</v>
      </c>
      <c r="N279" s="3" t="e">
        <f>VLOOKUP(G279,#REF!,2,FALSE)</f>
        <v>#REF!</v>
      </c>
      <c r="O279" s="11">
        <v>45305</v>
      </c>
      <c r="P279" s="13">
        <v>30.1</v>
      </c>
      <c r="Q279" s="13">
        <v>23.1</v>
      </c>
      <c r="R279" s="13">
        <v>17.100000000000001</v>
      </c>
      <c r="S279" s="13">
        <f>Table2[[#This Row],[2_Temp_H]]-Table2[[#This Row],[2_Temp_L]]</f>
        <v>13</v>
      </c>
      <c r="T279" s="13">
        <v>21.9</v>
      </c>
      <c r="U279" s="13">
        <v>5.0999999999999996</v>
      </c>
      <c r="V279" s="13">
        <v>1008.81</v>
      </c>
      <c r="W279" s="13">
        <v>1005.08</v>
      </c>
      <c r="X279" s="13">
        <v>0</v>
      </c>
      <c r="Y279" s="13" t="s">
        <v>148</v>
      </c>
      <c r="Z279" s="16" t="s">
        <v>171</v>
      </c>
      <c r="AA279" s="13" t="s">
        <v>137</v>
      </c>
      <c r="AB279" s="13" t="s">
        <v>143</v>
      </c>
      <c r="AC279" s="13" t="s">
        <v>145</v>
      </c>
      <c r="AD279" s="13" t="s">
        <v>137</v>
      </c>
      <c r="AE279" s="13">
        <f>VLOOKUP(Table2[[#This Row],[3_Elephant_ID]],'[1]Attributes(OUTDATED)'!$A$2:$N$19,12,FALSE)</f>
        <v>286</v>
      </c>
      <c r="AF279" s="13">
        <f>VLOOKUP(Table2[[#This Row],[3_Elephant_ID]],'[1]Attributes(OUTDATED)'!$A$2:$N$19,13,FALSE)</f>
        <v>0.26800000000000002</v>
      </c>
      <c r="AG279" s="13">
        <f>VLOOKUP(Table2[[#This Row],[3_Elephant_ID]],'[1]Attributes(OUTDATED)'!$A$2:$N$19,14,FALSE)</f>
        <v>0.26721028245328138</v>
      </c>
      <c r="AH279" s="13">
        <v>0</v>
      </c>
      <c r="AI279" s="13">
        <v>0</v>
      </c>
      <c r="AJ279" s="13">
        <v>0</v>
      </c>
      <c r="AK279" s="13">
        <v>0</v>
      </c>
      <c r="AL279" s="13">
        <f>VLOOKUP(Table2[[#This Row],[3_Elephant_ID]],'[1]Attributes(OUTDATED)'!$A$2:$P$19,16,FALSE)</f>
        <v>2</v>
      </c>
      <c r="AM279" s="13">
        <f>VLOOKUP(Table2[[#This Row],[3_Elephant_ID]],'[1]Attributes(OUTDATED)'!$A$2:$S$19,17,FALSE)</f>
        <v>12</v>
      </c>
      <c r="AN279" s="13">
        <f>VLOOKUP(Table2[[#This Row],[3_Elephant_ID]],'[1]Attributes(OUTDATED)'!$A$2:$S$19,18,FALSE)</f>
        <v>5</v>
      </c>
    </row>
    <row r="280" spans="1:40" ht="28" x14ac:dyDescent="0.15">
      <c r="A280" s="3">
        <v>333</v>
      </c>
      <c r="B280" s="6">
        <v>1601241054</v>
      </c>
      <c r="C280" s="7">
        <v>16</v>
      </c>
      <c r="D280" s="7">
        <v>1</v>
      </c>
      <c r="E280" s="7">
        <v>2024</v>
      </c>
      <c r="F280" s="5">
        <v>45307</v>
      </c>
      <c r="G280" s="6" t="s">
        <v>4</v>
      </c>
      <c r="H280" s="17">
        <v>0.4221869158878504</v>
      </c>
      <c r="I280" s="20">
        <f>ROUNDUP((Table2[[#This Row],[fGCM_Conc]]*10000),0)</f>
        <v>4222</v>
      </c>
      <c r="J280" s="3" t="str">
        <f>VLOOKUP(G280,'[1]Attributes(OUTDATED)'!$A$2:$C$19,2,FALSE)</f>
        <v>M</v>
      </c>
      <c r="K280" s="3" t="str">
        <f>VLOOKUP(G280,'[1]Attributes(OUTDATED)'!$A$2:$C$19,3,FALSE)</f>
        <v>J</v>
      </c>
      <c r="L280" s="3">
        <f>VLOOKUP(G280,'[1]Attributes(OUTDATED)'!$A$2:$H$19,8,FALSE)</f>
        <v>1055</v>
      </c>
      <c r="M280" s="3" t="str">
        <f>K280&amp;J280</f>
        <v>JM</v>
      </c>
      <c r="N280" s="3" t="e">
        <f>VLOOKUP(G280,#REF!,2,FALSE)</f>
        <v>#REF!</v>
      </c>
      <c r="O280" s="11">
        <v>45305</v>
      </c>
      <c r="P280" s="13">
        <v>30.1</v>
      </c>
      <c r="Q280" s="13">
        <v>23.1</v>
      </c>
      <c r="R280" s="13">
        <v>17.100000000000001</v>
      </c>
      <c r="S280" s="13">
        <f>Table2[[#This Row],[2_Temp_H]]-Table2[[#This Row],[2_Temp_L]]</f>
        <v>13</v>
      </c>
      <c r="T280" s="13">
        <v>21.9</v>
      </c>
      <c r="U280" s="13">
        <v>5.0999999999999996</v>
      </c>
      <c r="V280" s="13">
        <v>1008.81</v>
      </c>
      <c r="W280" s="13">
        <v>1005.08</v>
      </c>
      <c r="X280" s="13">
        <v>0</v>
      </c>
      <c r="Y280" s="13" t="s">
        <v>148</v>
      </c>
      <c r="Z280" s="16" t="s">
        <v>171</v>
      </c>
      <c r="AA280" s="13" t="s">
        <v>137</v>
      </c>
      <c r="AB280" s="13" t="s">
        <v>143</v>
      </c>
      <c r="AC280" s="13" t="s">
        <v>145</v>
      </c>
      <c r="AD280" s="13" t="s">
        <v>137</v>
      </c>
      <c r="AE280" s="13">
        <f>VLOOKUP(Table2[[#This Row],[3_Elephant_ID]],'[1]Attributes(OUTDATED)'!$A$2:$N$19,12,FALSE)</f>
        <v>181</v>
      </c>
      <c r="AF280" s="13">
        <f>VLOOKUP(Table2[[#This Row],[3_Elephant_ID]],'[1]Attributes(OUTDATED)'!$A$2:$N$19,13,FALSE)</f>
        <v>7.3999999999999996E-2</v>
      </c>
      <c r="AG280" s="13">
        <f>VLOOKUP(Table2[[#This Row],[3_Elephant_ID]],'[1]Attributes(OUTDATED)'!$A$2:$N$19,14,FALSE)</f>
        <v>7.3914663535330896E-2</v>
      </c>
      <c r="AH280" s="13">
        <v>0</v>
      </c>
      <c r="AI280" s="13">
        <v>0</v>
      </c>
      <c r="AJ280" s="13">
        <v>0</v>
      </c>
      <c r="AK280" s="13">
        <v>0</v>
      </c>
      <c r="AL280" s="13">
        <f>VLOOKUP(Table2[[#This Row],[3_Elephant_ID]],'[1]Attributes(OUTDATED)'!$A$2:$P$19,16,FALSE)</f>
        <v>1</v>
      </c>
      <c r="AM280" s="13">
        <f>VLOOKUP(Table2[[#This Row],[3_Elephant_ID]],'[1]Attributes(OUTDATED)'!$A$2:$S$19,17,FALSE)</f>
        <v>7</v>
      </c>
      <c r="AN280" s="13">
        <f>VLOOKUP(Table2[[#This Row],[3_Elephant_ID]],'[1]Attributes(OUTDATED)'!$A$2:$S$19,18,FALSE)</f>
        <v>9</v>
      </c>
    </row>
    <row r="281" spans="1:40" ht="28" x14ac:dyDescent="0.15">
      <c r="A281" s="3">
        <v>330</v>
      </c>
      <c r="B281" s="6">
        <v>1601241028</v>
      </c>
      <c r="C281" s="7">
        <v>16</v>
      </c>
      <c r="D281" s="7">
        <v>1</v>
      </c>
      <c r="E281" s="7">
        <v>2024</v>
      </c>
      <c r="F281" s="5">
        <v>45307</v>
      </c>
      <c r="G281" s="6" t="s">
        <v>8</v>
      </c>
      <c r="H281" s="17">
        <v>0.36754318618042225</v>
      </c>
      <c r="I281" s="20">
        <f>ROUNDUP((Table2[[#This Row],[fGCM_Conc]]*10000),0)</f>
        <v>3676</v>
      </c>
      <c r="J281" s="3" t="str">
        <f>VLOOKUP(G281,'[1]Attributes(OUTDATED)'!$A$2:$C$19,2,FALSE)</f>
        <v>F</v>
      </c>
      <c r="K281" s="3" t="str">
        <f>VLOOKUP(G281,'[1]Attributes(OUTDATED)'!$A$2:$C$19,3,FALSE)</f>
        <v>A</v>
      </c>
      <c r="L281" s="3">
        <f>VLOOKUP(G281,'[1]Attributes(OUTDATED)'!$A$2:$H$19,8,FALSE)</f>
        <v>1096</v>
      </c>
      <c r="M281" s="3" t="str">
        <f>K281&amp;J281</f>
        <v>AF</v>
      </c>
      <c r="N281" s="3" t="e">
        <f>VLOOKUP(G281,#REF!,2,FALSE)</f>
        <v>#REF!</v>
      </c>
      <c r="O281" s="11">
        <v>45305</v>
      </c>
      <c r="P281" s="13">
        <v>30.1</v>
      </c>
      <c r="Q281" s="13">
        <v>23.1</v>
      </c>
      <c r="R281" s="13">
        <v>17.100000000000001</v>
      </c>
      <c r="S281" s="13">
        <f>Table2[[#This Row],[2_Temp_H]]-Table2[[#This Row],[2_Temp_L]]</f>
        <v>13</v>
      </c>
      <c r="T281" s="13">
        <v>21.9</v>
      </c>
      <c r="U281" s="13">
        <v>5.0999999999999996</v>
      </c>
      <c r="V281" s="13">
        <v>1008.81</v>
      </c>
      <c r="W281" s="13">
        <v>1005.08</v>
      </c>
      <c r="X281" s="13">
        <v>0</v>
      </c>
      <c r="Y281" s="13" t="s">
        <v>148</v>
      </c>
      <c r="Z281" s="16" t="s">
        <v>171</v>
      </c>
      <c r="AA281" s="13" t="s">
        <v>137</v>
      </c>
      <c r="AB281" s="13" t="s">
        <v>143</v>
      </c>
      <c r="AC281" s="13" t="s">
        <v>145</v>
      </c>
      <c r="AD281" s="13" t="s">
        <v>137</v>
      </c>
      <c r="AE281" s="13">
        <f>VLOOKUP(Table2[[#This Row],[3_Elephant_ID]],'[1]Attributes(OUTDATED)'!$A$2:$N$19,12,FALSE)</f>
        <v>346</v>
      </c>
      <c r="AF281" s="13">
        <f>VLOOKUP(Table2[[#This Row],[3_Elephant_ID]],'[1]Attributes(OUTDATED)'!$A$2:$N$19,13,FALSE)</f>
        <v>0.28999999999999998</v>
      </c>
      <c r="AG281" s="13">
        <f>VLOOKUP(Table2[[#This Row],[3_Elephant_ID]],'[1]Attributes(OUTDATED)'!$A$2:$N$19,14,FALSE)</f>
        <v>0.28929989906834258</v>
      </c>
      <c r="AH281" s="13">
        <v>0</v>
      </c>
      <c r="AI281" s="13">
        <v>0</v>
      </c>
      <c r="AJ281" s="13">
        <v>0</v>
      </c>
      <c r="AK281" s="13">
        <v>0</v>
      </c>
      <c r="AL281" s="13">
        <f>VLOOKUP(Table2[[#This Row],[3_Elephant_ID]],'[1]Attributes(OUTDATED)'!$A$2:$P$19,16,FALSE)</f>
        <v>1</v>
      </c>
      <c r="AM281" s="13">
        <f>VLOOKUP(Table2[[#This Row],[3_Elephant_ID]],'[1]Attributes(OUTDATED)'!$A$2:$S$19,17,FALSE)</f>
        <v>11</v>
      </c>
      <c r="AN281" s="13">
        <f>VLOOKUP(Table2[[#This Row],[3_Elephant_ID]],'[1]Attributes(OUTDATED)'!$A$2:$S$19,18,FALSE)</f>
        <v>7</v>
      </c>
    </row>
    <row r="282" spans="1:40" ht="28" x14ac:dyDescent="0.15">
      <c r="A282" s="3">
        <v>329</v>
      </c>
      <c r="B282" s="6">
        <v>1601241117</v>
      </c>
      <c r="C282" s="7">
        <v>16</v>
      </c>
      <c r="D282" s="7">
        <v>1</v>
      </c>
      <c r="E282" s="7">
        <v>2024</v>
      </c>
      <c r="F282" s="5">
        <v>45307</v>
      </c>
      <c r="G282" s="6" t="s">
        <v>11</v>
      </c>
      <c r="H282" s="17">
        <v>0.31695906432748538</v>
      </c>
      <c r="I282" s="20">
        <f>ROUNDUP((Table2[[#This Row],[fGCM_Conc]]*10000),0)</f>
        <v>3170</v>
      </c>
      <c r="J282" s="3" t="str">
        <f>VLOOKUP(G282,'[1]Attributes(OUTDATED)'!$A$2:$C$19,2,FALSE)</f>
        <v>M</v>
      </c>
      <c r="K282" s="3" t="str">
        <f>VLOOKUP(G282,'[1]Attributes(OUTDATED)'!$A$2:$C$19,3,FALSE)</f>
        <v>A</v>
      </c>
      <c r="L282" s="3">
        <f>VLOOKUP(G282,'[1]Attributes(OUTDATED)'!$A$2:$H$19,8,FALSE)</f>
        <v>1223</v>
      </c>
      <c r="M282" s="3" t="str">
        <f>K282&amp;J282</f>
        <v>AM</v>
      </c>
      <c r="N282" s="3" t="e">
        <f>VLOOKUP(G282,#REF!,2,FALSE)</f>
        <v>#REF!</v>
      </c>
      <c r="O282" s="11">
        <v>45305</v>
      </c>
      <c r="P282" s="13">
        <v>30.1</v>
      </c>
      <c r="Q282" s="13">
        <v>23.1</v>
      </c>
      <c r="R282" s="13">
        <v>17.100000000000001</v>
      </c>
      <c r="S282" s="13">
        <f>Table2[[#This Row],[2_Temp_H]]-Table2[[#This Row],[2_Temp_L]]</f>
        <v>13</v>
      </c>
      <c r="T282" s="13">
        <v>21.9</v>
      </c>
      <c r="U282" s="13">
        <v>5.0999999999999996</v>
      </c>
      <c r="V282" s="13">
        <v>1008.81</v>
      </c>
      <c r="W282" s="13">
        <v>1005.08</v>
      </c>
      <c r="X282" s="13">
        <v>0</v>
      </c>
      <c r="Y282" s="13" t="s">
        <v>148</v>
      </c>
      <c r="Z282" s="16" t="s">
        <v>171</v>
      </c>
      <c r="AA282" s="13" t="s">
        <v>137</v>
      </c>
      <c r="AB282" s="13" t="s">
        <v>143</v>
      </c>
      <c r="AC282" s="13" t="s">
        <v>145</v>
      </c>
      <c r="AD282" s="13" t="s">
        <v>137</v>
      </c>
      <c r="AE282" s="13">
        <f>VLOOKUP(Table2[[#This Row],[3_Elephant_ID]],'[1]Attributes(OUTDATED)'!$A$2:$N$19,12,FALSE)</f>
        <v>404</v>
      </c>
      <c r="AF282" s="13">
        <f>VLOOKUP(Table2[[#This Row],[3_Elephant_ID]],'[1]Attributes(OUTDATED)'!$A$2:$N$19,13,FALSE)</f>
        <v>0.91700000000000004</v>
      </c>
      <c r="AG282" s="13">
        <f>VLOOKUP(Table2[[#This Row],[3_Elephant_ID]],'[1]Attributes(OUTDATED)'!$A$2:$N$19,14,FALSE)</f>
        <v>0.91664628583929353</v>
      </c>
      <c r="AH282" s="13">
        <v>0</v>
      </c>
      <c r="AI282" s="13">
        <v>0</v>
      </c>
      <c r="AJ282" s="13">
        <v>0</v>
      </c>
      <c r="AK282" s="13">
        <v>0</v>
      </c>
      <c r="AL282" s="13">
        <f>VLOOKUP(Table2[[#This Row],[3_Elephant_ID]],'[1]Attributes(OUTDATED)'!$A$2:$P$19,16,FALSE)</f>
        <v>1</v>
      </c>
      <c r="AM282" s="13">
        <f>VLOOKUP(Table2[[#This Row],[3_Elephant_ID]],'[1]Attributes(OUTDATED)'!$A$2:$S$19,17,FALSE)</f>
        <v>14</v>
      </c>
      <c r="AN282" s="13">
        <f>VLOOKUP(Table2[[#This Row],[3_Elephant_ID]],'[1]Attributes(OUTDATED)'!$A$2:$S$19,18,FALSE)</f>
        <v>17</v>
      </c>
    </row>
    <row r="283" spans="1:40" ht="28" x14ac:dyDescent="0.15">
      <c r="A283" s="3">
        <v>331</v>
      </c>
      <c r="B283" s="6">
        <v>1601241048</v>
      </c>
      <c r="C283" s="7">
        <v>16</v>
      </c>
      <c r="D283" s="7">
        <v>1</v>
      </c>
      <c r="E283" s="7">
        <v>2024</v>
      </c>
      <c r="F283" s="5">
        <v>45307</v>
      </c>
      <c r="G283" s="6" t="s">
        <v>3</v>
      </c>
      <c r="H283" s="17">
        <v>0.29687258687258694</v>
      </c>
      <c r="I283" s="20">
        <f>ROUNDUP((Table2[[#This Row],[fGCM_Conc]]*10000),0)</f>
        <v>2969</v>
      </c>
      <c r="J283" s="3" t="str">
        <f>VLOOKUP(G283,'[1]Attributes(OUTDATED)'!$A$2:$C$19,2,FALSE)</f>
        <v>M</v>
      </c>
      <c r="K283" s="3" t="str">
        <f>VLOOKUP(G283,'[1]Attributes(OUTDATED)'!$A$2:$C$19,3,FALSE)</f>
        <v>J</v>
      </c>
      <c r="L283" s="3">
        <f>VLOOKUP(G283,'[1]Attributes(OUTDATED)'!$A$2:$H$19,8,FALSE)</f>
        <v>1031</v>
      </c>
      <c r="M283" s="3" t="str">
        <f>K283&amp;J283</f>
        <v>JM</v>
      </c>
      <c r="N283" s="3" t="e">
        <f>VLOOKUP(G283,#REF!,2,FALSE)</f>
        <v>#REF!</v>
      </c>
      <c r="O283" s="11">
        <v>45305</v>
      </c>
      <c r="P283" s="13">
        <v>30.1</v>
      </c>
      <c r="Q283" s="13">
        <v>23.1</v>
      </c>
      <c r="R283" s="13">
        <v>17.100000000000001</v>
      </c>
      <c r="S283" s="13">
        <f>Table2[[#This Row],[2_Temp_H]]-Table2[[#This Row],[2_Temp_L]]</f>
        <v>13</v>
      </c>
      <c r="T283" s="13">
        <v>21.9</v>
      </c>
      <c r="U283" s="13">
        <v>5.0999999999999996</v>
      </c>
      <c r="V283" s="13">
        <v>1008.81</v>
      </c>
      <c r="W283" s="13">
        <v>1005.08</v>
      </c>
      <c r="X283" s="13">
        <v>0</v>
      </c>
      <c r="Y283" s="13" t="s">
        <v>148</v>
      </c>
      <c r="Z283" s="16" t="s">
        <v>171</v>
      </c>
      <c r="AA283" s="13" t="s">
        <v>137</v>
      </c>
      <c r="AB283" s="13" t="s">
        <v>143</v>
      </c>
      <c r="AC283" s="13" t="s">
        <v>145</v>
      </c>
      <c r="AD283" s="13" t="s">
        <v>137</v>
      </c>
      <c r="AE283" s="13">
        <f>VLOOKUP(Table2[[#This Row],[3_Elephant_ID]],'[1]Attributes(OUTDATED)'!$A$2:$N$19,12,FALSE)</f>
        <v>234</v>
      </c>
      <c r="AF283" s="13">
        <f>VLOOKUP(Table2[[#This Row],[3_Elephant_ID]],'[1]Attributes(OUTDATED)'!$A$2:$N$19,13,FALSE)</f>
        <v>0.16500000000000001</v>
      </c>
      <c r="AG283" s="13">
        <f>VLOOKUP(Table2[[#This Row],[3_Elephant_ID]],'[1]Attributes(OUTDATED)'!$A$2:$N$19,14,FALSE)</f>
        <v>0.16420161303383449</v>
      </c>
      <c r="AH283" s="13">
        <v>0</v>
      </c>
      <c r="AI283" s="13">
        <v>0</v>
      </c>
      <c r="AJ283" s="13">
        <v>0</v>
      </c>
      <c r="AK283" s="13">
        <v>0</v>
      </c>
      <c r="AL283" s="13">
        <f>VLOOKUP(Table2[[#This Row],[3_Elephant_ID]],'[1]Attributes(OUTDATED)'!$A$2:$P$19,16,FALSE)</f>
        <v>1</v>
      </c>
      <c r="AM283" s="13">
        <f>VLOOKUP(Table2[[#This Row],[3_Elephant_ID]],'[1]Attributes(OUTDATED)'!$A$2:$S$19,17,FALSE)</f>
        <v>9</v>
      </c>
      <c r="AN283" s="13">
        <f>VLOOKUP(Table2[[#This Row],[3_Elephant_ID]],'[1]Attributes(OUTDATED)'!$A$2:$S$19,18,FALSE)</f>
        <v>9</v>
      </c>
    </row>
    <row r="284" spans="1:40" ht="28" x14ac:dyDescent="0.15">
      <c r="A284" s="3">
        <v>328</v>
      </c>
      <c r="B284" s="6">
        <v>1601241104</v>
      </c>
      <c r="C284" s="7">
        <v>16</v>
      </c>
      <c r="D284" s="7">
        <v>1</v>
      </c>
      <c r="E284" s="7">
        <v>2024</v>
      </c>
      <c r="F284" s="5">
        <v>45307</v>
      </c>
      <c r="G284" s="6" t="s">
        <v>14</v>
      </c>
      <c r="H284" s="17">
        <v>0.29397705544933078</v>
      </c>
      <c r="I284" s="20">
        <f>ROUNDUP((Table2[[#This Row],[fGCM_Conc]]*10000),0)</f>
        <v>2940</v>
      </c>
      <c r="J284" s="3" t="str">
        <f>VLOOKUP(G284,'[1]Attributes(OUTDATED)'!$A$2:$C$19,2,FALSE)</f>
        <v>F</v>
      </c>
      <c r="K284" s="3" t="str">
        <f>VLOOKUP(G284,'[1]Attributes(OUTDATED)'!$A$2:$C$19,3,FALSE)</f>
        <v>J</v>
      </c>
      <c r="L284" s="3">
        <f>VLOOKUP(G284,'[1]Attributes(OUTDATED)'!$A$2:$H$19,8,FALSE)</f>
        <v>879</v>
      </c>
      <c r="M284" s="3" t="str">
        <f>K284&amp;J284</f>
        <v>JF</v>
      </c>
      <c r="N284" s="3" t="e">
        <f>VLOOKUP(G284,#REF!,2,FALSE)</f>
        <v>#REF!</v>
      </c>
      <c r="O284" s="11">
        <v>45305</v>
      </c>
      <c r="P284" s="13">
        <v>30.1</v>
      </c>
      <c r="Q284" s="13">
        <v>23.1</v>
      </c>
      <c r="R284" s="13">
        <v>17.100000000000001</v>
      </c>
      <c r="S284" s="13">
        <f>Table2[[#This Row],[2_Temp_H]]-Table2[[#This Row],[2_Temp_L]]</f>
        <v>13</v>
      </c>
      <c r="T284" s="13">
        <v>21.9</v>
      </c>
      <c r="U284" s="13">
        <v>5.0999999999999996</v>
      </c>
      <c r="V284" s="13">
        <v>1008.81</v>
      </c>
      <c r="W284" s="13">
        <v>1005.08</v>
      </c>
      <c r="X284" s="13">
        <v>0</v>
      </c>
      <c r="Y284" s="13" t="s">
        <v>148</v>
      </c>
      <c r="Z284" s="16" t="s">
        <v>171</v>
      </c>
      <c r="AA284" s="13" t="s">
        <v>137</v>
      </c>
      <c r="AB284" s="13" t="s">
        <v>143</v>
      </c>
      <c r="AC284" s="13" t="s">
        <v>145</v>
      </c>
      <c r="AD284" s="13" t="s">
        <v>137</v>
      </c>
      <c r="AE284" s="13">
        <f>VLOOKUP(Table2[[#This Row],[3_Elephant_ID]],'[1]Attributes(OUTDATED)'!$A$2:$N$19,12,FALSE)</f>
        <v>269</v>
      </c>
      <c r="AF284" s="13">
        <f>VLOOKUP(Table2[[#This Row],[3_Elephant_ID]],'[1]Attributes(OUTDATED)'!$A$2:$N$19,13,FALSE)</f>
        <v>0.65800000000000003</v>
      </c>
      <c r="AG284" s="13">
        <f>VLOOKUP(Table2[[#This Row],[3_Elephant_ID]],'[1]Attributes(OUTDATED)'!$A$2:$N$19,14,FALSE)</f>
        <v>0.65767064449315993</v>
      </c>
      <c r="AH284" s="13">
        <v>0</v>
      </c>
      <c r="AI284" s="13">
        <v>0</v>
      </c>
      <c r="AJ284" s="13">
        <v>0</v>
      </c>
      <c r="AK284" s="13">
        <v>0</v>
      </c>
      <c r="AL284" s="13">
        <f>VLOOKUP(Table2[[#This Row],[3_Elephant_ID]],'[1]Attributes(OUTDATED)'!$A$2:$P$19,16,FALSE)</f>
        <v>1</v>
      </c>
      <c r="AM284" s="13">
        <f>VLOOKUP(Table2[[#This Row],[3_Elephant_ID]],'[1]Attributes(OUTDATED)'!$A$2:$S$19,17,FALSE)</f>
        <v>3</v>
      </c>
      <c r="AN284" s="13">
        <f>VLOOKUP(Table2[[#This Row],[3_Elephant_ID]],'[1]Attributes(OUTDATED)'!$A$2:$S$19,18,FALSE)</f>
        <v>9</v>
      </c>
    </row>
    <row r="285" spans="1:40" ht="28" x14ac:dyDescent="0.15">
      <c r="A285" s="3">
        <v>334</v>
      </c>
      <c r="B285" s="6">
        <v>1601241021</v>
      </c>
      <c r="C285" s="7">
        <v>16</v>
      </c>
      <c r="D285" s="7">
        <v>1</v>
      </c>
      <c r="E285" s="7">
        <v>2024</v>
      </c>
      <c r="F285" s="5">
        <v>45307</v>
      </c>
      <c r="G285" s="6" t="s">
        <v>9</v>
      </c>
      <c r="H285" s="17">
        <v>0.2499816176470589</v>
      </c>
      <c r="I285" s="20">
        <f>ROUNDUP((Table2[[#This Row],[fGCM_Conc]]*10000),0)</f>
        <v>2500</v>
      </c>
      <c r="J285" s="3" t="str">
        <f>VLOOKUP(G285,'[1]Attributes(OUTDATED)'!$A$2:$C$19,2,FALSE)</f>
        <v>F</v>
      </c>
      <c r="K285" s="3" t="str">
        <f>VLOOKUP(G285,'[1]Attributes(OUTDATED)'!$A$2:$C$19,3,FALSE)</f>
        <v>J</v>
      </c>
      <c r="L285" s="3">
        <f>VLOOKUP(G285,'[1]Attributes(OUTDATED)'!$A$2:$H$19,8,FALSE)</f>
        <v>820</v>
      </c>
      <c r="M285" s="3" t="str">
        <f>K285&amp;J285</f>
        <v>JF</v>
      </c>
      <c r="N285" s="3" t="e">
        <f>VLOOKUP(G285,#REF!,2,FALSE)</f>
        <v>#REF!</v>
      </c>
      <c r="O285" s="11">
        <v>45305</v>
      </c>
      <c r="P285" s="13">
        <v>30.1</v>
      </c>
      <c r="Q285" s="13">
        <v>23.1</v>
      </c>
      <c r="R285" s="13">
        <v>17.100000000000001</v>
      </c>
      <c r="S285" s="13">
        <f>Table2[[#This Row],[2_Temp_H]]-Table2[[#This Row],[2_Temp_L]]</f>
        <v>13</v>
      </c>
      <c r="T285" s="13">
        <v>21.9</v>
      </c>
      <c r="U285" s="13">
        <v>5.0999999999999996</v>
      </c>
      <c r="V285" s="13">
        <v>1008.81</v>
      </c>
      <c r="W285" s="13">
        <v>1005.08</v>
      </c>
      <c r="X285" s="13">
        <v>0</v>
      </c>
      <c r="Y285" s="13" t="s">
        <v>148</v>
      </c>
      <c r="Z285" s="16" t="s">
        <v>171</v>
      </c>
      <c r="AA285" s="13" t="s">
        <v>137</v>
      </c>
      <c r="AB285" s="13" t="s">
        <v>143</v>
      </c>
      <c r="AC285" s="13" t="s">
        <v>145</v>
      </c>
      <c r="AD285" s="13" t="s">
        <v>137</v>
      </c>
      <c r="AE285" s="13">
        <f>VLOOKUP(Table2[[#This Row],[3_Elephant_ID]],'[1]Attributes(OUTDATED)'!$A$2:$N$19,12,FALSE)</f>
        <v>305</v>
      </c>
      <c r="AF285" s="13">
        <f>VLOOKUP(Table2[[#This Row],[3_Elephant_ID]],'[1]Attributes(OUTDATED)'!$A$2:$N$19,13,FALSE)</f>
        <v>0.17499999999999999</v>
      </c>
      <c r="AG285" s="13">
        <f>VLOOKUP(Table2[[#This Row],[3_Elephant_ID]],'[1]Attributes(OUTDATED)'!$A$2:$N$19,14,FALSE)</f>
        <v>0.17467336145108631</v>
      </c>
      <c r="AH285" s="13">
        <v>0</v>
      </c>
      <c r="AI285" s="13">
        <v>0</v>
      </c>
      <c r="AJ285" s="13">
        <v>0</v>
      </c>
      <c r="AK285" s="13">
        <v>0</v>
      </c>
      <c r="AL285" s="13">
        <f>VLOOKUP(Table2[[#This Row],[3_Elephant_ID]],'[1]Attributes(OUTDATED)'!$A$2:$P$19,16,FALSE)</f>
        <v>2</v>
      </c>
      <c r="AM285" s="13">
        <f>VLOOKUP(Table2[[#This Row],[3_Elephant_ID]],'[1]Attributes(OUTDATED)'!$A$2:$S$19,17,FALSE)</f>
        <v>0</v>
      </c>
      <c r="AN285" s="13">
        <f>VLOOKUP(Table2[[#This Row],[3_Elephant_ID]],'[1]Attributes(OUTDATED)'!$A$2:$S$19,18,FALSE)</f>
        <v>4</v>
      </c>
    </row>
    <row r="286" spans="1:40" ht="28" x14ac:dyDescent="0.15">
      <c r="A286" s="3">
        <v>319</v>
      </c>
      <c r="B286" s="6">
        <v>1701241239</v>
      </c>
      <c r="C286" s="7">
        <v>17</v>
      </c>
      <c r="D286" s="7">
        <v>1</v>
      </c>
      <c r="E286" s="7">
        <v>2024</v>
      </c>
      <c r="F286" s="5">
        <v>45308</v>
      </c>
      <c r="G286" s="6" t="s">
        <v>6</v>
      </c>
      <c r="H286" s="17">
        <v>0.65931166347992354</v>
      </c>
      <c r="I286" s="20">
        <f>ROUNDUP((Table2[[#This Row],[fGCM_Conc]]*10000),0)</f>
        <v>6594</v>
      </c>
      <c r="J286" s="3" t="str">
        <f>VLOOKUP(G286,'[1]Attributes(OUTDATED)'!$A$2:$C$19,2,FALSE)</f>
        <v>F</v>
      </c>
      <c r="K286" s="3" t="str">
        <f>VLOOKUP(G286,'[1]Attributes(OUTDATED)'!$A$2:$C$19,3,FALSE)</f>
        <v>A</v>
      </c>
      <c r="L286" s="3">
        <f>VLOOKUP(G286,'[1]Attributes(OUTDATED)'!$A$2:$H$19,8,FALSE)</f>
        <v>1168</v>
      </c>
      <c r="M286" s="3" t="str">
        <f>K286&amp;J286</f>
        <v>AF</v>
      </c>
      <c r="N286" s="3" t="e">
        <f>VLOOKUP(G286,#REF!,2,FALSE)</f>
        <v>#REF!</v>
      </c>
      <c r="O286" s="11">
        <v>45306</v>
      </c>
      <c r="P286" s="13">
        <v>31</v>
      </c>
      <c r="Q286" s="13">
        <v>22.5</v>
      </c>
      <c r="R286" s="13">
        <v>16.100000000000001</v>
      </c>
      <c r="S286" s="13">
        <f>Table2[[#This Row],[2_Temp_H]]-Table2[[#This Row],[2_Temp_L]]</f>
        <v>14.899999999999999</v>
      </c>
      <c r="T286" s="13">
        <v>21.9</v>
      </c>
      <c r="U286" s="13">
        <v>5.8</v>
      </c>
      <c r="V286" s="13">
        <v>1009.82</v>
      </c>
      <c r="W286" s="13">
        <v>1006.1</v>
      </c>
      <c r="X286" s="13">
        <v>0</v>
      </c>
      <c r="Y286" s="13" t="s">
        <v>148</v>
      </c>
      <c r="Z286" s="16" t="s">
        <v>171</v>
      </c>
      <c r="AA286" s="13" t="s">
        <v>137</v>
      </c>
      <c r="AB286" s="13" t="s">
        <v>143</v>
      </c>
      <c r="AC286" s="13" t="s">
        <v>145</v>
      </c>
      <c r="AD286" s="13" t="s">
        <v>137</v>
      </c>
      <c r="AE286" s="13">
        <f>VLOOKUP(Table2[[#This Row],[3_Elephant_ID]],'[1]Attributes(OUTDATED)'!$A$2:$N$19,12,FALSE)</f>
        <v>286</v>
      </c>
      <c r="AF286" s="13">
        <f>VLOOKUP(Table2[[#This Row],[3_Elephant_ID]],'[1]Attributes(OUTDATED)'!$A$2:$N$19,13,FALSE)</f>
        <v>0.26800000000000002</v>
      </c>
      <c r="AG286" s="13">
        <f>VLOOKUP(Table2[[#This Row],[3_Elephant_ID]],'[1]Attributes(OUTDATED)'!$A$2:$N$19,14,FALSE)</f>
        <v>0.26721028245328138</v>
      </c>
      <c r="AH286" s="13">
        <v>0</v>
      </c>
      <c r="AI286" s="13">
        <v>0</v>
      </c>
      <c r="AJ286" s="13">
        <v>0</v>
      </c>
      <c r="AK286" s="13">
        <v>0</v>
      </c>
      <c r="AL286" s="13">
        <f>VLOOKUP(Table2[[#This Row],[3_Elephant_ID]],'[1]Attributes(OUTDATED)'!$A$2:$P$19,16,FALSE)</f>
        <v>2</v>
      </c>
      <c r="AM286" s="13">
        <f>VLOOKUP(Table2[[#This Row],[3_Elephant_ID]],'[1]Attributes(OUTDATED)'!$A$2:$S$19,17,FALSE)</f>
        <v>12</v>
      </c>
      <c r="AN286" s="13">
        <f>VLOOKUP(Table2[[#This Row],[3_Elephant_ID]],'[1]Attributes(OUTDATED)'!$A$2:$S$19,18,FALSE)</f>
        <v>5</v>
      </c>
    </row>
    <row r="287" spans="1:40" ht="28" x14ac:dyDescent="0.15">
      <c r="A287" s="3">
        <v>324</v>
      </c>
      <c r="B287" s="6">
        <v>1701241454</v>
      </c>
      <c r="C287" s="7">
        <v>17</v>
      </c>
      <c r="D287" s="7">
        <v>1</v>
      </c>
      <c r="E287" s="7">
        <v>2024</v>
      </c>
      <c r="F287" s="5">
        <v>45308</v>
      </c>
      <c r="G287" s="6" t="s">
        <v>4</v>
      </c>
      <c r="H287" s="17">
        <v>0.6460233918128655</v>
      </c>
      <c r="I287" s="20">
        <f>ROUNDUP((Table2[[#This Row],[fGCM_Conc]]*10000),0)</f>
        <v>6461</v>
      </c>
      <c r="J287" s="3" t="str">
        <f>VLOOKUP(G287,'[1]Attributes(OUTDATED)'!$A$2:$C$19,2,FALSE)</f>
        <v>M</v>
      </c>
      <c r="K287" s="3" t="str">
        <f>VLOOKUP(G287,'[1]Attributes(OUTDATED)'!$A$2:$C$19,3,FALSE)</f>
        <v>J</v>
      </c>
      <c r="L287" s="3">
        <f>VLOOKUP(G287,'[1]Attributes(OUTDATED)'!$A$2:$H$19,8,FALSE)</f>
        <v>1055</v>
      </c>
      <c r="M287" s="3" t="str">
        <f>K287&amp;J287</f>
        <v>JM</v>
      </c>
      <c r="N287" s="3" t="e">
        <f>VLOOKUP(G287,#REF!,2,FALSE)</f>
        <v>#REF!</v>
      </c>
      <c r="O287" s="11">
        <v>45306</v>
      </c>
      <c r="P287" s="13">
        <v>31</v>
      </c>
      <c r="Q287" s="13">
        <v>22.5</v>
      </c>
      <c r="R287" s="13">
        <v>16.100000000000001</v>
      </c>
      <c r="S287" s="13">
        <f>Table2[[#This Row],[2_Temp_H]]-Table2[[#This Row],[2_Temp_L]]</f>
        <v>14.899999999999999</v>
      </c>
      <c r="T287" s="13">
        <v>21.9</v>
      </c>
      <c r="U287" s="13">
        <v>5.8</v>
      </c>
      <c r="V287" s="13">
        <v>1009.82</v>
      </c>
      <c r="W287" s="13">
        <v>1006.1</v>
      </c>
      <c r="X287" s="13">
        <v>0</v>
      </c>
      <c r="Y287" s="13" t="s">
        <v>148</v>
      </c>
      <c r="Z287" s="16" t="s">
        <v>171</v>
      </c>
      <c r="AA287" s="13" t="s">
        <v>137</v>
      </c>
      <c r="AB287" s="13" t="s">
        <v>143</v>
      </c>
      <c r="AC287" s="13" t="s">
        <v>145</v>
      </c>
      <c r="AD287" s="13" t="s">
        <v>137</v>
      </c>
      <c r="AE287" s="13">
        <f>VLOOKUP(Table2[[#This Row],[3_Elephant_ID]],'[1]Attributes(OUTDATED)'!$A$2:$N$19,12,FALSE)</f>
        <v>181</v>
      </c>
      <c r="AF287" s="13">
        <f>VLOOKUP(Table2[[#This Row],[3_Elephant_ID]],'[1]Attributes(OUTDATED)'!$A$2:$N$19,13,FALSE)</f>
        <v>7.3999999999999996E-2</v>
      </c>
      <c r="AG287" s="13">
        <f>VLOOKUP(Table2[[#This Row],[3_Elephant_ID]],'[1]Attributes(OUTDATED)'!$A$2:$N$19,14,FALSE)</f>
        <v>7.3914663535330896E-2</v>
      </c>
      <c r="AH287" s="13">
        <v>0</v>
      </c>
      <c r="AI287" s="13">
        <v>0</v>
      </c>
      <c r="AJ287" s="13">
        <v>0</v>
      </c>
      <c r="AK287" s="13">
        <v>0</v>
      </c>
      <c r="AL287" s="13">
        <f>VLOOKUP(Table2[[#This Row],[3_Elephant_ID]],'[1]Attributes(OUTDATED)'!$A$2:$P$19,16,FALSE)</f>
        <v>1</v>
      </c>
      <c r="AM287" s="13">
        <f>VLOOKUP(Table2[[#This Row],[3_Elephant_ID]],'[1]Attributes(OUTDATED)'!$A$2:$S$19,17,FALSE)</f>
        <v>7</v>
      </c>
      <c r="AN287" s="13">
        <f>VLOOKUP(Table2[[#This Row],[3_Elephant_ID]],'[1]Attributes(OUTDATED)'!$A$2:$S$19,18,FALSE)</f>
        <v>9</v>
      </c>
    </row>
    <row r="288" spans="1:40" ht="28" x14ac:dyDescent="0.15">
      <c r="A288" s="3">
        <v>318</v>
      </c>
      <c r="B288" s="6">
        <v>1701241610</v>
      </c>
      <c r="C288" s="7">
        <v>17</v>
      </c>
      <c r="D288" s="7">
        <v>1</v>
      </c>
      <c r="E288" s="7">
        <v>2024</v>
      </c>
      <c r="F288" s="5">
        <v>45308</v>
      </c>
      <c r="G288" s="6" t="s">
        <v>4</v>
      </c>
      <c r="H288" s="17">
        <v>0.51136622390891862</v>
      </c>
      <c r="I288" s="20">
        <f>ROUNDUP((Table2[[#This Row],[fGCM_Conc]]*10000),0)</f>
        <v>5114</v>
      </c>
      <c r="J288" s="3" t="str">
        <f>VLOOKUP(G288,'[1]Attributes(OUTDATED)'!$A$2:$C$19,2,FALSE)</f>
        <v>M</v>
      </c>
      <c r="K288" s="3" t="str">
        <f>VLOOKUP(G288,'[1]Attributes(OUTDATED)'!$A$2:$C$19,3,FALSE)</f>
        <v>J</v>
      </c>
      <c r="L288" s="3">
        <f>VLOOKUP(G288,'[1]Attributes(OUTDATED)'!$A$2:$H$19,8,FALSE)</f>
        <v>1055</v>
      </c>
      <c r="M288" s="3" t="str">
        <f>K288&amp;J288</f>
        <v>JM</v>
      </c>
      <c r="N288" s="3" t="e">
        <f>VLOOKUP(G288,#REF!,2,FALSE)</f>
        <v>#REF!</v>
      </c>
      <c r="O288" s="11">
        <v>45306</v>
      </c>
      <c r="P288" s="13">
        <v>31</v>
      </c>
      <c r="Q288" s="13">
        <v>22.5</v>
      </c>
      <c r="R288" s="13">
        <v>16.100000000000001</v>
      </c>
      <c r="S288" s="13">
        <f>Table2[[#This Row],[2_Temp_H]]-Table2[[#This Row],[2_Temp_L]]</f>
        <v>14.899999999999999</v>
      </c>
      <c r="T288" s="13">
        <v>21.9</v>
      </c>
      <c r="U288" s="13">
        <v>5.8</v>
      </c>
      <c r="V288" s="13">
        <v>1009.82</v>
      </c>
      <c r="W288" s="13">
        <v>1006.1</v>
      </c>
      <c r="X288" s="13">
        <v>0</v>
      </c>
      <c r="Y288" s="13" t="s">
        <v>148</v>
      </c>
      <c r="Z288" s="16" t="s">
        <v>171</v>
      </c>
      <c r="AA288" s="13" t="s">
        <v>137</v>
      </c>
      <c r="AB288" s="13" t="s">
        <v>143</v>
      </c>
      <c r="AC288" s="13" t="s">
        <v>145</v>
      </c>
      <c r="AD288" s="13" t="s">
        <v>137</v>
      </c>
      <c r="AE288" s="13">
        <f>VLOOKUP(Table2[[#This Row],[3_Elephant_ID]],'[1]Attributes(OUTDATED)'!$A$2:$N$19,12,FALSE)</f>
        <v>181</v>
      </c>
      <c r="AF288" s="13">
        <f>VLOOKUP(Table2[[#This Row],[3_Elephant_ID]],'[1]Attributes(OUTDATED)'!$A$2:$N$19,13,FALSE)</f>
        <v>7.3999999999999996E-2</v>
      </c>
      <c r="AG288" s="13">
        <f>VLOOKUP(Table2[[#This Row],[3_Elephant_ID]],'[1]Attributes(OUTDATED)'!$A$2:$N$19,14,FALSE)</f>
        <v>7.3914663535330896E-2</v>
      </c>
      <c r="AH288" s="13">
        <v>0</v>
      </c>
      <c r="AI288" s="13">
        <v>0</v>
      </c>
      <c r="AJ288" s="13">
        <v>0</v>
      </c>
      <c r="AK288" s="13">
        <v>0</v>
      </c>
      <c r="AL288" s="13">
        <f>VLOOKUP(Table2[[#This Row],[3_Elephant_ID]],'[1]Attributes(OUTDATED)'!$A$2:$P$19,16,FALSE)</f>
        <v>1</v>
      </c>
      <c r="AM288" s="13">
        <f>VLOOKUP(Table2[[#This Row],[3_Elephant_ID]],'[1]Attributes(OUTDATED)'!$A$2:$S$19,17,FALSE)</f>
        <v>7</v>
      </c>
      <c r="AN288" s="13">
        <f>VLOOKUP(Table2[[#This Row],[3_Elephant_ID]],'[1]Attributes(OUTDATED)'!$A$2:$S$19,18,FALSE)</f>
        <v>9</v>
      </c>
    </row>
    <row r="289" spans="1:40" ht="28" x14ac:dyDescent="0.15">
      <c r="A289" s="3">
        <v>327</v>
      </c>
      <c r="B289" s="6">
        <v>1701241012</v>
      </c>
      <c r="C289" s="7">
        <v>17</v>
      </c>
      <c r="D289" s="7">
        <v>1</v>
      </c>
      <c r="E289" s="7">
        <v>2024</v>
      </c>
      <c r="F289" s="5">
        <v>45308</v>
      </c>
      <c r="G289" s="6" t="s">
        <v>4</v>
      </c>
      <c r="H289" s="17">
        <v>0.40905109489051089</v>
      </c>
      <c r="I289" s="20">
        <f>ROUNDUP((Table2[[#This Row],[fGCM_Conc]]*10000),0)</f>
        <v>4091</v>
      </c>
      <c r="J289" s="3" t="str">
        <f>VLOOKUP(G289,'[1]Attributes(OUTDATED)'!$A$2:$C$19,2,FALSE)</f>
        <v>M</v>
      </c>
      <c r="K289" s="3" t="str">
        <f>VLOOKUP(G289,'[1]Attributes(OUTDATED)'!$A$2:$C$19,3,FALSE)</f>
        <v>J</v>
      </c>
      <c r="L289" s="3">
        <f>VLOOKUP(G289,'[1]Attributes(OUTDATED)'!$A$2:$H$19,8,FALSE)</f>
        <v>1055</v>
      </c>
      <c r="M289" s="3" t="str">
        <f>K289&amp;J289</f>
        <v>JM</v>
      </c>
      <c r="N289" s="3" t="e">
        <f>VLOOKUP(G289,#REF!,2,FALSE)</f>
        <v>#REF!</v>
      </c>
      <c r="O289" s="11">
        <v>45306</v>
      </c>
      <c r="P289" s="13">
        <v>31</v>
      </c>
      <c r="Q289" s="13">
        <v>22.5</v>
      </c>
      <c r="R289" s="13">
        <v>16.100000000000001</v>
      </c>
      <c r="S289" s="13">
        <f>Table2[[#This Row],[2_Temp_H]]-Table2[[#This Row],[2_Temp_L]]</f>
        <v>14.899999999999999</v>
      </c>
      <c r="T289" s="13">
        <v>21.9</v>
      </c>
      <c r="U289" s="13">
        <v>5.8</v>
      </c>
      <c r="V289" s="13">
        <v>1009.82</v>
      </c>
      <c r="W289" s="13">
        <v>1006.1</v>
      </c>
      <c r="X289" s="13">
        <v>0</v>
      </c>
      <c r="Y289" s="13" t="s">
        <v>148</v>
      </c>
      <c r="Z289" s="16" t="s">
        <v>171</v>
      </c>
      <c r="AA289" s="13" t="s">
        <v>137</v>
      </c>
      <c r="AB289" s="13" t="s">
        <v>143</v>
      </c>
      <c r="AC289" s="13" t="s">
        <v>145</v>
      </c>
      <c r="AD289" s="13" t="s">
        <v>137</v>
      </c>
      <c r="AE289" s="13">
        <f>VLOOKUP(Table2[[#This Row],[3_Elephant_ID]],'[1]Attributes(OUTDATED)'!$A$2:$N$19,12,FALSE)</f>
        <v>181</v>
      </c>
      <c r="AF289" s="13">
        <f>VLOOKUP(Table2[[#This Row],[3_Elephant_ID]],'[1]Attributes(OUTDATED)'!$A$2:$N$19,13,FALSE)</f>
        <v>7.3999999999999996E-2</v>
      </c>
      <c r="AG289" s="13">
        <f>VLOOKUP(Table2[[#This Row],[3_Elephant_ID]],'[1]Attributes(OUTDATED)'!$A$2:$N$19,14,FALSE)</f>
        <v>7.3914663535330896E-2</v>
      </c>
      <c r="AH289" s="13">
        <v>0</v>
      </c>
      <c r="AI289" s="13">
        <v>0</v>
      </c>
      <c r="AJ289" s="13">
        <v>0</v>
      </c>
      <c r="AK289" s="13">
        <v>0</v>
      </c>
      <c r="AL289" s="13">
        <f>VLOOKUP(Table2[[#This Row],[3_Elephant_ID]],'[1]Attributes(OUTDATED)'!$A$2:$P$19,16,FALSE)</f>
        <v>1</v>
      </c>
      <c r="AM289" s="13">
        <f>VLOOKUP(Table2[[#This Row],[3_Elephant_ID]],'[1]Attributes(OUTDATED)'!$A$2:$S$19,17,FALSE)</f>
        <v>7</v>
      </c>
      <c r="AN289" s="13">
        <f>VLOOKUP(Table2[[#This Row],[3_Elephant_ID]],'[1]Attributes(OUTDATED)'!$A$2:$S$19,18,FALSE)</f>
        <v>9</v>
      </c>
    </row>
    <row r="290" spans="1:40" ht="28" x14ac:dyDescent="0.15">
      <c r="A290" s="3">
        <v>321</v>
      </c>
      <c r="B290" s="6">
        <v>1701241223</v>
      </c>
      <c r="C290" s="7">
        <v>17</v>
      </c>
      <c r="D290" s="7">
        <v>1</v>
      </c>
      <c r="E290" s="7">
        <v>2024</v>
      </c>
      <c r="F290" s="5">
        <v>45308</v>
      </c>
      <c r="G290" s="6" t="s">
        <v>11</v>
      </c>
      <c r="H290" s="17">
        <v>0.34240776699029124</v>
      </c>
      <c r="I290" s="20">
        <f>ROUNDUP((Table2[[#This Row],[fGCM_Conc]]*10000),0)</f>
        <v>3425</v>
      </c>
      <c r="J290" s="3" t="str">
        <f>VLOOKUP(G290,'[1]Attributes(OUTDATED)'!$A$2:$C$19,2,FALSE)</f>
        <v>M</v>
      </c>
      <c r="K290" s="3" t="str">
        <f>VLOOKUP(G290,'[1]Attributes(OUTDATED)'!$A$2:$C$19,3,FALSE)</f>
        <v>A</v>
      </c>
      <c r="L290" s="3">
        <f>VLOOKUP(G290,'[1]Attributes(OUTDATED)'!$A$2:$H$19,8,FALSE)</f>
        <v>1223</v>
      </c>
      <c r="M290" s="3" t="str">
        <f>K290&amp;J290</f>
        <v>AM</v>
      </c>
      <c r="N290" s="3" t="e">
        <f>VLOOKUP(G290,#REF!,2,FALSE)</f>
        <v>#REF!</v>
      </c>
      <c r="O290" s="11">
        <v>45306</v>
      </c>
      <c r="P290" s="13">
        <v>31</v>
      </c>
      <c r="Q290" s="13">
        <v>22.5</v>
      </c>
      <c r="R290" s="13">
        <v>16.100000000000001</v>
      </c>
      <c r="S290" s="13">
        <f>Table2[[#This Row],[2_Temp_H]]-Table2[[#This Row],[2_Temp_L]]</f>
        <v>14.899999999999999</v>
      </c>
      <c r="T290" s="13">
        <v>21.9</v>
      </c>
      <c r="U290" s="13">
        <v>5.8</v>
      </c>
      <c r="V290" s="13">
        <v>1009.82</v>
      </c>
      <c r="W290" s="13">
        <v>1006.1</v>
      </c>
      <c r="X290" s="13">
        <v>0</v>
      </c>
      <c r="Y290" s="13" t="s">
        <v>148</v>
      </c>
      <c r="Z290" s="16" t="s">
        <v>171</v>
      </c>
      <c r="AA290" s="13" t="s">
        <v>137</v>
      </c>
      <c r="AB290" s="13" t="s">
        <v>143</v>
      </c>
      <c r="AC290" s="13" t="s">
        <v>145</v>
      </c>
      <c r="AD290" s="13" t="s">
        <v>137</v>
      </c>
      <c r="AE290" s="13">
        <f>VLOOKUP(Table2[[#This Row],[3_Elephant_ID]],'[1]Attributes(OUTDATED)'!$A$2:$N$19,12,FALSE)</f>
        <v>404</v>
      </c>
      <c r="AF290" s="13">
        <f>VLOOKUP(Table2[[#This Row],[3_Elephant_ID]],'[1]Attributes(OUTDATED)'!$A$2:$N$19,13,FALSE)</f>
        <v>0.91700000000000004</v>
      </c>
      <c r="AG290" s="13">
        <f>VLOOKUP(Table2[[#This Row],[3_Elephant_ID]],'[1]Attributes(OUTDATED)'!$A$2:$N$19,14,FALSE)</f>
        <v>0.91664628583929353</v>
      </c>
      <c r="AH290" s="13">
        <v>0</v>
      </c>
      <c r="AI290" s="13">
        <v>0</v>
      </c>
      <c r="AJ290" s="13">
        <v>0</v>
      </c>
      <c r="AK290" s="13">
        <v>0</v>
      </c>
      <c r="AL290" s="13">
        <f>VLOOKUP(Table2[[#This Row],[3_Elephant_ID]],'[1]Attributes(OUTDATED)'!$A$2:$P$19,16,FALSE)</f>
        <v>1</v>
      </c>
      <c r="AM290" s="13">
        <f>VLOOKUP(Table2[[#This Row],[3_Elephant_ID]],'[1]Attributes(OUTDATED)'!$A$2:$S$19,17,FALSE)</f>
        <v>14</v>
      </c>
      <c r="AN290" s="13">
        <f>VLOOKUP(Table2[[#This Row],[3_Elephant_ID]],'[1]Attributes(OUTDATED)'!$A$2:$S$19,18,FALSE)</f>
        <v>17</v>
      </c>
    </row>
    <row r="291" spans="1:40" ht="28" x14ac:dyDescent="0.15">
      <c r="A291" s="3">
        <v>320</v>
      </c>
      <c r="B291" s="6">
        <v>1701241140</v>
      </c>
      <c r="C291" s="7">
        <v>17</v>
      </c>
      <c r="D291" s="7">
        <v>1</v>
      </c>
      <c r="E291" s="7">
        <v>2024</v>
      </c>
      <c r="F291" s="5">
        <v>45308</v>
      </c>
      <c r="G291" s="6" t="s">
        <v>10</v>
      </c>
      <c r="H291" s="17">
        <v>0.31320441988950271</v>
      </c>
      <c r="I291" s="20">
        <f>ROUNDUP((Table2[[#This Row],[fGCM_Conc]]*10000),0)</f>
        <v>3133</v>
      </c>
      <c r="J291" s="3" t="str">
        <f>VLOOKUP(G291,'[1]Attributes(OUTDATED)'!$A$2:$C$19,2,FALSE)</f>
        <v>F</v>
      </c>
      <c r="K291" s="3" t="str">
        <f>VLOOKUP(G291,'[1]Attributes(OUTDATED)'!$A$2:$C$19,3,FALSE)</f>
        <v>A</v>
      </c>
      <c r="L291" s="3">
        <f>VLOOKUP(G291,'[1]Attributes(OUTDATED)'!$A$2:$H$19,8,FALSE)</f>
        <v>1146</v>
      </c>
      <c r="M291" s="3" t="str">
        <f>K291&amp;J291</f>
        <v>AF</v>
      </c>
      <c r="N291" s="3" t="e">
        <f>VLOOKUP(G291,#REF!,2,FALSE)</f>
        <v>#REF!</v>
      </c>
      <c r="O291" s="11">
        <v>45306</v>
      </c>
      <c r="P291" s="13">
        <v>31</v>
      </c>
      <c r="Q291" s="13">
        <v>22.5</v>
      </c>
      <c r="R291" s="13">
        <v>16.100000000000001</v>
      </c>
      <c r="S291" s="13">
        <f>Table2[[#This Row],[2_Temp_H]]-Table2[[#This Row],[2_Temp_L]]</f>
        <v>14.899999999999999</v>
      </c>
      <c r="T291" s="13">
        <v>21.9</v>
      </c>
      <c r="U291" s="13">
        <v>5.8</v>
      </c>
      <c r="V291" s="13">
        <v>1009.82</v>
      </c>
      <c r="W291" s="13">
        <v>1006.1</v>
      </c>
      <c r="X291" s="13">
        <v>0</v>
      </c>
      <c r="Y291" s="13" t="s">
        <v>148</v>
      </c>
      <c r="Z291" s="16" t="s">
        <v>171</v>
      </c>
      <c r="AA291" s="13" t="s">
        <v>137</v>
      </c>
      <c r="AB291" s="13" t="s">
        <v>143</v>
      </c>
      <c r="AC291" s="13" t="s">
        <v>145</v>
      </c>
      <c r="AD291" s="13" t="s">
        <v>137</v>
      </c>
      <c r="AE291" s="13">
        <f>VLOOKUP(Table2[[#This Row],[3_Elephant_ID]],'[1]Attributes(OUTDATED)'!$A$2:$N$19,12,FALSE)</f>
        <v>424</v>
      </c>
      <c r="AF291" s="13">
        <f>VLOOKUP(Table2[[#This Row],[3_Elephant_ID]],'[1]Attributes(OUTDATED)'!$A$2:$N$19,13,FALSE)</f>
        <v>0.10299999999999999</v>
      </c>
      <c r="AG291" s="13">
        <f>VLOOKUP(Table2[[#This Row],[3_Elephant_ID]],'[1]Attributes(OUTDATED)'!$A$2:$N$19,14,FALSE)</f>
        <v>0.10282190709599449</v>
      </c>
      <c r="AH291" s="13">
        <v>0</v>
      </c>
      <c r="AI291" s="13">
        <v>0</v>
      </c>
      <c r="AJ291" s="13">
        <v>0</v>
      </c>
      <c r="AK291" s="13">
        <v>0</v>
      </c>
      <c r="AL291" s="13">
        <f>VLOOKUP(Table2[[#This Row],[3_Elephant_ID]],'[1]Attributes(OUTDATED)'!$A$2:$P$19,16,FALSE)</f>
        <v>1</v>
      </c>
      <c r="AM291" s="13">
        <f>VLOOKUP(Table2[[#This Row],[3_Elephant_ID]],'[1]Attributes(OUTDATED)'!$A$2:$S$19,17,FALSE)</f>
        <v>9</v>
      </c>
      <c r="AN291" s="13">
        <f>VLOOKUP(Table2[[#This Row],[3_Elephant_ID]],'[1]Attributes(OUTDATED)'!$A$2:$S$19,18,FALSE)</f>
        <v>8</v>
      </c>
    </row>
    <row r="292" spans="1:40" ht="28" x14ac:dyDescent="0.15">
      <c r="A292" s="3">
        <v>325</v>
      </c>
      <c r="B292" s="6">
        <v>1701241014</v>
      </c>
      <c r="C292" s="7">
        <v>17</v>
      </c>
      <c r="D292" s="7">
        <v>1</v>
      </c>
      <c r="E292" s="7">
        <v>2024</v>
      </c>
      <c r="F292" s="5">
        <v>45308</v>
      </c>
      <c r="G292" s="6" t="s">
        <v>5</v>
      </c>
      <c r="H292" s="17">
        <v>0.31305343511450379</v>
      </c>
      <c r="I292" s="20">
        <f>ROUNDUP((Table2[[#This Row],[fGCM_Conc]]*10000),0)</f>
        <v>3131</v>
      </c>
      <c r="J292" s="3" t="str">
        <f>VLOOKUP(G292,'[1]Attributes(OUTDATED)'!$A$2:$C$19,2,FALSE)</f>
        <v>M</v>
      </c>
      <c r="K292" s="3" t="str">
        <f>VLOOKUP(G292,'[1]Attributes(OUTDATED)'!$A$2:$C$19,3,FALSE)</f>
        <v>J</v>
      </c>
      <c r="L292" s="3">
        <f>VLOOKUP(G292,'[1]Attributes(OUTDATED)'!$A$2:$H$19,8,FALSE)</f>
        <v>940</v>
      </c>
      <c r="M292" s="3" t="str">
        <f>K292&amp;J292</f>
        <v>JM</v>
      </c>
      <c r="N292" s="3" t="e">
        <f>VLOOKUP(G292,#REF!,2,FALSE)</f>
        <v>#REF!</v>
      </c>
      <c r="O292" s="11">
        <v>45306</v>
      </c>
      <c r="P292" s="13">
        <v>31</v>
      </c>
      <c r="Q292" s="13">
        <v>22.5</v>
      </c>
      <c r="R292" s="13">
        <v>16.100000000000001</v>
      </c>
      <c r="S292" s="13">
        <f>Table2[[#This Row],[2_Temp_H]]-Table2[[#This Row],[2_Temp_L]]</f>
        <v>14.899999999999999</v>
      </c>
      <c r="T292" s="13">
        <v>21.9</v>
      </c>
      <c r="U292" s="13">
        <v>5.8</v>
      </c>
      <c r="V292" s="13">
        <v>1009.82</v>
      </c>
      <c r="W292" s="13">
        <v>1006.1</v>
      </c>
      <c r="X292" s="13">
        <v>0</v>
      </c>
      <c r="Y292" s="13" t="s">
        <v>148</v>
      </c>
      <c r="Z292" s="16" t="s">
        <v>171</v>
      </c>
      <c r="AA292" s="13" t="s">
        <v>137</v>
      </c>
      <c r="AB292" s="13" t="s">
        <v>143</v>
      </c>
      <c r="AC292" s="13" t="s">
        <v>145</v>
      </c>
      <c r="AD292" s="13" t="s">
        <v>137</v>
      </c>
      <c r="AE292" s="13">
        <f>VLOOKUP(Table2[[#This Row],[3_Elephant_ID]],'[1]Attributes(OUTDATED)'!$A$2:$N$19,12,FALSE)</f>
        <v>361</v>
      </c>
      <c r="AF292" s="13">
        <f>VLOOKUP(Table2[[#This Row],[3_Elephant_ID]],'[1]Attributes(OUTDATED)'!$A$2:$N$19,13,FALSE)</f>
        <v>0.40600000000000003</v>
      </c>
      <c r="AG292" s="13">
        <f>VLOOKUP(Table2[[#This Row],[3_Elephant_ID]],'[1]Attributes(OUTDATED)'!$A$2:$N$19,14,FALSE)</f>
        <v>0.40590323220736402</v>
      </c>
      <c r="AH292" s="13">
        <v>0</v>
      </c>
      <c r="AI292" s="13">
        <v>0</v>
      </c>
      <c r="AJ292" s="13">
        <v>0</v>
      </c>
      <c r="AK292" s="13">
        <v>0</v>
      </c>
      <c r="AL292" s="13">
        <f>VLOOKUP(Table2[[#This Row],[3_Elephant_ID]],'[1]Attributes(OUTDATED)'!$A$2:$P$19,16,FALSE)</f>
        <v>1</v>
      </c>
      <c r="AM292" s="13">
        <f>VLOOKUP(Table2[[#This Row],[3_Elephant_ID]],'[1]Attributes(OUTDATED)'!$A$2:$S$19,17,FALSE)</f>
        <v>2</v>
      </c>
      <c r="AN292" s="13">
        <f>VLOOKUP(Table2[[#This Row],[3_Elephant_ID]],'[1]Attributes(OUTDATED)'!$A$2:$S$19,18,FALSE)</f>
        <v>7</v>
      </c>
    </row>
    <row r="293" spans="1:40" ht="28" x14ac:dyDescent="0.15">
      <c r="A293" s="3">
        <v>326</v>
      </c>
      <c r="B293" s="6">
        <v>1701241005</v>
      </c>
      <c r="C293" s="7">
        <v>17</v>
      </c>
      <c r="D293" s="7">
        <v>1</v>
      </c>
      <c r="E293" s="7">
        <v>2024</v>
      </c>
      <c r="F293" s="5">
        <v>45308</v>
      </c>
      <c r="G293" s="6" t="s">
        <v>7</v>
      </c>
      <c r="H293" s="17">
        <v>0.27811764705882352</v>
      </c>
      <c r="I293" s="20">
        <f>ROUNDUP((Table2[[#This Row],[fGCM_Conc]]*10000),0)</f>
        <v>2782</v>
      </c>
      <c r="J293" s="3" t="str">
        <f>VLOOKUP(G293,'[1]Attributes(OUTDATED)'!$A$2:$C$19,2,FALSE)</f>
        <v>F</v>
      </c>
      <c r="K293" s="3" t="str">
        <f>VLOOKUP(G293,'[1]Attributes(OUTDATED)'!$A$2:$C$19,3,FALSE)</f>
        <v>J</v>
      </c>
      <c r="L293" s="3">
        <f>VLOOKUP(G293,'[1]Attributes(OUTDATED)'!$A$2:$H$19,8,FALSE)</f>
        <v>711</v>
      </c>
      <c r="M293" s="3" t="str">
        <f>K293&amp;J293</f>
        <v>JF</v>
      </c>
      <c r="N293" s="3" t="e">
        <f>VLOOKUP(G293,#REF!,2,FALSE)</f>
        <v>#REF!</v>
      </c>
      <c r="O293" s="11">
        <v>45306</v>
      </c>
      <c r="P293" s="13">
        <v>31</v>
      </c>
      <c r="Q293" s="13">
        <v>22.5</v>
      </c>
      <c r="R293" s="13">
        <v>16.100000000000001</v>
      </c>
      <c r="S293" s="13">
        <f>Table2[[#This Row],[2_Temp_H]]-Table2[[#This Row],[2_Temp_L]]</f>
        <v>14.899999999999999</v>
      </c>
      <c r="T293" s="13">
        <v>21.9</v>
      </c>
      <c r="U293" s="13">
        <v>5.8</v>
      </c>
      <c r="V293" s="13">
        <v>1009.82</v>
      </c>
      <c r="W293" s="13">
        <v>1006.1</v>
      </c>
      <c r="X293" s="13">
        <v>0</v>
      </c>
      <c r="Y293" s="13" t="s">
        <v>148</v>
      </c>
      <c r="Z293" s="16" t="s">
        <v>171</v>
      </c>
      <c r="AA293" s="13" t="s">
        <v>137</v>
      </c>
      <c r="AB293" s="13" t="s">
        <v>143</v>
      </c>
      <c r="AC293" s="13" t="s">
        <v>145</v>
      </c>
      <c r="AD293" s="13" t="s">
        <v>137</v>
      </c>
      <c r="AE293" s="13">
        <f>VLOOKUP(Table2[[#This Row],[3_Elephant_ID]],'[1]Attributes(OUTDATED)'!$A$2:$N$19,12,FALSE)</f>
        <v>398</v>
      </c>
      <c r="AF293" s="13">
        <f>VLOOKUP(Table2[[#This Row],[3_Elephant_ID]],'[1]Attributes(OUTDATED)'!$A$2:$N$19,13,FALSE)</f>
        <v>0.47899999999999998</v>
      </c>
      <c r="AG293" s="13">
        <f>VLOOKUP(Table2[[#This Row],[3_Elephant_ID]],'[1]Attributes(OUTDATED)'!$A$2:$N$19,14,FALSE)</f>
        <v>0.47820662037086947</v>
      </c>
      <c r="AH293" s="13">
        <v>0</v>
      </c>
      <c r="AI293" s="13">
        <v>0</v>
      </c>
      <c r="AJ293" s="13">
        <v>0</v>
      </c>
      <c r="AK293" s="13">
        <v>0</v>
      </c>
      <c r="AL293" s="13">
        <f>VLOOKUP(Table2[[#This Row],[3_Elephant_ID]],'[1]Attributes(OUTDATED)'!$A$2:$P$19,16,FALSE)</f>
        <v>1</v>
      </c>
      <c r="AM293" s="13">
        <f>VLOOKUP(Table2[[#This Row],[3_Elephant_ID]],'[1]Attributes(OUTDATED)'!$A$2:$S$19,17,FALSE)</f>
        <v>0</v>
      </c>
      <c r="AN293" s="13">
        <f>VLOOKUP(Table2[[#This Row],[3_Elephant_ID]],'[1]Attributes(OUTDATED)'!$A$2:$S$19,18,FALSE)</f>
        <v>12</v>
      </c>
    </row>
    <row r="294" spans="1:40" ht="28" x14ac:dyDescent="0.15">
      <c r="A294" s="3">
        <v>323</v>
      </c>
      <c r="B294" s="6">
        <v>1701241158</v>
      </c>
      <c r="C294" s="7">
        <v>17</v>
      </c>
      <c r="D294" s="7">
        <v>1</v>
      </c>
      <c r="E294" s="7">
        <v>2024</v>
      </c>
      <c r="F294" s="5">
        <v>45308</v>
      </c>
      <c r="G294" s="6" t="s">
        <v>17</v>
      </c>
      <c r="H294" s="17">
        <v>0.26531428571428572</v>
      </c>
      <c r="I294" s="20">
        <f>ROUNDUP((Table2[[#This Row],[fGCM_Conc]]*10000),0)</f>
        <v>2654</v>
      </c>
      <c r="J294" s="3" t="str">
        <f>VLOOKUP(G294,'[1]Attributes(OUTDATED)'!$A$2:$C$19,2,FALSE)</f>
        <v>M</v>
      </c>
      <c r="K294" s="3" t="str">
        <f>VLOOKUP(G294,'[1]Attributes(OUTDATED)'!$A$2:$C$19,3,FALSE)</f>
        <v>J</v>
      </c>
      <c r="L294" s="3">
        <f>VLOOKUP(G294,'[1]Attributes(OUTDATED)'!$A$2:$H$19,8,FALSE)</f>
        <v>699</v>
      </c>
      <c r="M294" s="3" t="str">
        <f>K294&amp;J294</f>
        <v>JM</v>
      </c>
      <c r="N294" s="3" t="e">
        <f>VLOOKUP(G294,#REF!,2,FALSE)</f>
        <v>#REF!</v>
      </c>
      <c r="O294" s="11">
        <v>45306</v>
      </c>
      <c r="P294" s="13">
        <v>31</v>
      </c>
      <c r="Q294" s="13">
        <v>22.5</v>
      </c>
      <c r="R294" s="13">
        <v>16.100000000000001</v>
      </c>
      <c r="S294" s="13">
        <f>Table2[[#This Row],[2_Temp_H]]-Table2[[#This Row],[2_Temp_L]]</f>
        <v>14.899999999999999</v>
      </c>
      <c r="T294" s="13">
        <v>21.9</v>
      </c>
      <c r="U294" s="13">
        <v>5.8</v>
      </c>
      <c r="V294" s="13">
        <v>1009.82</v>
      </c>
      <c r="W294" s="13">
        <v>1006.1</v>
      </c>
      <c r="X294" s="13">
        <v>0</v>
      </c>
      <c r="Y294" s="13" t="s">
        <v>148</v>
      </c>
      <c r="Z294" s="16" t="s">
        <v>171</v>
      </c>
      <c r="AA294" s="13" t="s">
        <v>137</v>
      </c>
      <c r="AB294" s="13" t="s">
        <v>143</v>
      </c>
      <c r="AC294" s="13" t="s">
        <v>145</v>
      </c>
      <c r="AD294" s="13" t="s">
        <v>137</v>
      </c>
      <c r="AE294" s="13">
        <f>VLOOKUP(Table2[[#This Row],[3_Elephant_ID]],'[1]Attributes(OUTDATED)'!$A$2:$N$19,12,FALSE)</f>
        <v>343</v>
      </c>
      <c r="AF294" s="13">
        <f>VLOOKUP(Table2[[#This Row],[3_Elephant_ID]],'[1]Attributes(OUTDATED)'!$A$2:$N$19,13,FALSE)</f>
        <v>0.81</v>
      </c>
      <c r="AG294" s="13">
        <f>VLOOKUP(Table2[[#This Row],[3_Elephant_ID]],'[1]Attributes(OUTDATED)'!$A$2:$N$19,14,FALSE)</f>
        <v>0.80966774571167055</v>
      </c>
      <c r="AH294" s="13">
        <v>0</v>
      </c>
      <c r="AI294" s="13">
        <v>0</v>
      </c>
      <c r="AJ294" s="13">
        <v>0</v>
      </c>
      <c r="AK294" s="13">
        <v>0</v>
      </c>
      <c r="AL294" s="13">
        <f>VLOOKUP(Table2[[#This Row],[3_Elephant_ID]],'[1]Attributes(OUTDATED)'!$A$2:$P$19,16,FALSE)</f>
        <v>1</v>
      </c>
      <c r="AM294" s="13">
        <f>VLOOKUP(Table2[[#This Row],[3_Elephant_ID]],'[1]Attributes(OUTDATED)'!$A$2:$S$19,17,FALSE)</f>
        <v>0</v>
      </c>
      <c r="AN294" s="13">
        <f>VLOOKUP(Table2[[#This Row],[3_Elephant_ID]],'[1]Attributes(OUTDATED)'!$A$2:$S$19,18,FALSE)</f>
        <v>8</v>
      </c>
    </row>
    <row r="295" spans="1:40" ht="28" x14ac:dyDescent="0.15">
      <c r="A295" s="3">
        <v>322</v>
      </c>
      <c r="B295" s="6">
        <v>1701241206</v>
      </c>
      <c r="C295" s="7">
        <v>17</v>
      </c>
      <c r="D295" s="7">
        <v>1</v>
      </c>
      <c r="E295" s="7">
        <v>2024</v>
      </c>
      <c r="F295" s="5">
        <v>45308</v>
      </c>
      <c r="G295" s="6" t="s">
        <v>3</v>
      </c>
      <c r="H295" s="17">
        <v>0.26193609022556397</v>
      </c>
      <c r="I295" s="20">
        <f>ROUNDUP((Table2[[#This Row],[fGCM_Conc]]*10000),0)</f>
        <v>2620</v>
      </c>
      <c r="J295" s="3" t="str">
        <f>VLOOKUP(G295,'[1]Attributes(OUTDATED)'!$A$2:$C$19,2,FALSE)</f>
        <v>M</v>
      </c>
      <c r="K295" s="3" t="str">
        <f>VLOOKUP(G295,'[1]Attributes(OUTDATED)'!$A$2:$C$19,3,FALSE)</f>
        <v>J</v>
      </c>
      <c r="L295" s="3">
        <f>VLOOKUP(G295,'[1]Attributes(OUTDATED)'!$A$2:$H$19,8,FALSE)</f>
        <v>1031</v>
      </c>
      <c r="M295" s="3" t="str">
        <f>K295&amp;J295</f>
        <v>JM</v>
      </c>
      <c r="N295" s="3" t="e">
        <f>VLOOKUP(G295,#REF!,2,FALSE)</f>
        <v>#REF!</v>
      </c>
      <c r="O295" s="11">
        <v>45306</v>
      </c>
      <c r="P295" s="13">
        <v>31</v>
      </c>
      <c r="Q295" s="13">
        <v>22.5</v>
      </c>
      <c r="R295" s="13">
        <v>16.100000000000001</v>
      </c>
      <c r="S295" s="13">
        <f>Table2[[#This Row],[2_Temp_H]]-Table2[[#This Row],[2_Temp_L]]</f>
        <v>14.899999999999999</v>
      </c>
      <c r="T295" s="13">
        <v>21.9</v>
      </c>
      <c r="U295" s="13">
        <v>5.8</v>
      </c>
      <c r="V295" s="13">
        <v>1009.82</v>
      </c>
      <c r="W295" s="13">
        <v>1006.1</v>
      </c>
      <c r="X295" s="13">
        <v>0</v>
      </c>
      <c r="Y295" s="13" t="s">
        <v>148</v>
      </c>
      <c r="Z295" s="16" t="s">
        <v>171</v>
      </c>
      <c r="AA295" s="13" t="s">
        <v>137</v>
      </c>
      <c r="AB295" s="13" t="s">
        <v>143</v>
      </c>
      <c r="AC295" s="13" t="s">
        <v>145</v>
      </c>
      <c r="AD295" s="13" t="s">
        <v>137</v>
      </c>
      <c r="AE295" s="13">
        <f>VLOOKUP(Table2[[#This Row],[3_Elephant_ID]],'[1]Attributes(OUTDATED)'!$A$2:$N$19,12,FALSE)</f>
        <v>234</v>
      </c>
      <c r="AF295" s="13">
        <f>VLOOKUP(Table2[[#This Row],[3_Elephant_ID]],'[1]Attributes(OUTDATED)'!$A$2:$N$19,13,FALSE)</f>
        <v>0.16500000000000001</v>
      </c>
      <c r="AG295" s="13">
        <f>VLOOKUP(Table2[[#This Row],[3_Elephant_ID]],'[1]Attributes(OUTDATED)'!$A$2:$N$19,14,FALSE)</f>
        <v>0.16420161303383449</v>
      </c>
      <c r="AH295" s="13">
        <v>0</v>
      </c>
      <c r="AI295" s="13">
        <v>0</v>
      </c>
      <c r="AJ295" s="13">
        <v>0</v>
      </c>
      <c r="AK295" s="13">
        <v>0</v>
      </c>
      <c r="AL295" s="13">
        <f>VLOOKUP(Table2[[#This Row],[3_Elephant_ID]],'[1]Attributes(OUTDATED)'!$A$2:$P$19,16,FALSE)</f>
        <v>1</v>
      </c>
      <c r="AM295" s="13">
        <f>VLOOKUP(Table2[[#This Row],[3_Elephant_ID]],'[1]Attributes(OUTDATED)'!$A$2:$S$19,17,FALSE)</f>
        <v>9</v>
      </c>
      <c r="AN295" s="13">
        <f>VLOOKUP(Table2[[#This Row],[3_Elephant_ID]],'[1]Attributes(OUTDATED)'!$A$2:$S$19,18,FALSE)</f>
        <v>9</v>
      </c>
    </row>
    <row r="296" spans="1:40" ht="28" x14ac:dyDescent="0.15">
      <c r="A296" s="3">
        <v>315</v>
      </c>
      <c r="B296" s="6" t="s">
        <v>119</v>
      </c>
      <c r="C296" s="7">
        <v>2</v>
      </c>
      <c r="D296" s="7">
        <v>2</v>
      </c>
      <c r="E296" s="7">
        <v>2024</v>
      </c>
      <c r="F296" s="5">
        <v>45324</v>
      </c>
      <c r="G296" s="6" t="s">
        <v>9</v>
      </c>
      <c r="H296" s="17">
        <v>0.77896153846153859</v>
      </c>
      <c r="I296" s="20">
        <f>ROUNDUP((Table2[[#This Row],[fGCM_Conc]]*10000),0)</f>
        <v>7790</v>
      </c>
      <c r="J296" s="3" t="str">
        <f>VLOOKUP(G296,'[1]Attributes(OUTDATED)'!$A$2:$C$19,2,FALSE)</f>
        <v>F</v>
      </c>
      <c r="K296" s="3" t="str">
        <f>VLOOKUP(G296,'[1]Attributes(OUTDATED)'!$A$2:$C$19,3,FALSE)</f>
        <v>J</v>
      </c>
      <c r="L296" s="3">
        <f>VLOOKUP(G296,'[1]Attributes(OUTDATED)'!$A$2:$H$19,8,FALSE)</f>
        <v>820</v>
      </c>
      <c r="M296" s="3" t="str">
        <f>K296&amp;J296</f>
        <v>JF</v>
      </c>
      <c r="N296" s="3" t="e">
        <f>VLOOKUP(G296,#REF!,2,FALSE)</f>
        <v>#REF!</v>
      </c>
      <c r="O296" s="11">
        <v>45322</v>
      </c>
      <c r="P296" s="13">
        <v>35.1</v>
      </c>
      <c r="Q296" s="13">
        <v>26.6</v>
      </c>
      <c r="R296" s="13">
        <v>18</v>
      </c>
      <c r="S296" s="13">
        <f>Table2[[#This Row],[2_Temp_H]]-Table2[[#This Row],[2_Temp_L]]</f>
        <v>17.100000000000001</v>
      </c>
      <c r="T296" s="13">
        <v>25.9</v>
      </c>
      <c r="U296" s="13">
        <v>3.7</v>
      </c>
      <c r="V296" s="13">
        <v>1015.92</v>
      </c>
      <c r="W296" s="13">
        <v>1012.87</v>
      </c>
      <c r="X296" s="13">
        <v>0</v>
      </c>
      <c r="Y296" s="13" t="s">
        <v>148</v>
      </c>
      <c r="Z296" s="16" t="s">
        <v>171</v>
      </c>
      <c r="AA296" s="13" t="s">
        <v>137</v>
      </c>
      <c r="AB296" s="13" t="s">
        <v>143</v>
      </c>
      <c r="AC296" s="13" t="s">
        <v>145</v>
      </c>
      <c r="AD296" s="13" t="s">
        <v>137</v>
      </c>
      <c r="AE296" s="13">
        <f>VLOOKUP(Table2[[#This Row],[3_Elephant_ID]],'[1]Attributes(OUTDATED)'!$A$2:$N$19,12,FALSE)</f>
        <v>305</v>
      </c>
      <c r="AF296" s="13">
        <f>VLOOKUP(Table2[[#This Row],[3_Elephant_ID]],'[1]Attributes(OUTDATED)'!$A$2:$N$19,13,FALSE)</f>
        <v>0.17499999999999999</v>
      </c>
      <c r="AG296" s="13">
        <f>VLOOKUP(Table2[[#This Row],[3_Elephant_ID]],'[1]Attributes(OUTDATED)'!$A$2:$N$19,14,FALSE)</f>
        <v>0.17467336145108631</v>
      </c>
      <c r="AH296" s="13">
        <v>0</v>
      </c>
      <c r="AI296" s="13">
        <v>0</v>
      </c>
      <c r="AJ296" s="13">
        <v>0</v>
      </c>
      <c r="AK296" s="13">
        <v>0</v>
      </c>
      <c r="AL296" s="13">
        <f>VLOOKUP(Table2[[#This Row],[3_Elephant_ID]],'[1]Attributes(OUTDATED)'!$A$2:$P$19,16,FALSE)</f>
        <v>2</v>
      </c>
      <c r="AM296" s="13">
        <f>VLOOKUP(Table2[[#This Row],[3_Elephant_ID]],'[1]Attributes(OUTDATED)'!$A$2:$S$19,17,FALSE)</f>
        <v>0</v>
      </c>
      <c r="AN296" s="13">
        <f>VLOOKUP(Table2[[#This Row],[3_Elephant_ID]],'[1]Attributes(OUTDATED)'!$A$2:$S$19,18,FALSE)</f>
        <v>4</v>
      </c>
    </row>
    <row r="297" spans="1:40" ht="28" x14ac:dyDescent="0.15">
      <c r="A297" s="3">
        <v>316</v>
      </c>
      <c r="B297" s="6" t="s">
        <v>120</v>
      </c>
      <c r="C297" s="7">
        <v>2</v>
      </c>
      <c r="D297" s="7">
        <v>2</v>
      </c>
      <c r="E297" s="7">
        <v>2024</v>
      </c>
      <c r="F297" s="5">
        <v>45324</v>
      </c>
      <c r="G297" s="6" t="s">
        <v>5</v>
      </c>
      <c r="H297" s="17">
        <v>0.53366602687140119</v>
      </c>
      <c r="I297" s="20">
        <f>ROUNDUP((Table2[[#This Row],[fGCM_Conc]]*10000),0)</f>
        <v>5337</v>
      </c>
      <c r="J297" s="3" t="str">
        <f>VLOOKUP(G297,'[1]Attributes(OUTDATED)'!$A$2:$C$19,2,FALSE)</f>
        <v>M</v>
      </c>
      <c r="K297" s="3" t="str">
        <f>VLOOKUP(G297,'[1]Attributes(OUTDATED)'!$A$2:$C$19,3,FALSE)</f>
        <v>J</v>
      </c>
      <c r="L297" s="3">
        <f>VLOOKUP(G297,'[1]Attributes(OUTDATED)'!$A$2:$H$19,8,FALSE)</f>
        <v>940</v>
      </c>
      <c r="M297" s="3" t="str">
        <f>K297&amp;J297</f>
        <v>JM</v>
      </c>
      <c r="N297" s="3" t="e">
        <f>VLOOKUP(G297,#REF!,2,FALSE)</f>
        <v>#REF!</v>
      </c>
      <c r="O297" s="11">
        <v>45322</v>
      </c>
      <c r="P297" s="13">
        <v>35.1</v>
      </c>
      <c r="Q297" s="13">
        <v>26.6</v>
      </c>
      <c r="R297" s="13">
        <v>18</v>
      </c>
      <c r="S297" s="13">
        <f>Table2[[#This Row],[2_Temp_H]]-Table2[[#This Row],[2_Temp_L]]</f>
        <v>17.100000000000001</v>
      </c>
      <c r="T297" s="13">
        <v>25.9</v>
      </c>
      <c r="U297" s="13">
        <v>3.7</v>
      </c>
      <c r="V297" s="13">
        <v>1015.92</v>
      </c>
      <c r="W297" s="13">
        <v>1012.87</v>
      </c>
      <c r="X297" s="13">
        <v>0</v>
      </c>
      <c r="Y297" s="13" t="s">
        <v>148</v>
      </c>
      <c r="Z297" s="16" t="s">
        <v>171</v>
      </c>
      <c r="AA297" s="13" t="s">
        <v>137</v>
      </c>
      <c r="AB297" s="13" t="s">
        <v>143</v>
      </c>
      <c r="AC297" s="13" t="s">
        <v>145</v>
      </c>
      <c r="AD297" s="13" t="s">
        <v>137</v>
      </c>
      <c r="AE297" s="13">
        <f>VLOOKUP(Table2[[#This Row],[3_Elephant_ID]],'[1]Attributes(OUTDATED)'!$A$2:$N$19,12,FALSE)</f>
        <v>361</v>
      </c>
      <c r="AF297" s="13">
        <f>VLOOKUP(Table2[[#This Row],[3_Elephant_ID]],'[1]Attributes(OUTDATED)'!$A$2:$N$19,13,FALSE)</f>
        <v>0.40600000000000003</v>
      </c>
      <c r="AG297" s="13">
        <f>VLOOKUP(Table2[[#This Row],[3_Elephant_ID]],'[1]Attributes(OUTDATED)'!$A$2:$N$19,14,FALSE)</f>
        <v>0.40590323220736402</v>
      </c>
      <c r="AH297" s="13">
        <v>0</v>
      </c>
      <c r="AI297" s="13">
        <v>0</v>
      </c>
      <c r="AJ297" s="13">
        <v>0</v>
      </c>
      <c r="AK297" s="13">
        <v>0</v>
      </c>
      <c r="AL297" s="13">
        <f>VLOOKUP(Table2[[#This Row],[3_Elephant_ID]],'[1]Attributes(OUTDATED)'!$A$2:$P$19,16,FALSE)</f>
        <v>1</v>
      </c>
      <c r="AM297" s="13">
        <f>VLOOKUP(Table2[[#This Row],[3_Elephant_ID]],'[1]Attributes(OUTDATED)'!$A$2:$S$19,17,FALSE)</f>
        <v>2</v>
      </c>
      <c r="AN297" s="13">
        <f>VLOOKUP(Table2[[#This Row],[3_Elephant_ID]],'[1]Attributes(OUTDATED)'!$A$2:$S$19,18,FALSE)</f>
        <v>7</v>
      </c>
    </row>
    <row r="298" spans="1:40" ht="28" x14ac:dyDescent="0.15">
      <c r="A298" s="3">
        <v>309</v>
      </c>
      <c r="B298" s="6" t="s">
        <v>113</v>
      </c>
      <c r="C298" s="7">
        <v>3</v>
      </c>
      <c r="D298" s="7">
        <v>2</v>
      </c>
      <c r="E298" s="7">
        <v>2024</v>
      </c>
      <c r="F298" s="5">
        <v>45325</v>
      </c>
      <c r="G298" s="6" t="s">
        <v>16</v>
      </c>
      <c r="H298" s="17">
        <v>0.75949152542372877</v>
      </c>
      <c r="I298" s="20">
        <f>ROUNDUP((Table2[[#This Row],[fGCM_Conc]]*10000),0)</f>
        <v>7595</v>
      </c>
      <c r="J298" s="3" t="str">
        <f>VLOOKUP(G298,'[1]Attributes(OUTDATED)'!$A$2:$C$19,2,FALSE)</f>
        <v>F</v>
      </c>
      <c r="K298" s="3" t="str">
        <f>VLOOKUP(G298,'[1]Attributes(OUTDATED)'!$A$2:$C$19,3,FALSE)</f>
        <v>A</v>
      </c>
      <c r="L298" s="3">
        <f>VLOOKUP(G298,'[1]Attributes(OUTDATED)'!$A$2:$H$19,8,FALSE)</f>
        <v>1346</v>
      </c>
      <c r="M298" s="3" t="str">
        <f>K298&amp;J298</f>
        <v>AF</v>
      </c>
      <c r="N298" s="3" t="e">
        <f>VLOOKUP(G298,#REF!,2,FALSE)</f>
        <v>#REF!</v>
      </c>
      <c r="O298" s="11">
        <v>45323</v>
      </c>
      <c r="P298" s="13">
        <v>36.200000000000003</v>
      </c>
      <c r="Q298" s="13">
        <v>28</v>
      </c>
      <c r="R298" s="13">
        <v>21.5</v>
      </c>
      <c r="S298" s="13">
        <f>Table2[[#This Row],[2_Temp_H]]-Table2[[#This Row],[2_Temp_L]]</f>
        <v>14.700000000000003</v>
      </c>
      <c r="T298" s="13">
        <v>23</v>
      </c>
      <c r="U298" s="13">
        <v>3.5</v>
      </c>
      <c r="V298" s="13">
        <v>1016.93</v>
      </c>
      <c r="W298" s="13">
        <v>1012.87</v>
      </c>
      <c r="X298" s="13">
        <v>0</v>
      </c>
      <c r="Y298" s="13" t="s">
        <v>148</v>
      </c>
      <c r="Z298" s="16" t="s">
        <v>171</v>
      </c>
      <c r="AA298" s="13" t="s">
        <v>137</v>
      </c>
      <c r="AB298" s="13" t="s">
        <v>143</v>
      </c>
      <c r="AC298" s="13" t="s">
        <v>145</v>
      </c>
      <c r="AD298" s="13" t="s">
        <v>137</v>
      </c>
      <c r="AE298" s="13">
        <f>VLOOKUP(Table2[[#This Row],[3_Elephant_ID]],'[1]Attributes(OUTDATED)'!$A$2:$N$19,12,FALSE)</f>
        <v>474</v>
      </c>
      <c r="AF298" s="13">
        <f>VLOOKUP(Table2[[#This Row],[3_Elephant_ID]],'[1]Attributes(OUTDATED)'!$A$2:$N$19,13,FALSE)</f>
        <v>0.121</v>
      </c>
      <c r="AG298" s="13">
        <f>VLOOKUP(Table2[[#This Row],[3_Elephant_ID]],'[1]Attributes(OUTDATED)'!$A$2:$N$19,14,FALSE)</f>
        <v>0.1206993463154281</v>
      </c>
      <c r="AH298" s="13">
        <v>0</v>
      </c>
      <c r="AI298" s="13">
        <v>0</v>
      </c>
      <c r="AJ298" s="13">
        <v>0</v>
      </c>
      <c r="AK298" s="13">
        <v>0</v>
      </c>
      <c r="AL298" s="13">
        <f>VLOOKUP(Table2[[#This Row],[3_Elephant_ID]],'[1]Attributes(OUTDATED)'!$A$2:$P$19,16,FALSE)</f>
        <v>1</v>
      </c>
      <c r="AM298" s="13">
        <f>VLOOKUP(Table2[[#This Row],[3_Elephant_ID]],'[1]Attributes(OUTDATED)'!$A$2:$S$19,17,FALSE)</f>
        <v>16</v>
      </c>
      <c r="AN298" s="13">
        <f>VLOOKUP(Table2[[#This Row],[3_Elephant_ID]],'[1]Attributes(OUTDATED)'!$A$2:$S$19,18,FALSE)</f>
        <v>1</v>
      </c>
    </row>
    <row r="299" spans="1:40" ht="28" x14ac:dyDescent="0.15">
      <c r="A299" s="3">
        <v>314</v>
      </c>
      <c r="B299" s="6" t="s">
        <v>118</v>
      </c>
      <c r="C299" s="7">
        <v>3</v>
      </c>
      <c r="D299" s="7">
        <v>2</v>
      </c>
      <c r="E299" s="7">
        <v>2024</v>
      </c>
      <c r="F299" s="5">
        <v>45325</v>
      </c>
      <c r="G299" s="6" t="s">
        <v>12</v>
      </c>
      <c r="H299" s="17">
        <v>0.5455888030888032</v>
      </c>
      <c r="I299" s="20">
        <f>ROUNDUP((Table2[[#This Row],[fGCM_Conc]]*10000),0)</f>
        <v>5456</v>
      </c>
      <c r="J299" s="3" t="str">
        <f>VLOOKUP(G299,'[1]Attributes(OUTDATED)'!$A$2:$C$19,2,FALSE)</f>
        <v>M</v>
      </c>
      <c r="K299" s="3" t="str">
        <f>VLOOKUP(G299,'[1]Attributes(OUTDATED)'!$A$2:$C$19,3,FALSE)</f>
        <v>A</v>
      </c>
      <c r="L299" s="3">
        <f>VLOOKUP(G299,'[1]Attributes(OUTDATED)'!$A$2:$H$19,8,FALSE)</f>
        <v>1509</v>
      </c>
      <c r="M299" s="3" t="str">
        <f>K299&amp;J299</f>
        <v>AM</v>
      </c>
      <c r="N299" s="3" t="e">
        <f>VLOOKUP(G299,#REF!,2,FALSE)</f>
        <v>#REF!</v>
      </c>
      <c r="O299" s="11">
        <v>45323</v>
      </c>
      <c r="P299" s="13">
        <v>36.200000000000003</v>
      </c>
      <c r="Q299" s="13">
        <v>28</v>
      </c>
      <c r="R299" s="13">
        <v>21.5</v>
      </c>
      <c r="S299" s="13">
        <f>Table2[[#This Row],[2_Temp_H]]-Table2[[#This Row],[2_Temp_L]]</f>
        <v>14.700000000000003</v>
      </c>
      <c r="T299" s="13">
        <v>23</v>
      </c>
      <c r="U299" s="13">
        <v>3.5</v>
      </c>
      <c r="V299" s="13">
        <v>1016.93</v>
      </c>
      <c r="W299" s="13">
        <v>1012.87</v>
      </c>
      <c r="X299" s="13">
        <v>0</v>
      </c>
      <c r="Y299" s="13" t="s">
        <v>148</v>
      </c>
      <c r="Z299" s="16" t="s">
        <v>171</v>
      </c>
      <c r="AA299" s="13" t="s">
        <v>137</v>
      </c>
      <c r="AB299" s="13" t="s">
        <v>143</v>
      </c>
      <c r="AC299" s="13" t="s">
        <v>145</v>
      </c>
      <c r="AD299" s="13" t="s">
        <v>137</v>
      </c>
      <c r="AE299" s="13">
        <f>VLOOKUP(Table2[[#This Row],[3_Elephant_ID]],'[1]Attributes(OUTDATED)'!$A$2:$N$19,12,FALSE)</f>
        <v>450</v>
      </c>
      <c r="AF299" s="13">
        <f>VLOOKUP(Table2[[#This Row],[3_Elephant_ID]],'[1]Attributes(OUTDATED)'!$A$2:$N$19,13,FALSE)</f>
        <v>0.375</v>
      </c>
      <c r="AG299" s="13">
        <f>VLOOKUP(Table2[[#This Row],[3_Elephant_ID]],'[1]Attributes(OUTDATED)'!$A$2:$N$19,14,FALSE)</f>
        <v>0.37414375430996583</v>
      </c>
      <c r="AH299" s="13">
        <v>0</v>
      </c>
      <c r="AI299" s="13">
        <v>0</v>
      </c>
      <c r="AJ299" s="13">
        <v>0</v>
      </c>
      <c r="AK299" s="13">
        <v>0</v>
      </c>
      <c r="AL299" s="13">
        <f>VLOOKUP(Table2[[#This Row],[3_Elephant_ID]],'[1]Attributes(OUTDATED)'!$A$2:$P$19,16,FALSE)</f>
        <v>1</v>
      </c>
      <c r="AM299" s="13">
        <f>VLOOKUP(Table2[[#This Row],[3_Elephant_ID]],'[1]Attributes(OUTDATED)'!$A$2:$S$19,17,FALSE)</f>
        <v>48</v>
      </c>
      <c r="AN299" s="13">
        <f>VLOOKUP(Table2[[#This Row],[3_Elephant_ID]],'[1]Attributes(OUTDATED)'!$A$2:$S$19,18,FALSE)</f>
        <v>3</v>
      </c>
    </row>
    <row r="300" spans="1:40" ht="28" x14ac:dyDescent="0.15">
      <c r="A300" s="3">
        <v>308</v>
      </c>
      <c r="B300" s="6" t="s">
        <v>112</v>
      </c>
      <c r="C300" s="7">
        <v>3</v>
      </c>
      <c r="D300" s="7">
        <v>2</v>
      </c>
      <c r="E300" s="7">
        <v>2024</v>
      </c>
      <c r="F300" s="5">
        <v>45325</v>
      </c>
      <c r="G300" s="6" t="s">
        <v>3</v>
      </c>
      <c r="H300" s="17">
        <v>0.53249999999999997</v>
      </c>
      <c r="I300" s="20">
        <f>ROUNDUP((Table2[[#This Row],[fGCM_Conc]]*10000),0)</f>
        <v>5325</v>
      </c>
      <c r="J300" s="3" t="str">
        <f>VLOOKUP(G300,'[1]Attributes(OUTDATED)'!$A$2:$C$19,2,FALSE)</f>
        <v>M</v>
      </c>
      <c r="K300" s="3" t="str">
        <f>VLOOKUP(G300,'[1]Attributes(OUTDATED)'!$A$2:$C$19,3,FALSE)</f>
        <v>J</v>
      </c>
      <c r="L300" s="3">
        <f>VLOOKUP(G300,'[1]Attributes(OUTDATED)'!$A$2:$H$19,8,FALSE)</f>
        <v>1031</v>
      </c>
      <c r="M300" s="3" t="str">
        <f>K300&amp;J300</f>
        <v>JM</v>
      </c>
      <c r="N300" s="3" t="e">
        <f>VLOOKUP(G300,#REF!,2,FALSE)</f>
        <v>#REF!</v>
      </c>
      <c r="O300" s="11">
        <v>45323</v>
      </c>
      <c r="P300" s="13">
        <v>36.200000000000003</v>
      </c>
      <c r="Q300" s="13">
        <v>28</v>
      </c>
      <c r="R300" s="13">
        <v>21.5</v>
      </c>
      <c r="S300" s="13">
        <f>Table2[[#This Row],[2_Temp_H]]-Table2[[#This Row],[2_Temp_L]]</f>
        <v>14.700000000000003</v>
      </c>
      <c r="T300" s="13">
        <v>23</v>
      </c>
      <c r="U300" s="13">
        <v>3.5</v>
      </c>
      <c r="V300" s="13">
        <v>1016.93</v>
      </c>
      <c r="W300" s="13">
        <v>1012.87</v>
      </c>
      <c r="X300" s="13">
        <v>0</v>
      </c>
      <c r="Y300" s="13" t="s">
        <v>148</v>
      </c>
      <c r="Z300" s="16" t="s">
        <v>171</v>
      </c>
      <c r="AA300" s="13" t="s">
        <v>137</v>
      </c>
      <c r="AB300" s="13" t="s">
        <v>143</v>
      </c>
      <c r="AC300" s="13" t="s">
        <v>145</v>
      </c>
      <c r="AD300" s="13" t="s">
        <v>137</v>
      </c>
      <c r="AE300" s="13">
        <f>VLOOKUP(Table2[[#This Row],[3_Elephant_ID]],'[1]Attributes(OUTDATED)'!$A$2:$N$19,12,FALSE)</f>
        <v>234</v>
      </c>
      <c r="AF300" s="13">
        <f>VLOOKUP(Table2[[#This Row],[3_Elephant_ID]],'[1]Attributes(OUTDATED)'!$A$2:$N$19,13,FALSE)</f>
        <v>0.16500000000000001</v>
      </c>
      <c r="AG300" s="13">
        <f>VLOOKUP(Table2[[#This Row],[3_Elephant_ID]],'[1]Attributes(OUTDATED)'!$A$2:$N$19,14,FALSE)</f>
        <v>0.16420161303383449</v>
      </c>
      <c r="AH300" s="13">
        <v>0</v>
      </c>
      <c r="AI300" s="13">
        <v>0</v>
      </c>
      <c r="AJ300" s="13">
        <v>0</v>
      </c>
      <c r="AK300" s="13">
        <v>0</v>
      </c>
      <c r="AL300" s="13">
        <f>VLOOKUP(Table2[[#This Row],[3_Elephant_ID]],'[1]Attributes(OUTDATED)'!$A$2:$P$19,16,FALSE)</f>
        <v>1</v>
      </c>
      <c r="AM300" s="13">
        <f>VLOOKUP(Table2[[#This Row],[3_Elephant_ID]],'[1]Attributes(OUTDATED)'!$A$2:$S$19,17,FALSE)</f>
        <v>9</v>
      </c>
      <c r="AN300" s="13">
        <f>VLOOKUP(Table2[[#This Row],[3_Elephant_ID]],'[1]Attributes(OUTDATED)'!$A$2:$S$19,18,FALSE)</f>
        <v>9</v>
      </c>
    </row>
    <row r="301" spans="1:40" ht="28" x14ac:dyDescent="0.15">
      <c r="A301" s="3">
        <v>313</v>
      </c>
      <c r="B301" s="6" t="s">
        <v>117</v>
      </c>
      <c r="C301" s="7">
        <v>3</v>
      </c>
      <c r="D301" s="7">
        <v>2</v>
      </c>
      <c r="E301" s="7">
        <v>2024</v>
      </c>
      <c r="F301" s="5">
        <v>45325</v>
      </c>
      <c r="G301" s="6" t="s">
        <v>9</v>
      </c>
      <c r="H301" s="17">
        <v>0.4895977011494253</v>
      </c>
      <c r="I301" s="20">
        <f>ROUNDUP((Table2[[#This Row],[fGCM_Conc]]*10000),0)</f>
        <v>4896</v>
      </c>
      <c r="J301" s="3" t="str">
        <f>VLOOKUP(G301,'[1]Attributes(OUTDATED)'!$A$2:$C$19,2,FALSE)</f>
        <v>F</v>
      </c>
      <c r="K301" s="3" t="str">
        <f>VLOOKUP(G301,'[1]Attributes(OUTDATED)'!$A$2:$C$19,3,FALSE)</f>
        <v>J</v>
      </c>
      <c r="L301" s="3">
        <f>VLOOKUP(G301,'[1]Attributes(OUTDATED)'!$A$2:$H$19,8,FALSE)</f>
        <v>820</v>
      </c>
      <c r="M301" s="3" t="str">
        <f>K301&amp;J301</f>
        <v>JF</v>
      </c>
      <c r="N301" s="3" t="e">
        <f>VLOOKUP(G301,#REF!,2,FALSE)</f>
        <v>#REF!</v>
      </c>
      <c r="O301" s="11">
        <v>45323</v>
      </c>
      <c r="P301" s="13">
        <v>36.200000000000003</v>
      </c>
      <c r="Q301" s="13">
        <v>28</v>
      </c>
      <c r="R301" s="13">
        <v>21.5</v>
      </c>
      <c r="S301" s="13">
        <f>Table2[[#This Row],[2_Temp_H]]-Table2[[#This Row],[2_Temp_L]]</f>
        <v>14.700000000000003</v>
      </c>
      <c r="T301" s="13">
        <v>23</v>
      </c>
      <c r="U301" s="13">
        <v>3.5</v>
      </c>
      <c r="V301" s="13">
        <v>1016.93</v>
      </c>
      <c r="W301" s="13">
        <v>1012.87</v>
      </c>
      <c r="X301" s="13">
        <v>0</v>
      </c>
      <c r="Y301" s="13" t="s">
        <v>148</v>
      </c>
      <c r="Z301" s="16" t="s">
        <v>171</v>
      </c>
      <c r="AA301" s="13" t="s">
        <v>137</v>
      </c>
      <c r="AB301" s="13" t="s">
        <v>143</v>
      </c>
      <c r="AC301" s="13" t="s">
        <v>145</v>
      </c>
      <c r="AD301" s="13" t="s">
        <v>137</v>
      </c>
      <c r="AE301" s="13">
        <f>VLOOKUP(Table2[[#This Row],[3_Elephant_ID]],'[1]Attributes(OUTDATED)'!$A$2:$N$19,12,FALSE)</f>
        <v>305</v>
      </c>
      <c r="AF301" s="13">
        <f>VLOOKUP(Table2[[#This Row],[3_Elephant_ID]],'[1]Attributes(OUTDATED)'!$A$2:$N$19,13,FALSE)</f>
        <v>0.17499999999999999</v>
      </c>
      <c r="AG301" s="13">
        <f>VLOOKUP(Table2[[#This Row],[3_Elephant_ID]],'[1]Attributes(OUTDATED)'!$A$2:$N$19,14,FALSE)</f>
        <v>0.17467336145108631</v>
      </c>
      <c r="AH301" s="13">
        <v>0</v>
      </c>
      <c r="AI301" s="13">
        <v>0</v>
      </c>
      <c r="AJ301" s="13">
        <v>0</v>
      </c>
      <c r="AK301" s="13">
        <v>0</v>
      </c>
      <c r="AL301" s="13">
        <f>VLOOKUP(Table2[[#This Row],[3_Elephant_ID]],'[1]Attributes(OUTDATED)'!$A$2:$P$19,16,FALSE)</f>
        <v>2</v>
      </c>
      <c r="AM301" s="13">
        <f>VLOOKUP(Table2[[#This Row],[3_Elephant_ID]],'[1]Attributes(OUTDATED)'!$A$2:$S$19,17,FALSE)</f>
        <v>0</v>
      </c>
      <c r="AN301" s="13">
        <f>VLOOKUP(Table2[[#This Row],[3_Elephant_ID]],'[1]Attributes(OUTDATED)'!$A$2:$S$19,18,FALSE)</f>
        <v>4</v>
      </c>
    </row>
    <row r="302" spans="1:40" ht="28" x14ac:dyDescent="0.15">
      <c r="A302" s="3">
        <v>310</v>
      </c>
      <c r="B302" s="6" t="s">
        <v>114</v>
      </c>
      <c r="C302" s="7">
        <v>3</v>
      </c>
      <c r="D302" s="7">
        <v>2</v>
      </c>
      <c r="E302" s="7">
        <v>2024</v>
      </c>
      <c r="F302" s="5">
        <v>45325</v>
      </c>
      <c r="G302" s="6" t="s">
        <v>10</v>
      </c>
      <c r="H302" s="17">
        <v>0.41124260355029585</v>
      </c>
      <c r="I302" s="20">
        <f>ROUNDUP((Table2[[#This Row],[fGCM_Conc]]*10000),0)</f>
        <v>4113</v>
      </c>
      <c r="J302" s="3" t="str">
        <f>VLOOKUP(G302,'[1]Attributes(OUTDATED)'!$A$2:$C$19,2,FALSE)</f>
        <v>F</v>
      </c>
      <c r="K302" s="3" t="str">
        <f>VLOOKUP(G302,'[1]Attributes(OUTDATED)'!$A$2:$C$19,3,FALSE)</f>
        <v>A</v>
      </c>
      <c r="L302" s="3">
        <f>VLOOKUP(G302,'[1]Attributes(OUTDATED)'!$A$2:$H$19,8,FALSE)</f>
        <v>1146</v>
      </c>
      <c r="M302" s="3" t="str">
        <f>K302&amp;J302</f>
        <v>AF</v>
      </c>
      <c r="N302" s="3" t="e">
        <f>VLOOKUP(G302,#REF!,2,FALSE)</f>
        <v>#REF!</v>
      </c>
      <c r="O302" s="11">
        <v>45323</v>
      </c>
      <c r="P302" s="13">
        <v>36.200000000000003</v>
      </c>
      <c r="Q302" s="13">
        <v>28</v>
      </c>
      <c r="R302" s="13">
        <v>21.5</v>
      </c>
      <c r="S302" s="13">
        <f>Table2[[#This Row],[2_Temp_H]]-Table2[[#This Row],[2_Temp_L]]</f>
        <v>14.700000000000003</v>
      </c>
      <c r="T302" s="13">
        <v>23</v>
      </c>
      <c r="U302" s="13">
        <v>3.5</v>
      </c>
      <c r="V302" s="13">
        <v>1016.93</v>
      </c>
      <c r="W302" s="13">
        <v>1012.87</v>
      </c>
      <c r="X302" s="13">
        <v>0</v>
      </c>
      <c r="Y302" s="13" t="s">
        <v>148</v>
      </c>
      <c r="Z302" s="16" t="s">
        <v>171</v>
      </c>
      <c r="AA302" s="13" t="s">
        <v>137</v>
      </c>
      <c r="AB302" s="13" t="s">
        <v>143</v>
      </c>
      <c r="AC302" s="13" t="s">
        <v>145</v>
      </c>
      <c r="AD302" s="13" t="s">
        <v>137</v>
      </c>
      <c r="AE302" s="13">
        <f>VLOOKUP(Table2[[#This Row],[3_Elephant_ID]],'[1]Attributes(OUTDATED)'!$A$2:$N$19,12,FALSE)</f>
        <v>424</v>
      </c>
      <c r="AF302" s="13">
        <f>VLOOKUP(Table2[[#This Row],[3_Elephant_ID]],'[1]Attributes(OUTDATED)'!$A$2:$N$19,13,FALSE)</f>
        <v>0.10299999999999999</v>
      </c>
      <c r="AG302" s="13">
        <f>VLOOKUP(Table2[[#This Row],[3_Elephant_ID]],'[1]Attributes(OUTDATED)'!$A$2:$N$19,14,FALSE)</f>
        <v>0.10282190709599449</v>
      </c>
      <c r="AH302" s="13">
        <v>0</v>
      </c>
      <c r="AI302" s="13">
        <v>0</v>
      </c>
      <c r="AJ302" s="13">
        <v>0</v>
      </c>
      <c r="AK302" s="13">
        <v>0</v>
      </c>
      <c r="AL302" s="13">
        <f>VLOOKUP(Table2[[#This Row],[3_Elephant_ID]],'[1]Attributes(OUTDATED)'!$A$2:$P$19,16,FALSE)</f>
        <v>1</v>
      </c>
      <c r="AM302" s="13">
        <f>VLOOKUP(Table2[[#This Row],[3_Elephant_ID]],'[1]Attributes(OUTDATED)'!$A$2:$S$19,17,FALSE)</f>
        <v>9</v>
      </c>
      <c r="AN302" s="13">
        <f>VLOOKUP(Table2[[#This Row],[3_Elephant_ID]],'[1]Attributes(OUTDATED)'!$A$2:$S$19,18,FALSE)</f>
        <v>8</v>
      </c>
    </row>
    <row r="303" spans="1:40" ht="28" x14ac:dyDescent="0.15">
      <c r="A303" s="3">
        <v>311</v>
      </c>
      <c r="B303" s="6" t="s">
        <v>115</v>
      </c>
      <c r="C303" s="7">
        <v>3</v>
      </c>
      <c r="D303" s="7">
        <v>2</v>
      </c>
      <c r="E303" s="7">
        <v>2024</v>
      </c>
      <c r="F303" s="5">
        <v>45325</v>
      </c>
      <c r="G303" s="6" t="s">
        <v>14</v>
      </c>
      <c r="H303" s="17">
        <v>0.40764705882352942</v>
      </c>
      <c r="I303" s="20">
        <f>ROUNDUP((Table2[[#This Row],[fGCM_Conc]]*10000),0)</f>
        <v>4077</v>
      </c>
      <c r="J303" s="3" t="str">
        <f>VLOOKUP(G303,'[1]Attributes(OUTDATED)'!$A$2:$C$19,2,FALSE)</f>
        <v>F</v>
      </c>
      <c r="K303" s="3" t="str">
        <f>VLOOKUP(G303,'[1]Attributes(OUTDATED)'!$A$2:$C$19,3,FALSE)</f>
        <v>J</v>
      </c>
      <c r="L303" s="3">
        <f>VLOOKUP(G303,'[1]Attributes(OUTDATED)'!$A$2:$H$19,8,FALSE)</f>
        <v>879</v>
      </c>
      <c r="M303" s="3" t="str">
        <f>K303&amp;J303</f>
        <v>JF</v>
      </c>
      <c r="N303" s="3" t="e">
        <f>VLOOKUP(G303,#REF!,2,FALSE)</f>
        <v>#REF!</v>
      </c>
      <c r="O303" s="11">
        <v>45323</v>
      </c>
      <c r="P303" s="13">
        <v>36.200000000000003</v>
      </c>
      <c r="Q303" s="13">
        <v>28</v>
      </c>
      <c r="R303" s="13">
        <v>21.5</v>
      </c>
      <c r="S303" s="13">
        <f>Table2[[#This Row],[2_Temp_H]]-Table2[[#This Row],[2_Temp_L]]</f>
        <v>14.700000000000003</v>
      </c>
      <c r="T303" s="13">
        <v>23</v>
      </c>
      <c r="U303" s="13">
        <v>3.5</v>
      </c>
      <c r="V303" s="13">
        <v>1016.93</v>
      </c>
      <c r="W303" s="13">
        <v>1012.87</v>
      </c>
      <c r="X303" s="13">
        <v>0</v>
      </c>
      <c r="Y303" s="13" t="s">
        <v>148</v>
      </c>
      <c r="Z303" s="16" t="s">
        <v>171</v>
      </c>
      <c r="AA303" s="13" t="s">
        <v>137</v>
      </c>
      <c r="AB303" s="13" t="s">
        <v>143</v>
      </c>
      <c r="AC303" s="13" t="s">
        <v>145</v>
      </c>
      <c r="AD303" s="13" t="s">
        <v>137</v>
      </c>
      <c r="AE303" s="13">
        <f>VLOOKUP(Table2[[#This Row],[3_Elephant_ID]],'[1]Attributes(OUTDATED)'!$A$2:$N$19,12,FALSE)</f>
        <v>269</v>
      </c>
      <c r="AF303" s="13">
        <f>VLOOKUP(Table2[[#This Row],[3_Elephant_ID]],'[1]Attributes(OUTDATED)'!$A$2:$N$19,13,FALSE)</f>
        <v>0.65800000000000003</v>
      </c>
      <c r="AG303" s="13">
        <f>VLOOKUP(Table2[[#This Row],[3_Elephant_ID]],'[1]Attributes(OUTDATED)'!$A$2:$N$19,14,FALSE)</f>
        <v>0.65767064449315993</v>
      </c>
      <c r="AH303" s="13">
        <v>0</v>
      </c>
      <c r="AI303" s="13">
        <v>0</v>
      </c>
      <c r="AJ303" s="13">
        <v>0</v>
      </c>
      <c r="AK303" s="13">
        <v>0</v>
      </c>
      <c r="AL303" s="13">
        <f>VLOOKUP(Table2[[#This Row],[3_Elephant_ID]],'[1]Attributes(OUTDATED)'!$A$2:$P$19,16,FALSE)</f>
        <v>1</v>
      </c>
      <c r="AM303" s="13">
        <f>VLOOKUP(Table2[[#This Row],[3_Elephant_ID]],'[1]Attributes(OUTDATED)'!$A$2:$S$19,17,FALSE)</f>
        <v>3</v>
      </c>
      <c r="AN303" s="13">
        <f>VLOOKUP(Table2[[#This Row],[3_Elephant_ID]],'[1]Attributes(OUTDATED)'!$A$2:$S$19,18,FALSE)</f>
        <v>9</v>
      </c>
    </row>
    <row r="304" spans="1:40" ht="28" x14ac:dyDescent="0.15">
      <c r="A304" s="3">
        <v>312</v>
      </c>
      <c r="B304" s="6" t="s">
        <v>116</v>
      </c>
      <c r="C304" s="7">
        <v>3</v>
      </c>
      <c r="D304" s="7">
        <v>2</v>
      </c>
      <c r="E304" s="7">
        <v>2024</v>
      </c>
      <c r="F304" s="5">
        <v>45325</v>
      </c>
      <c r="G304" s="6" t="s">
        <v>5</v>
      </c>
      <c r="H304" s="17">
        <v>0.40032882011605408</v>
      </c>
      <c r="I304" s="20">
        <f>ROUNDUP((Table2[[#This Row],[fGCM_Conc]]*10000),0)</f>
        <v>4004</v>
      </c>
      <c r="J304" s="3" t="str">
        <f>VLOOKUP(G304,'[1]Attributes(OUTDATED)'!$A$2:$C$19,2,FALSE)</f>
        <v>M</v>
      </c>
      <c r="K304" s="3" t="str">
        <f>VLOOKUP(G304,'[1]Attributes(OUTDATED)'!$A$2:$C$19,3,FALSE)</f>
        <v>J</v>
      </c>
      <c r="L304" s="3">
        <f>VLOOKUP(G304,'[1]Attributes(OUTDATED)'!$A$2:$H$19,8,FALSE)</f>
        <v>940</v>
      </c>
      <c r="M304" s="3" t="str">
        <f>K304&amp;J304</f>
        <v>JM</v>
      </c>
      <c r="N304" s="3" t="e">
        <f>VLOOKUP(G304,#REF!,2,FALSE)</f>
        <v>#REF!</v>
      </c>
      <c r="O304" s="11">
        <v>45323</v>
      </c>
      <c r="P304" s="13">
        <v>36.200000000000003</v>
      </c>
      <c r="Q304" s="13">
        <v>28</v>
      </c>
      <c r="R304" s="13">
        <v>21.5</v>
      </c>
      <c r="S304" s="13">
        <f>Table2[[#This Row],[2_Temp_H]]-Table2[[#This Row],[2_Temp_L]]</f>
        <v>14.700000000000003</v>
      </c>
      <c r="T304" s="13">
        <v>23</v>
      </c>
      <c r="U304" s="13">
        <v>3.5</v>
      </c>
      <c r="V304" s="13">
        <v>1016.93</v>
      </c>
      <c r="W304" s="13">
        <v>1012.87</v>
      </c>
      <c r="X304" s="13">
        <v>0</v>
      </c>
      <c r="Y304" s="13" t="s">
        <v>148</v>
      </c>
      <c r="Z304" s="16" t="s">
        <v>171</v>
      </c>
      <c r="AA304" s="13" t="s">
        <v>137</v>
      </c>
      <c r="AB304" s="13" t="s">
        <v>143</v>
      </c>
      <c r="AC304" s="13" t="s">
        <v>145</v>
      </c>
      <c r="AD304" s="13" t="s">
        <v>137</v>
      </c>
      <c r="AE304" s="13">
        <f>VLOOKUP(Table2[[#This Row],[3_Elephant_ID]],'[1]Attributes(OUTDATED)'!$A$2:$N$19,12,FALSE)</f>
        <v>361</v>
      </c>
      <c r="AF304" s="13">
        <f>VLOOKUP(Table2[[#This Row],[3_Elephant_ID]],'[1]Attributes(OUTDATED)'!$A$2:$N$19,13,FALSE)</f>
        <v>0.40600000000000003</v>
      </c>
      <c r="AG304" s="13">
        <f>VLOOKUP(Table2[[#This Row],[3_Elephant_ID]],'[1]Attributes(OUTDATED)'!$A$2:$N$19,14,FALSE)</f>
        <v>0.40590323220736402</v>
      </c>
      <c r="AH304" s="13">
        <v>0</v>
      </c>
      <c r="AI304" s="13">
        <v>0</v>
      </c>
      <c r="AJ304" s="13">
        <v>0</v>
      </c>
      <c r="AK304" s="13">
        <v>0</v>
      </c>
      <c r="AL304" s="13">
        <f>VLOOKUP(Table2[[#This Row],[3_Elephant_ID]],'[1]Attributes(OUTDATED)'!$A$2:$P$19,16,FALSE)</f>
        <v>1</v>
      </c>
      <c r="AM304" s="13">
        <f>VLOOKUP(Table2[[#This Row],[3_Elephant_ID]],'[1]Attributes(OUTDATED)'!$A$2:$S$19,17,FALSE)</f>
        <v>2</v>
      </c>
      <c r="AN304" s="13">
        <f>VLOOKUP(Table2[[#This Row],[3_Elephant_ID]],'[1]Attributes(OUTDATED)'!$A$2:$S$19,18,FALSE)</f>
        <v>7</v>
      </c>
    </row>
    <row r="305" spans="1:40" ht="28" x14ac:dyDescent="0.15">
      <c r="A305" s="3">
        <v>307</v>
      </c>
      <c r="B305" s="6" t="s">
        <v>111</v>
      </c>
      <c r="C305" s="7">
        <v>3</v>
      </c>
      <c r="D305" s="7">
        <v>2</v>
      </c>
      <c r="E305" s="7">
        <v>2024</v>
      </c>
      <c r="F305" s="5">
        <v>45325</v>
      </c>
      <c r="G305" s="6" t="s">
        <v>17</v>
      </c>
      <c r="H305" s="17">
        <v>0.36833976833976834</v>
      </c>
      <c r="I305" s="20">
        <f>ROUNDUP((Table2[[#This Row],[fGCM_Conc]]*10000),0)</f>
        <v>3684</v>
      </c>
      <c r="J305" s="3" t="str">
        <f>VLOOKUP(G305,'[1]Attributes(OUTDATED)'!$A$2:$C$19,2,FALSE)</f>
        <v>M</v>
      </c>
      <c r="K305" s="3" t="str">
        <f>VLOOKUP(G305,'[1]Attributes(OUTDATED)'!$A$2:$C$19,3,FALSE)</f>
        <v>J</v>
      </c>
      <c r="L305" s="3">
        <f>VLOOKUP(G305,'[1]Attributes(OUTDATED)'!$A$2:$H$19,8,FALSE)</f>
        <v>699</v>
      </c>
      <c r="M305" s="3" t="str">
        <f>K305&amp;J305</f>
        <v>JM</v>
      </c>
      <c r="N305" s="3" t="e">
        <f>VLOOKUP(G305,#REF!,2,FALSE)</f>
        <v>#REF!</v>
      </c>
      <c r="O305" s="11">
        <v>45323</v>
      </c>
      <c r="P305" s="13">
        <v>36.200000000000003</v>
      </c>
      <c r="Q305" s="13">
        <v>28</v>
      </c>
      <c r="R305" s="13">
        <v>21.5</v>
      </c>
      <c r="S305" s="13">
        <f>Table2[[#This Row],[2_Temp_H]]-Table2[[#This Row],[2_Temp_L]]</f>
        <v>14.700000000000003</v>
      </c>
      <c r="T305" s="13">
        <v>23</v>
      </c>
      <c r="U305" s="13">
        <v>3.5</v>
      </c>
      <c r="V305" s="13">
        <v>1016.93</v>
      </c>
      <c r="W305" s="13">
        <v>1012.87</v>
      </c>
      <c r="X305" s="13">
        <v>0</v>
      </c>
      <c r="Y305" s="13" t="s">
        <v>148</v>
      </c>
      <c r="Z305" s="16" t="s">
        <v>171</v>
      </c>
      <c r="AA305" s="13" t="s">
        <v>137</v>
      </c>
      <c r="AB305" s="13" t="s">
        <v>143</v>
      </c>
      <c r="AC305" s="13" t="s">
        <v>145</v>
      </c>
      <c r="AD305" s="13" t="s">
        <v>137</v>
      </c>
      <c r="AE305" s="13">
        <f>VLOOKUP(Table2[[#This Row],[3_Elephant_ID]],'[1]Attributes(OUTDATED)'!$A$2:$N$19,12,FALSE)</f>
        <v>343</v>
      </c>
      <c r="AF305" s="13">
        <f>VLOOKUP(Table2[[#This Row],[3_Elephant_ID]],'[1]Attributes(OUTDATED)'!$A$2:$N$19,13,FALSE)</f>
        <v>0.81</v>
      </c>
      <c r="AG305" s="13">
        <f>VLOOKUP(Table2[[#This Row],[3_Elephant_ID]],'[1]Attributes(OUTDATED)'!$A$2:$N$19,14,FALSE)</f>
        <v>0.80966774571167055</v>
      </c>
      <c r="AH305" s="13">
        <v>0</v>
      </c>
      <c r="AI305" s="13">
        <v>0</v>
      </c>
      <c r="AJ305" s="13">
        <v>0</v>
      </c>
      <c r="AK305" s="13">
        <v>0</v>
      </c>
      <c r="AL305" s="13">
        <f>VLOOKUP(Table2[[#This Row],[3_Elephant_ID]],'[1]Attributes(OUTDATED)'!$A$2:$P$19,16,FALSE)</f>
        <v>1</v>
      </c>
      <c r="AM305" s="13">
        <f>VLOOKUP(Table2[[#This Row],[3_Elephant_ID]],'[1]Attributes(OUTDATED)'!$A$2:$S$19,17,FALSE)</f>
        <v>0</v>
      </c>
      <c r="AN305" s="13">
        <f>VLOOKUP(Table2[[#This Row],[3_Elephant_ID]],'[1]Attributes(OUTDATED)'!$A$2:$S$19,18,FALSE)</f>
        <v>8</v>
      </c>
    </row>
    <row r="306" spans="1:40" ht="28" x14ac:dyDescent="0.15">
      <c r="A306" s="3">
        <v>305</v>
      </c>
      <c r="B306" s="6" t="s">
        <v>109</v>
      </c>
      <c r="C306" s="7">
        <v>5</v>
      </c>
      <c r="D306" s="7">
        <v>2</v>
      </c>
      <c r="E306" s="7">
        <v>2024</v>
      </c>
      <c r="F306" s="5">
        <v>45327</v>
      </c>
      <c r="G306" s="6" t="s">
        <v>31</v>
      </c>
      <c r="H306" s="17">
        <v>0.5270750988142292</v>
      </c>
      <c r="I306" s="20">
        <f>ROUNDUP((Table2[[#This Row],[fGCM_Conc]]*10000),0)</f>
        <v>5271</v>
      </c>
      <c r="J306" s="3" t="str">
        <f>VLOOKUP(G306,'[1]Attributes(OUTDATED)'!$A$2:$C$19,2,FALSE)</f>
        <v>F</v>
      </c>
      <c r="K306" s="3" t="str">
        <f>VLOOKUP(G306,'[1]Attributes(OUTDATED)'!$A$2:$C$19,3,FALSE)</f>
        <v>J</v>
      </c>
      <c r="L306" s="3">
        <f>VLOOKUP(G306,'[1]Attributes(OUTDATED)'!$A$2:$H$19,8,FALSE)</f>
        <v>765</v>
      </c>
      <c r="M306" s="3" t="str">
        <f>K306&amp;J306</f>
        <v>JF</v>
      </c>
      <c r="N306" s="3" t="e">
        <f>VLOOKUP(G306,#REF!,2,FALSE)</f>
        <v>#REF!</v>
      </c>
      <c r="O306" s="11">
        <v>45325</v>
      </c>
      <c r="P306" s="13">
        <v>34.5</v>
      </c>
      <c r="Q306" s="13">
        <v>24.2</v>
      </c>
      <c r="R306" s="13">
        <v>16</v>
      </c>
      <c r="S306" s="13">
        <f>Table2[[#This Row],[2_Temp_H]]-Table2[[#This Row],[2_Temp_L]]</f>
        <v>18.5</v>
      </c>
      <c r="T306" s="13">
        <v>31.5</v>
      </c>
      <c r="U306" s="13">
        <v>2.9</v>
      </c>
      <c r="V306" s="13">
        <v>1009.82</v>
      </c>
      <c r="W306" s="13">
        <v>1006.77</v>
      </c>
      <c r="X306" s="13">
        <v>12.95</v>
      </c>
      <c r="Y306" s="13" t="s">
        <v>148</v>
      </c>
      <c r="Z306" s="16" t="s">
        <v>171</v>
      </c>
      <c r="AA306" s="13" t="s">
        <v>137</v>
      </c>
      <c r="AB306" s="13" t="s">
        <v>143</v>
      </c>
      <c r="AC306" s="13" t="s">
        <v>145</v>
      </c>
      <c r="AD306" s="13" t="s">
        <v>137</v>
      </c>
      <c r="AE306" s="13">
        <f>VLOOKUP(Table2[[#This Row],[3_Elephant_ID]],'[1]Attributes(OUTDATED)'!$A$2:$N$19,12,FALSE)</f>
        <v>258</v>
      </c>
      <c r="AF306" s="13">
        <f>VLOOKUP(Table2[[#This Row],[3_Elephant_ID]],'[1]Attributes(OUTDATED)'!$A$2:$N$19,13,FALSE)</f>
        <v>0.25700000000000001</v>
      </c>
      <c r="AG306" s="13">
        <f>VLOOKUP(Table2[[#This Row],[3_Elephant_ID]],'[1]Attributes(OUTDATED)'!$A$2:$N$19,14,FALSE)</f>
        <v>0.25665547185998128</v>
      </c>
      <c r="AH306" s="13">
        <v>1</v>
      </c>
      <c r="AI306" s="13">
        <v>0</v>
      </c>
      <c r="AJ306" s="13">
        <v>0</v>
      </c>
      <c r="AK306" s="13">
        <v>0</v>
      </c>
      <c r="AL306" s="13">
        <f>VLOOKUP(Table2[[#This Row],[3_Elephant_ID]],'[1]Attributes(OUTDATED)'!$A$2:$P$19,16,FALSE)</f>
        <v>2</v>
      </c>
      <c r="AM306" s="13">
        <f>VLOOKUP(Table2[[#This Row],[3_Elephant_ID]],'[1]Attributes(OUTDATED)'!$A$2:$S$19,17,FALSE)</f>
        <v>1</v>
      </c>
      <c r="AN306" s="13">
        <f>VLOOKUP(Table2[[#This Row],[3_Elephant_ID]],'[1]Attributes(OUTDATED)'!$A$2:$S$19,18,FALSE)</f>
        <v>10</v>
      </c>
    </row>
    <row r="307" spans="1:40" ht="28" x14ac:dyDescent="0.15">
      <c r="A307" s="3">
        <v>306</v>
      </c>
      <c r="B307" s="6" t="s">
        <v>110</v>
      </c>
      <c r="C307" s="7">
        <v>5</v>
      </c>
      <c r="D307" s="7">
        <v>2</v>
      </c>
      <c r="E307" s="7">
        <v>2024</v>
      </c>
      <c r="F307" s="5">
        <v>45327</v>
      </c>
      <c r="G307" s="6" t="s">
        <v>7</v>
      </c>
      <c r="H307" s="17">
        <v>0.38023897058823525</v>
      </c>
      <c r="I307" s="20">
        <f>ROUNDUP((Table2[[#This Row],[fGCM_Conc]]*10000),0)</f>
        <v>3803</v>
      </c>
      <c r="J307" s="3" t="str">
        <f>VLOOKUP(G307,'[1]Attributes(OUTDATED)'!$A$2:$C$19,2,FALSE)</f>
        <v>F</v>
      </c>
      <c r="K307" s="3" t="str">
        <f>VLOOKUP(G307,'[1]Attributes(OUTDATED)'!$A$2:$C$19,3,FALSE)</f>
        <v>J</v>
      </c>
      <c r="L307" s="3">
        <f>VLOOKUP(G307,'[1]Attributes(OUTDATED)'!$A$2:$H$19,8,FALSE)</f>
        <v>711</v>
      </c>
      <c r="M307" s="3" t="str">
        <f>K307&amp;J307</f>
        <v>JF</v>
      </c>
      <c r="N307" s="3" t="e">
        <f>VLOOKUP(G307,#REF!,2,FALSE)</f>
        <v>#REF!</v>
      </c>
      <c r="O307" s="11">
        <v>45325</v>
      </c>
      <c r="P307" s="13">
        <v>34.5</v>
      </c>
      <c r="Q307" s="13">
        <v>24.2</v>
      </c>
      <c r="R307" s="13">
        <v>16</v>
      </c>
      <c r="S307" s="13">
        <f>Table2[[#This Row],[2_Temp_H]]-Table2[[#This Row],[2_Temp_L]]</f>
        <v>18.5</v>
      </c>
      <c r="T307" s="13">
        <v>31.5</v>
      </c>
      <c r="U307" s="13">
        <v>2.9</v>
      </c>
      <c r="V307" s="13">
        <v>1009.82</v>
      </c>
      <c r="W307" s="13">
        <v>1006.77</v>
      </c>
      <c r="X307" s="13">
        <v>12.95</v>
      </c>
      <c r="Y307" s="13" t="s">
        <v>148</v>
      </c>
      <c r="Z307" s="16" t="s">
        <v>171</v>
      </c>
      <c r="AA307" s="13" t="s">
        <v>137</v>
      </c>
      <c r="AB307" s="13" t="s">
        <v>143</v>
      </c>
      <c r="AC307" s="13" t="s">
        <v>145</v>
      </c>
      <c r="AD307" s="13" t="s">
        <v>137</v>
      </c>
      <c r="AE307" s="13">
        <f>VLOOKUP(Table2[[#This Row],[3_Elephant_ID]],'[1]Attributes(OUTDATED)'!$A$2:$N$19,12,FALSE)</f>
        <v>398</v>
      </c>
      <c r="AF307" s="13">
        <f>VLOOKUP(Table2[[#This Row],[3_Elephant_ID]],'[1]Attributes(OUTDATED)'!$A$2:$N$19,13,FALSE)</f>
        <v>0.47899999999999998</v>
      </c>
      <c r="AG307" s="13">
        <f>VLOOKUP(Table2[[#This Row],[3_Elephant_ID]],'[1]Attributes(OUTDATED)'!$A$2:$N$19,14,FALSE)</f>
        <v>0.47820662037086947</v>
      </c>
      <c r="AH307" s="13">
        <v>1</v>
      </c>
      <c r="AI307" s="13">
        <v>0</v>
      </c>
      <c r="AJ307" s="13">
        <v>0</v>
      </c>
      <c r="AK307" s="13">
        <v>0</v>
      </c>
      <c r="AL307" s="13">
        <f>VLOOKUP(Table2[[#This Row],[3_Elephant_ID]],'[1]Attributes(OUTDATED)'!$A$2:$P$19,16,FALSE)</f>
        <v>1</v>
      </c>
      <c r="AM307" s="13">
        <f>VLOOKUP(Table2[[#This Row],[3_Elephant_ID]],'[1]Attributes(OUTDATED)'!$A$2:$S$19,17,FALSE)</f>
        <v>0</v>
      </c>
      <c r="AN307" s="13">
        <f>VLOOKUP(Table2[[#This Row],[3_Elephant_ID]],'[1]Attributes(OUTDATED)'!$A$2:$S$19,18,FALSE)</f>
        <v>12</v>
      </c>
    </row>
    <row r="308" spans="1:40" ht="28" x14ac:dyDescent="0.15">
      <c r="A308" s="3">
        <v>302</v>
      </c>
      <c r="B308" s="6">
        <v>1402241222</v>
      </c>
      <c r="C308" s="7">
        <v>14</v>
      </c>
      <c r="D308" s="7">
        <v>2</v>
      </c>
      <c r="E308" s="7">
        <v>2024</v>
      </c>
      <c r="F308" s="5">
        <v>45336</v>
      </c>
      <c r="G308" s="6" t="s">
        <v>10</v>
      </c>
      <c r="H308" s="17">
        <v>0.55459302325581394</v>
      </c>
      <c r="I308" s="20">
        <f>ROUNDUP((Table2[[#This Row],[fGCM_Conc]]*10000),0)</f>
        <v>5546</v>
      </c>
      <c r="J308" s="3" t="str">
        <f>VLOOKUP(G308,'[1]Attributes(OUTDATED)'!$A$2:$C$19,2,FALSE)</f>
        <v>F</v>
      </c>
      <c r="K308" s="3" t="str">
        <f>VLOOKUP(G308,'[1]Attributes(OUTDATED)'!$A$2:$C$19,3,FALSE)</f>
        <v>A</v>
      </c>
      <c r="L308" s="3">
        <f>VLOOKUP(G308,'[1]Attributes(OUTDATED)'!$A$2:$H$19,8,FALSE)</f>
        <v>1146</v>
      </c>
      <c r="M308" s="3" t="str">
        <f>K308&amp;J308</f>
        <v>AF</v>
      </c>
      <c r="N308" s="3" t="e">
        <f>VLOOKUP(G308,#REF!,2,FALSE)</f>
        <v>#REF!</v>
      </c>
      <c r="O308" s="11">
        <v>45334</v>
      </c>
      <c r="P308" s="13">
        <v>39.200000000000003</v>
      </c>
      <c r="Q308" s="13">
        <v>26.2</v>
      </c>
      <c r="R308" s="13">
        <v>12.1</v>
      </c>
      <c r="S308" s="13">
        <f>Table2[[#This Row],[2_Temp_H]]-Table2[[#This Row],[2_Temp_L]]</f>
        <v>27.1</v>
      </c>
      <c r="T308" s="13">
        <v>37.299999999999997</v>
      </c>
      <c r="U308" s="13">
        <v>4.7</v>
      </c>
      <c r="V308" s="13">
        <v>1013.88</v>
      </c>
      <c r="W308" s="13">
        <v>1007.79</v>
      </c>
      <c r="X308" s="13">
        <v>0</v>
      </c>
      <c r="Y308" s="13" t="s">
        <v>148</v>
      </c>
      <c r="Z308" s="16" t="s">
        <v>171</v>
      </c>
      <c r="AA308" s="13" t="s">
        <v>137</v>
      </c>
      <c r="AB308" s="13" t="s">
        <v>143</v>
      </c>
      <c r="AC308" s="13" t="s">
        <v>145</v>
      </c>
      <c r="AD308" s="13" t="s">
        <v>137</v>
      </c>
      <c r="AE308" s="13">
        <f>VLOOKUP(Table2[[#This Row],[3_Elephant_ID]],'[1]Attributes(OUTDATED)'!$A$2:$N$19,12,FALSE)</f>
        <v>424</v>
      </c>
      <c r="AF308" s="13">
        <f>VLOOKUP(Table2[[#This Row],[3_Elephant_ID]],'[1]Attributes(OUTDATED)'!$A$2:$N$19,13,FALSE)</f>
        <v>0.10299999999999999</v>
      </c>
      <c r="AG308" s="13">
        <f>VLOOKUP(Table2[[#This Row],[3_Elephant_ID]],'[1]Attributes(OUTDATED)'!$A$2:$N$19,14,FALSE)</f>
        <v>0.10282190709599449</v>
      </c>
      <c r="AH308" s="13">
        <v>0</v>
      </c>
      <c r="AI308" s="13">
        <v>0</v>
      </c>
      <c r="AJ308" s="13">
        <v>0</v>
      </c>
      <c r="AK308" s="13">
        <v>0</v>
      </c>
      <c r="AL308" s="13">
        <f>VLOOKUP(Table2[[#This Row],[3_Elephant_ID]],'[1]Attributes(OUTDATED)'!$A$2:$P$19,16,FALSE)</f>
        <v>1</v>
      </c>
      <c r="AM308" s="13">
        <f>VLOOKUP(Table2[[#This Row],[3_Elephant_ID]],'[1]Attributes(OUTDATED)'!$A$2:$S$19,17,FALSE)</f>
        <v>9</v>
      </c>
      <c r="AN308" s="13">
        <f>VLOOKUP(Table2[[#This Row],[3_Elephant_ID]],'[1]Attributes(OUTDATED)'!$A$2:$S$19,18,FALSE)</f>
        <v>8</v>
      </c>
    </row>
    <row r="309" spans="1:40" ht="28" x14ac:dyDescent="0.15">
      <c r="A309" s="3">
        <v>300</v>
      </c>
      <c r="B309" s="6">
        <v>1402241229</v>
      </c>
      <c r="C309" s="7">
        <v>14</v>
      </c>
      <c r="D309" s="7">
        <v>2</v>
      </c>
      <c r="E309" s="7">
        <v>2024</v>
      </c>
      <c r="F309" s="5">
        <v>45336</v>
      </c>
      <c r="G309" s="6" t="s">
        <v>3</v>
      </c>
      <c r="H309" s="17">
        <v>0.42904669260700395</v>
      </c>
      <c r="I309" s="20">
        <f>ROUNDUP((Table2[[#This Row],[fGCM_Conc]]*10000),0)</f>
        <v>4291</v>
      </c>
      <c r="J309" s="3" t="str">
        <f>VLOOKUP(G309,'[1]Attributes(OUTDATED)'!$A$2:$C$19,2,FALSE)</f>
        <v>M</v>
      </c>
      <c r="K309" s="3" t="str">
        <f>VLOOKUP(G309,'[1]Attributes(OUTDATED)'!$A$2:$C$19,3,FALSE)</f>
        <v>J</v>
      </c>
      <c r="L309" s="3">
        <f>VLOOKUP(G309,'[1]Attributes(OUTDATED)'!$A$2:$H$19,8,FALSE)</f>
        <v>1031</v>
      </c>
      <c r="M309" s="3" t="str">
        <f>K309&amp;J309</f>
        <v>JM</v>
      </c>
      <c r="N309" s="3" t="e">
        <f>VLOOKUP(G309,#REF!,2,FALSE)</f>
        <v>#REF!</v>
      </c>
      <c r="O309" s="11">
        <v>45334</v>
      </c>
      <c r="P309" s="13">
        <v>39.200000000000003</v>
      </c>
      <c r="Q309" s="13">
        <v>26.2</v>
      </c>
      <c r="R309" s="13">
        <v>12.1</v>
      </c>
      <c r="S309" s="13">
        <f>Table2[[#This Row],[2_Temp_H]]-Table2[[#This Row],[2_Temp_L]]</f>
        <v>27.1</v>
      </c>
      <c r="T309" s="13">
        <v>37.299999999999997</v>
      </c>
      <c r="U309" s="13">
        <v>4.7</v>
      </c>
      <c r="V309" s="13">
        <v>1013.88</v>
      </c>
      <c r="W309" s="13">
        <v>1007.79</v>
      </c>
      <c r="X309" s="13">
        <v>0</v>
      </c>
      <c r="Y309" s="13" t="s">
        <v>148</v>
      </c>
      <c r="Z309" s="16" t="s">
        <v>171</v>
      </c>
      <c r="AA309" s="13" t="s">
        <v>137</v>
      </c>
      <c r="AB309" s="13" t="s">
        <v>143</v>
      </c>
      <c r="AC309" s="13" t="s">
        <v>145</v>
      </c>
      <c r="AD309" s="13" t="s">
        <v>137</v>
      </c>
      <c r="AE309" s="13">
        <f>VLOOKUP(Table2[[#This Row],[3_Elephant_ID]],'[1]Attributes(OUTDATED)'!$A$2:$N$19,12,FALSE)</f>
        <v>234</v>
      </c>
      <c r="AF309" s="13">
        <f>VLOOKUP(Table2[[#This Row],[3_Elephant_ID]],'[1]Attributes(OUTDATED)'!$A$2:$N$19,13,FALSE)</f>
        <v>0.16500000000000001</v>
      </c>
      <c r="AG309" s="13">
        <f>VLOOKUP(Table2[[#This Row],[3_Elephant_ID]],'[1]Attributes(OUTDATED)'!$A$2:$N$19,14,FALSE)</f>
        <v>0.16420161303383449</v>
      </c>
      <c r="AH309" s="13">
        <v>0</v>
      </c>
      <c r="AI309" s="13">
        <v>0</v>
      </c>
      <c r="AJ309" s="13">
        <v>0</v>
      </c>
      <c r="AK309" s="13">
        <v>0</v>
      </c>
      <c r="AL309" s="13">
        <f>VLOOKUP(Table2[[#This Row],[3_Elephant_ID]],'[1]Attributes(OUTDATED)'!$A$2:$P$19,16,FALSE)</f>
        <v>1</v>
      </c>
      <c r="AM309" s="13">
        <f>VLOOKUP(Table2[[#This Row],[3_Elephant_ID]],'[1]Attributes(OUTDATED)'!$A$2:$S$19,17,FALSE)</f>
        <v>9</v>
      </c>
      <c r="AN309" s="13">
        <f>VLOOKUP(Table2[[#This Row],[3_Elephant_ID]],'[1]Attributes(OUTDATED)'!$A$2:$S$19,18,FALSE)</f>
        <v>9</v>
      </c>
    </row>
    <row r="310" spans="1:40" ht="28" x14ac:dyDescent="0.15">
      <c r="A310" s="3">
        <v>303</v>
      </c>
      <c r="B310" s="6">
        <v>1402240949</v>
      </c>
      <c r="C310" s="7">
        <v>14</v>
      </c>
      <c r="D310" s="7">
        <v>2</v>
      </c>
      <c r="E310" s="7">
        <v>2024</v>
      </c>
      <c r="F310" s="5">
        <v>45336</v>
      </c>
      <c r="G310" s="6" t="s">
        <v>13</v>
      </c>
      <c r="H310" s="17">
        <v>0.34669758812615953</v>
      </c>
      <c r="I310" s="20">
        <f>ROUNDUP((Table2[[#This Row],[fGCM_Conc]]*10000),0)</f>
        <v>3467</v>
      </c>
      <c r="J310" s="3" t="str">
        <f>VLOOKUP(G310,'[1]Attributes(OUTDATED)'!$A$2:$C$19,2,FALSE)</f>
        <v>F</v>
      </c>
      <c r="K310" s="3" t="str">
        <f>VLOOKUP(G310,'[1]Attributes(OUTDATED)'!$A$2:$C$19,3,FALSE)</f>
        <v>A</v>
      </c>
      <c r="L310" s="3">
        <f>VLOOKUP(G310,'[1]Attributes(OUTDATED)'!$A$2:$H$19,8,FALSE)</f>
        <v>963</v>
      </c>
      <c r="M310" s="3" t="str">
        <f>K310&amp;J310</f>
        <v>AF</v>
      </c>
      <c r="N310" s="3" t="e">
        <f>VLOOKUP(G310,#REF!,2,FALSE)</f>
        <v>#REF!</v>
      </c>
      <c r="O310" s="11">
        <v>45334</v>
      </c>
      <c r="P310" s="13">
        <v>39.200000000000003</v>
      </c>
      <c r="Q310" s="13">
        <v>26.2</v>
      </c>
      <c r="R310" s="13">
        <v>12.1</v>
      </c>
      <c r="S310" s="13">
        <f>Table2[[#This Row],[2_Temp_H]]-Table2[[#This Row],[2_Temp_L]]</f>
        <v>27.1</v>
      </c>
      <c r="T310" s="13">
        <v>37.299999999999997</v>
      </c>
      <c r="U310" s="13">
        <v>4.7</v>
      </c>
      <c r="V310" s="13">
        <v>1013.88</v>
      </c>
      <c r="W310" s="13">
        <v>1007.79</v>
      </c>
      <c r="X310" s="13">
        <v>0</v>
      </c>
      <c r="Y310" s="13" t="s">
        <v>148</v>
      </c>
      <c r="Z310" s="16" t="s">
        <v>171</v>
      </c>
      <c r="AA310" s="13" t="s">
        <v>137</v>
      </c>
      <c r="AB310" s="13" t="s">
        <v>143</v>
      </c>
      <c r="AC310" s="13" t="s">
        <v>145</v>
      </c>
      <c r="AD310" s="13" t="s">
        <v>137</v>
      </c>
      <c r="AE310" s="13">
        <f>VLOOKUP(Table2[[#This Row],[3_Elephant_ID]],'[1]Attributes(OUTDATED)'!$A$2:$N$19,12,FALSE)</f>
        <v>289</v>
      </c>
      <c r="AF310" s="13">
        <f>VLOOKUP(Table2[[#This Row],[3_Elephant_ID]],'[1]Attributes(OUTDATED)'!$A$2:$N$19,13,FALSE)</f>
        <v>0.32400000000000001</v>
      </c>
      <c r="AG310" s="13">
        <f>VLOOKUP(Table2[[#This Row],[3_Elephant_ID]],'[1]Attributes(OUTDATED)'!$A$2:$N$19,14,FALSE)</f>
        <v>0.32380809109629533</v>
      </c>
      <c r="AH310" s="13">
        <v>0</v>
      </c>
      <c r="AI310" s="13">
        <v>0</v>
      </c>
      <c r="AJ310" s="13">
        <v>0</v>
      </c>
      <c r="AK310" s="13">
        <v>0</v>
      </c>
      <c r="AL310" s="13">
        <f>VLOOKUP(Table2[[#This Row],[3_Elephant_ID]],'[1]Attributes(OUTDATED)'!$A$2:$P$19,16,FALSE)</f>
        <v>2</v>
      </c>
      <c r="AM310" s="13">
        <f>VLOOKUP(Table2[[#This Row],[3_Elephant_ID]],'[1]Attributes(OUTDATED)'!$A$2:$S$19,17,FALSE)</f>
        <v>9</v>
      </c>
      <c r="AN310" s="13">
        <f>VLOOKUP(Table2[[#This Row],[3_Elephant_ID]],'[1]Attributes(OUTDATED)'!$A$2:$S$19,18,FALSE)</f>
        <v>9</v>
      </c>
    </row>
    <row r="311" spans="1:40" ht="28" x14ac:dyDescent="0.15">
      <c r="A311" s="3">
        <v>304</v>
      </c>
      <c r="B311" s="6">
        <v>1402240925</v>
      </c>
      <c r="C311" s="7">
        <v>14</v>
      </c>
      <c r="D311" s="7">
        <v>2</v>
      </c>
      <c r="E311" s="7">
        <v>2024</v>
      </c>
      <c r="F311" s="5">
        <v>45336</v>
      </c>
      <c r="G311" s="6" t="s">
        <v>1</v>
      </c>
      <c r="H311" s="17">
        <v>0.32650000000000001</v>
      </c>
      <c r="I311" s="20">
        <f>ROUNDUP((Table2[[#This Row],[fGCM_Conc]]*10000),0)</f>
        <v>3265</v>
      </c>
      <c r="J311" s="3" t="str">
        <f>VLOOKUP(G311,'[1]Attributes(OUTDATED)'!$A$2:$C$19,2,FALSE)</f>
        <v>F</v>
      </c>
      <c r="K311" s="3" t="str">
        <f>VLOOKUP(G311,'[1]Attributes(OUTDATED)'!$A$2:$C$19,3,FALSE)</f>
        <v>A</v>
      </c>
      <c r="L311" s="3">
        <f>VLOOKUP(G311,'[1]Attributes(OUTDATED)'!$A$2:$H$19,8,FALSE)</f>
        <v>929</v>
      </c>
      <c r="M311" s="3" t="str">
        <f>K311&amp;J311</f>
        <v>AF</v>
      </c>
      <c r="N311" s="3" t="e">
        <f>VLOOKUP(G311,#REF!,2,FALSE)</f>
        <v>#REF!</v>
      </c>
      <c r="O311" s="11">
        <v>45334</v>
      </c>
      <c r="P311" s="13">
        <v>39.200000000000003</v>
      </c>
      <c r="Q311" s="13">
        <v>26.2</v>
      </c>
      <c r="R311" s="13">
        <v>12.1</v>
      </c>
      <c r="S311" s="13">
        <f>Table2[[#This Row],[2_Temp_H]]-Table2[[#This Row],[2_Temp_L]]</f>
        <v>27.1</v>
      </c>
      <c r="T311" s="13">
        <v>37.299999999999997</v>
      </c>
      <c r="U311" s="13">
        <v>4.7</v>
      </c>
      <c r="V311" s="13">
        <v>1013.88</v>
      </c>
      <c r="W311" s="13">
        <v>1007.79</v>
      </c>
      <c r="X311" s="13">
        <v>0</v>
      </c>
      <c r="Y311" s="13" t="s">
        <v>148</v>
      </c>
      <c r="Z311" s="16" t="s">
        <v>171</v>
      </c>
      <c r="AA311" s="13" t="s">
        <v>137</v>
      </c>
      <c r="AB311" s="13" t="s">
        <v>143</v>
      </c>
      <c r="AC311" s="13" t="s">
        <v>145</v>
      </c>
      <c r="AD311" s="13" t="s">
        <v>137</v>
      </c>
      <c r="AE311" s="13">
        <f>VLOOKUP(Table2[[#This Row],[3_Elephant_ID]],'[1]Attributes(OUTDATED)'!$A$2:$N$19,12,FALSE)</f>
        <v>321</v>
      </c>
      <c r="AF311" s="13">
        <f>VLOOKUP(Table2[[#This Row],[3_Elephant_ID]],'[1]Attributes(OUTDATED)'!$A$2:$N$19,13,FALSE)</f>
        <v>0.17599999999999999</v>
      </c>
      <c r="AG311" s="13">
        <f>VLOOKUP(Table2[[#This Row],[3_Elephant_ID]],'[1]Attributes(OUTDATED)'!$A$2:$N$19,14,FALSE)</f>
        <v>0.17530262753188491</v>
      </c>
      <c r="AH311" s="13">
        <v>0</v>
      </c>
      <c r="AI311" s="13">
        <v>0</v>
      </c>
      <c r="AJ311" s="13">
        <v>0</v>
      </c>
      <c r="AK311" s="13">
        <v>0</v>
      </c>
      <c r="AL311" s="13">
        <f>VLOOKUP(Table2[[#This Row],[3_Elephant_ID]],'[1]Attributes(OUTDATED)'!$A$2:$P$19,16,FALSE)</f>
        <v>1</v>
      </c>
      <c r="AM311" s="13">
        <f>VLOOKUP(Table2[[#This Row],[3_Elephant_ID]],'[1]Attributes(OUTDATED)'!$A$2:$S$19,17,FALSE)</f>
        <v>6</v>
      </c>
      <c r="AN311" s="13">
        <f>VLOOKUP(Table2[[#This Row],[3_Elephant_ID]],'[1]Attributes(OUTDATED)'!$A$2:$S$19,18,FALSE)</f>
        <v>8</v>
      </c>
    </row>
    <row r="312" spans="1:40" ht="28" x14ac:dyDescent="0.15">
      <c r="A312" s="3">
        <v>301</v>
      </c>
      <c r="B312" s="6">
        <v>1402241212</v>
      </c>
      <c r="C312" s="7">
        <v>14</v>
      </c>
      <c r="D312" s="7">
        <v>2</v>
      </c>
      <c r="E312" s="7">
        <v>2024</v>
      </c>
      <c r="F312" s="5">
        <v>45336</v>
      </c>
      <c r="G312" s="6" t="s">
        <v>11</v>
      </c>
      <c r="H312" s="17">
        <v>0.25608365019011414</v>
      </c>
      <c r="I312" s="20">
        <f>ROUNDUP((Table2[[#This Row],[fGCM_Conc]]*10000),0)</f>
        <v>2561</v>
      </c>
      <c r="J312" s="3" t="str">
        <f>VLOOKUP(G312,'[1]Attributes(OUTDATED)'!$A$2:$C$19,2,FALSE)</f>
        <v>M</v>
      </c>
      <c r="K312" s="3" t="str">
        <f>VLOOKUP(G312,'[1]Attributes(OUTDATED)'!$A$2:$C$19,3,FALSE)</f>
        <v>A</v>
      </c>
      <c r="L312" s="3">
        <f>VLOOKUP(G312,'[1]Attributes(OUTDATED)'!$A$2:$H$19,8,FALSE)</f>
        <v>1223</v>
      </c>
      <c r="M312" s="3" t="str">
        <f>K312&amp;J312</f>
        <v>AM</v>
      </c>
      <c r="N312" s="3" t="e">
        <f>VLOOKUP(G312,#REF!,2,FALSE)</f>
        <v>#REF!</v>
      </c>
      <c r="O312" s="11">
        <v>45334</v>
      </c>
      <c r="P312" s="13">
        <v>39.200000000000003</v>
      </c>
      <c r="Q312" s="13">
        <v>26.2</v>
      </c>
      <c r="R312" s="13">
        <v>12.1</v>
      </c>
      <c r="S312" s="13">
        <f>Table2[[#This Row],[2_Temp_H]]-Table2[[#This Row],[2_Temp_L]]</f>
        <v>27.1</v>
      </c>
      <c r="T312" s="13">
        <v>37.299999999999997</v>
      </c>
      <c r="U312" s="13">
        <v>4.7</v>
      </c>
      <c r="V312" s="13">
        <v>1013.88</v>
      </c>
      <c r="W312" s="13">
        <v>1007.79</v>
      </c>
      <c r="X312" s="13">
        <v>0</v>
      </c>
      <c r="Y312" s="13" t="s">
        <v>148</v>
      </c>
      <c r="Z312" s="16" t="s">
        <v>171</v>
      </c>
      <c r="AA312" s="13" t="s">
        <v>137</v>
      </c>
      <c r="AB312" s="13" t="s">
        <v>143</v>
      </c>
      <c r="AC312" s="13" t="s">
        <v>145</v>
      </c>
      <c r="AD312" s="13" t="s">
        <v>137</v>
      </c>
      <c r="AE312" s="13">
        <f>VLOOKUP(Table2[[#This Row],[3_Elephant_ID]],'[1]Attributes(OUTDATED)'!$A$2:$N$19,12,FALSE)</f>
        <v>404</v>
      </c>
      <c r="AF312" s="13">
        <f>VLOOKUP(Table2[[#This Row],[3_Elephant_ID]],'[1]Attributes(OUTDATED)'!$A$2:$N$19,13,FALSE)</f>
        <v>0.91700000000000004</v>
      </c>
      <c r="AG312" s="13">
        <f>VLOOKUP(Table2[[#This Row],[3_Elephant_ID]],'[1]Attributes(OUTDATED)'!$A$2:$N$19,14,FALSE)</f>
        <v>0.91664628583929353</v>
      </c>
      <c r="AH312" s="13">
        <v>0</v>
      </c>
      <c r="AI312" s="13">
        <v>0</v>
      </c>
      <c r="AJ312" s="13">
        <v>0</v>
      </c>
      <c r="AK312" s="13">
        <v>0</v>
      </c>
      <c r="AL312" s="13">
        <f>VLOOKUP(Table2[[#This Row],[3_Elephant_ID]],'[1]Attributes(OUTDATED)'!$A$2:$P$19,16,FALSE)</f>
        <v>1</v>
      </c>
      <c r="AM312" s="13">
        <f>VLOOKUP(Table2[[#This Row],[3_Elephant_ID]],'[1]Attributes(OUTDATED)'!$A$2:$S$19,17,FALSE)</f>
        <v>14</v>
      </c>
      <c r="AN312" s="13">
        <f>VLOOKUP(Table2[[#This Row],[3_Elephant_ID]],'[1]Attributes(OUTDATED)'!$A$2:$S$19,18,FALSE)</f>
        <v>17</v>
      </c>
    </row>
    <row r="313" spans="1:40" ht="28" x14ac:dyDescent="0.15">
      <c r="A313" s="3">
        <v>296</v>
      </c>
      <c r="B313" s="6">
        <v>1502241054</v>
      </c>
      <c r="C313" s="7">
        <v>15</v>
      </c>
      <c r="D313" s="7">
        <v>2</v>
      </c>
      <c r="E313" s="7">
        <v>2024</v>
      </c>
      <c r="F313" s="5">
        <v>45337</v>
      </c>
      <c r="G313" s="6" t="s">
        <v>12</v>
      </c>
      <c r="H313" s="17">
        <v>0.59446069469835472</v>
      </c>
      <c r="I313" s="20">
        <f>ROUNDUP((Table2[[#This Row],[fGCM_Conc]]*10000),0)</f>
        <v>5945</v>
      </c>
      <c r="J313" s="3" t="str">
        <f>VLOOKUP(G313,'[1]Attributes(OUTDATED)'!$A$2:$C$19,2,FALSE)</f>
        <v>M</v>
      </c>
      <c r="K313" s="3" t="str">
        <f>VLOOKUP(G313,'[1]Attributes(OUTDATED)'!$A$2:$C$19,3,FALSE)</f>
        <v>A</v>
      </c>
      <c r="L313" s="3">
        <f>VLOOKUP(G313,'[1]Attributes(OUTDATED)'!$A$2:$H$19,8,FALSE)</f>
        <v>1509</v>
      </c>
      <c r="M313" s="3" t="str">
        <f>K313&amp;J313</f>
        <v>AM</v>
      </c>
      <c r="N313" s="3" t="e">
        <f>VLOOKUP(G313,#REF!,2,FALSE)</f>
        <v>#REF!</v>
      </c>
      <c r="O313" s="11">
        <v>45335</v>
      </c>
      <c r="P313" s="13">
        <v>37.9</v>
      </c>
      <c r="Q313" s="13">
        <v>28.1</v>
      </c>
      <c r="R313" s="13">
        <v>18.2</v>
      </c>
      <c r="S313" s="13">
        <f>Table2[[#This Row],[2_Temp_H]]-Table2[[#This Row],[2_Temp_L]]</f>
        <v>19.7</v>
      </c>
      <c r="T313" s="13">
        <v>30.1</v>
      </c>
      <c r="U313" s="13">
        <v>6</v>
      </c>
      <c r="V313" s="13">
        <v>1011.85</v>
      </c>
      <c r="W313" s="13">
        <v>1006.77</v>
      </c>
      <c r="X313" s="13">
        <v>0</v>
      </c>
      <c r="Y313" s="13" t="s">
        <v>148</v>
      </c>
      <c r="Z313" s="16" t="s">
        <v>171</v>
      </c>
      <c r="AA313" s="13" t="s">
        <v>137</v>
      </c>
      <c r="AB313" s="13" t="s">
        <v>143</v>
      </c>
      <c r="AC313" s="13" t="s">
        <v>145</v>
      </c>
      <c r="AD313" s="13" t="s">
        <v>137</v>
      </c>
      <c r="AE313" s="13">
        <f>VLOOKUP(Table2[[#This Row],[3_Elephant_ID]],'[1]Attributes(OUTDATED)'!$A$2:$N$19,12,FALSE)</f>
        <v>450</v>
      </c>
      <c r="AF313" s="13">
        <f>VLOOKUP(Table2[[#This Row],[3_Elephant_ID]],'[1]Attributes(OUTDATED)'!$A$2:$N$19,13,FALSE)</f>
        <v>0.375</v>
      </c>
      <c r="AG313" s="13">
        <f>VLOOKUP(Table2[[#This Row],[3_Elephant_ID]],'[1]Attributes(OUTDATED)'!$A$2:$N$19,14,FALSE)</f>
        <v>0.37414375430996583</v>
      </c>
      <c r="AH313" s="13">
        <v>2</v>
      </c>
      <c r="AI313" s="13">
        <v>0</v>
      </c>
      <c r="AJ313" s="13">
        <v>0</v>
      </c>
      <c r="AK313" s="13">
        <v>0</v>
      </c>
      <c r="AL313" s="13">
        <f>VLOOKUP(Table2[[#This Row],[3_Elephant_ID]],'[1]Attributes(OUTDATED)'!$A$2:$P$19,16,FALSE)</f>
        <v>1</v>
      </c>
      <c r="AM313" s="13">
        <f>VLOOKUP(Table2[[#This Row],[3_Elephant_ID]],'[1]Attributes(OUTDATED)'!$A$2:$S$19,17,FALSE)</f>
        <v>48</v>
      </c>
      <c r="AN313" s="13">
        <f>VLOOKUP(Table2[[#This Row],[3_Elephant_ID]],'[1]Attributes(OUTDATED)'!$A$2:$S$19,18,FALSE)</f>
        <v>3</v>
      </c>
    </row>
    <row r="314" spans="1:40" ht="28" x14ac:dyDescent="0.15">
      <c r="A314" s="3">
        <v>293</v>
      </c>
      <c r="B314" s="6">
        <v>1502241509</v>
      </c>
      <c r="C314" s="7">
        <v>15</v>
      </c>
      <c r="D314" s="7">
        <v>2</v>
      </c>
      <c r="E314" s="7">
        <v>2024</v>
      </c>
      <c r="F314" s="5">
        <v>45337</v>
      </c>
      <c r="G314" s="6" t="s">
        <v>10</v>
      </c>
      <c r="H314" s="17">
        <v>0.44988165680473374</v>
      </c>
      <c r="I314" s="20">
        <f>ROUNDUP((Table2[[#This Row],[fGCM_Conc]]*10000),0)</f>
        <v>4499</v>
      </c>
      <c r="J314" s="3" t="str">
        <f>VLOOKUP(G314,'[1]Attributes(OUTDATED)'!$A$2:$C$19,2,FALSE)</f>
        <v>F</v>
      </c>
      <c r="K314" s="3" t="str">
        <f>VLOOKUP(G314,'[1]Attributes(OUTDATED)'!$A$2:$C$19,3,FALSE)</f>
        <v>A</v>
      </c>
      <c r="L314" s="3">
        <f>VLOOKUP(G314,'[1]Attributes(OUTDATED)'!$A$2:$H$19,8,FALSE)</f>
        <v>1146</v>
      </c>
      <c r="M314" s="3" t="str">
        <f>K314&amp;J314</f>
        <v>AF</v>
      </c>
      <c r="N314" s="3" t="e">
        <f>VLOOKUP(G314,#REF!,2,FALSE)</f>
        <v>#REF!</v>
      </c>
      <c r="O314" s="11">
        <v>45335</v>
      </c>
      <c r="P314" s="13">
        <v>37.9</v>
      </c>
      <c r="Q314" s="13">
        <v>28.1</v>
      </c>
      <c r="R314" s="13">
        <v>18.2</v>
      </c>
      <c r="S314" s="13">
        <f>Table2[[#This Row],[2_Temp_H]]-Table2[[#This Row],[2_Temp_L]]</f>
        <v>19.7</v>
      </c>
      <c r="T314" s="13">
        <v>30.1</v>
      </c>
      <c r="U314" s="13">
        <v>6</v>
      </c>
      <c r="V314" s="13">
        <v>1011.85</v>
      </c>
      <c r="W314" s="13">
        <v>1006.77</v>
      </c>
      <c r="X314" s="13">
        <v>0</v>
      </c>
      <c r="Y314" s="13" t="s">
        <v>148</v>
      </c>
      <c r="Z314" s="16" t="s">
        <v>171</v>
      </c>
      <c r="AA314" s="13" t="s">
        <v>137</v>
      </c>
      <c r="AB314" s="13" t="s">
        <v>143</v>
      </c>
      <c r="AC314" s="13" t="s">
        <v>145</v>
      </c>
      <c r="AD314" s="13" t="s">
        <v>137</v>
      </c>
      <c r="AE314" s="13">
        <f>VLOOKUP(Table2[[#This Row],[3_Elephant_ID]],'[1]Attributes(OUTDATED)'!$A$2:$N$19,12,FALSE)</f>
        <v>424</v>
      </c>
      <c r="AF314" s="13">
        <f>VLOOKUP(Table2[[#This Row],[3_Elephant_ID]],'[1]Attributes(OUTDATED)'!$A$2:$N$19,13,FALSE)</f>
        <v>0.10299999999999999</v>
      </c>
      <c r="AG314" s="13">
        <f>VLOOKUP(Table2[[#This Row],[3_Elephant_ID]],'[1]Attributes(OUTDATED)'!$A$2:$N$19,14,FALSE)</f>
        <v>0.10282190709599449</v>
      </c>
      <c r="AH314" s="13">
        <v>2</v>
      </c>
      <c r="AI314" s="13">
        <v>0</v>
      </c>
      <c r="AJ314" s="13">
        <v>1</v>
      </c>
      <c r="AK314" s="13">
        <v>1</v>
      </c>
      <c r="AL314" s="13">
        <f>VLOOKUP(Table2[[#This Row],[3_Elephant_ID]],'[1]Attributes(OUTDATED)'!$A$2:$P$19,16,FALSE)</f>
        <v>1</v>
      </c>
      <c r="AM314" s="13">
        <f>VLOOKUP(Table2[[#This Row],[3_Elephant_ID]],'[1]Attributes(OUTDATED)'!$A$2:$S$19,17,FALSE)</f>
        <v>9</v>
      </c>
      <c r="AN314" s="13">
        <f>VLOOKUP(Table2[[#This Row],[3_Elephant_ID]],'[1]Attributes(OUTDATED)'!$A$2:$S$19,18,FALSE)</f>
        <v>8</v>
      </c>
    </row>
    <row r="315" spans="1:40" ht="28" x14ac:dyDescent="0.15">
      <c r="A315" s="3">
        <v>297</v>
      </c>
      <c r="B315" s="6">
        <v>1502241000</v>
      </c>
      <c r="C315" s="7">
        <v>15</v>
      </c>
      <c r="D315" s="7">
        <v>2</v>
      </c>
      <c r="E315" s="7">
        <v>2024</v>
      </c>
      <c r="F315" s="5">
        <v>45337</v>
      </c>
      <c r="G315" s="6" t="s">
        <v>13</v>
      </c>
      <c r="H315" s="17">
        <v>0.40172932330827066</v>
      </c>
      <c r="I315" s="20">
        <f>ROUNDUP((Table2[[#This Row],[fGCM_Conc]]*10000),0)</f>
        <v>4018</v>
      </c>
      <c r="J315" s="3" t="str">
        <f>VLOOKUP(G315,'[1]Attributes(OUTDATED)'!$A$2:$C$19,2,FALSE)</f>
        <v>F</v>
      </c>
      <c r="K315" s="3" t="str">
        <f>VLOOKUP(G315,'[1]Attributes(OUTDATED)'!$A$2:$C$19,3,FALSE)</f>
        <v>A</v>
      </c>
      <c r="L315" s="3">
        <f>VLOOKUP(G315,'[1]Attributes(OUTDATED)'!$A$2:$H$19,8,FALSE)</f>
        <v>963</v>
      </c>
      <c r="M315" s="3" t="str">
        <f>K315&amp;J315</f>
        <v>AF</v>
      </c>
      <c r="N315" s="3" t="e">
        <f>VLOOKUP(G315,#REF!,2,FALSE)</f>
        <v>#REF!</v>
      </c>
      <c r="O315" s="11">
        <v>45335</v>
      </c>
      <c r="P315" s="13">
        <v>37.9</v>
      </c>
      <c r="Q315" s="13">
        <v>28.1</v>
      </c>
      <c r="R315" s="13">
        <v>18.2</v>
      </c>
      <c r="S315" s="13">
        <f>Table2[[#This Row],[2_Temp_H]]-Table2[[#This Row],[2_Temp_L]]</f>
        <v>19.7</v>
      </c>
      <c r="T315" s="13">
        <v>30.1</v>
      </c>
      <c r="U315" s="13">
        <v>6</v>
      </c>
      <c r="V315" s="13">
        <v>1011.85</v>
      </c>
      <c r="W315" s="13">
        <v>1006.77</v>
      </c>
      <c r="X315" s="13">
        <v>0</v>
      </c>
      <c r="Y315" s="13" t="s">
        <v>148</v>
      </c>
      <c r="Z315" s="16" t="s">
        <v>171</v>
      </c>
      <c r="AA315" s="13" t="s">
        <v>137</v>
      </c>
      <c r="AB315" s="13" t="s">
        <v>143</v>
      </c>
      <c r="AC315" s="13" t="s">
        <v>145</v>
      </c>
      <c r="AD315" s="13" t="s">
        <v>137</v>
      </c>
      <c r="AE315" s="13">
        <f>VLOOKUP(Table2[[#This Row],[3_Elephant_ID]],'[1]Attributes(OUTDATED)'!$A$2:$N$19,12,FALSE)</f>
        <v>289</v>
      </c>
      <c r="AF315" s="13">
        <f>VLOOKUP(Table2[[#This Row],[3_Elephant_ID]],'[1]Attributes(OUTDATED)'!$A$2:$N$19,13,FALSE)</f>
        <v>0.32400000000000001</v>
      </c>
      <c r="AG315" s="13">
        <f>VLOOKUP(Table2[[#This Row],[3_Elephant_ID]],'[1]Attributes(OUTDATED)'!$A$2:$N$19,14,FALSE)</f>
        <v>0.32380809109629533</v>
      </c>
      <c r="AH315" s="13">
        <v>2</v>
      </c>
      <c r="AI315" s="13">
        <v>0</v>
      </c>
      <c r="AJ315" s="13">
        <v>0</v>
      </c>
      <c r="AK315" s="13">
        <v>0</v>
      </c>
      <c r="AL315" s="13">
        <f>VLOOKUP(Table2[[#This Row],[3_Elephant_ID]],'[1]Attributes(OUTDATED)'!$A$2:$P$19,16,FALSE)</f>
        <v>2</v>
      </c>
      <c r="AM315" s="13">
        <f>VLOOKUP(Table2[[#This Row],[3_Elephant_ID]],'[1]Attributes(OUTDATED)'!$A$2:$S$19,17,FALSE)</f>
        <v>9</v>
      </c>
      <c r="AN315" s="13">
        <f>VLOOKUP(Table2[[#This Row],[3_Elephant_ID]],'[1]Attributes(OUTDATED)'!$A$2:$S$19,18,FALSE)</f>
        <v>9</v>
      </c>
    </row>
    <row r="316" spans="1:40" ht="28" x14ac:dyDescent="0.15">
      <c r="A316" s="3">
        <v>295</v>
      </c>
      <c r="B316" s="6">
        <v>1502241048</v>
      </c>
      <c r="C316" s="7">
        <v>15</v>
      </c>
      <c r="D316" s="7">
        <v>2</v>
      </c>
      <c r="E316" s="7">
        <v>2024</v>
      </c>
      <c r="F316" s="5">
        <v>45337</v>
      </c>
      <c r="G316" s="6" t="s">
        <v>2</v>
      </c>
      <c r="H316" s="17">
        <v>0.34488847583643117</v>
      </c>
      <c r="I316" s="20">
        <f>ROUNDUP((Table2[[#This Row],[fGCM_Conc]]*10000),0)</f>
        <v>3449</v>
      </c>
      <c r="J316" s="3" t="str">
        <f>VLOOKUP(G316,'[1]Attributes(OUTDATED)'!$A$2:$C$19,2,FALSE)</f>
        <v>F</v>
      </c>
      <c r="K316" s="3" t="str">
        <f>VLOOKUP(G316,'[1]Attributes(OUTDATED)'!$A$2:$C$19,3,FALSE)</f>
        <v>A</v>
      </c>
      <c r="L316" s="3">
        <f>VLOOKUP(G316,'[1]Attributes(OUTDATED)'!$A$2:$H$19,8,FALSE)</f>
        <v>892</v>
      </c>
      <c r="M316" s="3" t="str">
        <f>K316&amp;J316</f>
        <v>AF</v>
      </c>
      <c r="N316" s="3" t="e">
        <f>VLOOKUP(G316,#REF!,2,FALSE)</f>
        <v>#REF!</v>
      </c>
      <c r="O316" s="11">
        <v>45335</v>
      </c>
      <c r="P316" s="13">
        <v>37.9</v>
      </c>
      <c r="Q316" s="13">
        <v>28.1</v>
      </c>
      <c r="R316" s="13">
        <v>18.2</v>
      </c>
      <c r="S316" s="13">
        <f>Table2[[#This Row],[2_Temp_H]]-Table2[[#This Row],[2_Temp_L]]</f>
        <v>19.7</v>
      </c>
      <c r="T316" s="13">
        <v>30.1</v>
      </c>
      <c r="U316" s="13">
        <v>6</v>
      </c>
      <c r="V316" s="13">
        <v>1011.85</v>
      </c>
      <c r="W316" s="13">
        <v>1006.77</v>
      </c>
      <c r="X316" s="13">
        <v>0</v>
      </c>
      <c r="Y316" s="13" t="s">
        <v>148</v>
      </c>
      <c r="Z316" s="16" t="s">
        <v>171</v>
      </c>
      <c r="AA316" s="13" t="s">
        <v>137</v>
      </c>
      <c r="AB316" s="13" t="s">
        <v>143</v>
      </c>
      <c r="AC316" s="13" t="s">
        <v>145</v>
      </c>
      <c r="AD316" s="13" t="s">
        <v>137</v>
      </c>
      <c r="AE316" s="13">
        <f>VLOOKUP(Table2[[#This Row],[3_Elephant_ID]],'[1]Attributes(OUTDATED)'!$A$2:$N$19,12,FALSE)</f>
        <v>378</v>
      </c>
      <c r="AF316" s="13">
        <f>VLOOKUP(Table2[[#This Row],[3_Elephant_ID]],'[1]Attributes(OUTDATED)'!$A$2:$N$19,13,FALSE)</f>
        <v>8.6999999999999994E-2</v>
      </c>
      <c r="AG316" s="13">
        <f>VLOOKUP(Table2[[#This Row],[3_Elephant_ID]],'[1]Attributes(OUTDATED)'!$A$2:$N$19,14,FALSE)</f>
        <v>8.6599138783086713E-2</v>
      </c>
      <c r="AH316" s="13">
        <v>2</v>
      </c>
      <c r="AI316" s="13">
        <v>0</v>
      </c>
      <c r="AJ316" s="13">
        <v>0</v>
      </c>
      <c r="AK316" s="13">
        <v>0</v>
      </c>
      <c r="AL316" s="13">
        <f>VLOOKUP(Table2[[#This Row],[3_Elephant_ID]],'[1]Attributes(OUTDATED)'!$A$2:$P$19,16,FALSE)</f>
        <v>1</v>
      </c>
      <c r="AM316" s="13">
        <f>VLOOKUP(Table2[[#This Row],[3_Elephant_ID]],'[1]Attributes(OUTDATED)'!$A$2:$S$19,17,FALSE)</f>
        <v>4</v>
      </c>
      <c r="AN316" s="13">
        <f>VLOOKUP(Table2[[#This Row],[3_Elephant_ID]],'[1]Attributes(OUTDATED)'!$A$2:$S$19,18,FALSE)</f>
        <v>20</v>
      </c>
    </row>
    <row r="317" spans="1:40" ht="28" x14ac:dyDescent="0.15">
      <c r="A317" s="3">
        <v>299</v>
      </c>
      <c r="B317" s="6">
        <v>1502240934</v>
      </c>
      <c r="C317" s="7">
        <v>15</v>
      </c>
      <c r="D317" s="7">
        <v>2</v>
      </c>
      <c r="E317" s="7">
        <v>2024</v>
      </c>
      <c r="F317" s="5">
        <v>45337</v>
      </c>
      <c r="G317" s="6" t="s">
        <v>11</v>
      </c>
      <c r="H317" s="17">
        <v>0.3360773480662983</v>
      </c>
      <c r="I317" s="20">
        <f>ROUNDUP((Table2[[#This Row],[fGCM_Conc]]*10000),0)</f>
        <v>3361</v>
      </c>
      <c r="J317" s="3" t="str">
        <f>VLOOKUP(G317,'[1]Attributes(OUTDATED)'!$A$2:$C$19,2,FALSE)</f>
        <v>M</v>
      </c>
      <c r="K317" s="3" t="str">
        <f>VLOOKUP(G317,'[1]Attributes(OUTDATED)'!$A$2:$C$19,3,FALSE)</f>
        <v>A</v>
      </c>
      <c r="L317" s="3">
        <f>VLOOKUP(G317,'[1]Attributes(OUTDATED)'!$A$2:$H$19,8,FALSE)</f>
        <v>1223</v>
      </c>
      <c r="M317" s="3" t="str">
        <f>K317&amp;J317</f>
        <v>AM</v>
      </c>
      <c r="N317" s="3" t="e">
        <f>VLOOKUP(G317,#REF!,2,FALSE)</f>
        <v>#REF!</v>
      </c>
      <c r="O317" s="11">
        <v>45335</v>
      </c>
      <c r="P317" s="13">
        <v>37.9</v>
      </c>
      <c r="Q317" s="13">
        <v>28.1</v>
      </c>
      <c r="R317" s="13">
        <v>18.2</v>
      </c>
      <c r="S317" s="13">
        <f>Table2[[#This Row],[2_Temp_H]]-Table2[[#This Row],[2_Temp_L]]</f>
        <v>19.7</v>
      </c>
      <c r="T317" s="13">
        <v>30.1</v>
      </c>
      <c r="U317" s="13">
        <v>6</v>
      </c>
      <c r="V317" s="13">
        <v>1011.85</v>
      </c>
      <c r="W317" s="13">
        <v>1006.77</v>
      </c>
      <c r="X317" s="13">
        <v>0</v>
      </c>
      <c r="Y317" s="13" t="s">
        <v>148</v>
      </c>
      <c r="Z317" s="16" t="s">
        <v>171</v>
      </c>
      <c r="AA317" s="13" t="s">
        <v>137</v>
      </c>
      <c r="AB317" s="13" t="s">
        <v>143</v>
      </c>
      <c r="AC317" s="13" t="s">
        <v>145</v>
      </c>
      <c r="AD317" s="13" t="s">
        <v>137</v>
      </c>
      <c r="AE317" s="13">
        <f>VLOOKUP(Table2[[#This Row],[3_Elephant_ID]],'[1]Attributes(OUTDATED)'!$A$2:$N$19,12,FALSE)</f>
        <v>404</v>
      </c>
      <c r="AF317" s="13">
        <f>VLOOKUP(Table2[[#This Row],[3_Elephant_ID]],'[1]Attributes(OUTDATED)'!$A$2:$N$19,13,FALSE)</f>
        <v>0.91700000000000004</v>
      </c>
      <c r="AG317" s="13">
        <f>VLOOKUP(Table2[[#This Row],[3_Elephant_ID]],'[1]Attributes(OUTDATED)'!$A$2:$N$19,14,FALSE)</f>
        <v>0.91664628583929353</v>
      </c>
      <c r="AH317" s="13">
        <v>2</v>
      </c>
      <c r="AI317" s="13">
        <v>0</v>
      </c>
      <c r="AJ317" s="13">
        <v>0</v>
      </c>
      <c r="AK317" s="13">
        <v>0</v>
      </c>
      <c r="AL317" s="13">
        <f>VLOOKUP(Table2[[#This Row],[3_Elephant_ID]],'[1]Attributes(OUTDATED)'!$A$2:$P$19,16,FALSE)</f>
        <v>1</v>
      </c>
      <c r="AM317" s="13">
        <f>VLOOKUP(Table2[[#This Row],[3_Elephant_ID]],'[1]Attributes(OUTDATED)'!$A$2:$S$19,17,FALSE)</f>
        <v>14</v>
      </c>
      <c r="AN317" s="13">
        <f>VLOOKUP(Table2[[#This Row],[3_Elephant_ID]],'[1]Attributes(OUTDATED)'!$A$2:$S$19,18,FALSE)</f>
        <v>17</v>
      </c>
    </row>
    <row r="318" spans="1:40" ht="28" x14ac:dyDescent="0.15">
      <c r="A318" s="3">
        <v>298</v>
      </c>
      <c r="B318" s="6">
        <v>1502240953</v>
      </c>
      <c r="C318" s="7">
        <v>15</v>
      </c>
      <c r="D318" s="7">
        <v>2</v>
      </c>
      <c r="E318" s="7">
        <v>2024</v>
      </c>
      <c r="F318" s="5">
        <v>45337</v>
      </c>
      <c r="G318" s="6" t="s">
        <v>17</v>
      </c>
      <c r="H318" s="17">
        <v>0.22290502793296096</v>
      </c>
      <c r="I318" s="20">
        <f>ROUNDUP((Table2[[#This Row],[fGCM_Conc]]*10000),0)</f>
        <v>2230</v>
      </c>
      <c r="J318" s="3" t="str">
        <f>VLOOKUP(G318,'[1]Attributes(OUTDATED)'!$A$2:$C$19,2,FALSE)</f>
        <v>M</v>
      </c>
      <c r="K318" s="3" t="str">
        <f>VLOOKUP(G318,'[1]Attributes(OUTDATED)'!$A$2:$C$19,3,FALSE)</f>
        <v>J</v>
      </c>
      <c r="L318" s="3">
        <f>VLOOKUP(G318,'[1]Attributes(OUTDATED)'!$A$2:$H$19,8,FALSE)</f>
        <v>699</v>
      </c>
      <c r="M318" s="3" t="str">
        <f>K318&amp;J318</f>
        <v>JM</v>
      </c>
      <c r="N318" s="3" t="e">
        <f>VLOOKUP(G318,#REF!,2,FALSE)</f>
        <v>#REF!</v>
      </c>
      <c r="O318" s="11">
        <v>45335</v>
      </c>
      <c r="P318" s="13">
        <v>37.9</v>
      </c>
      <c r="Q318" s="13">
        <v>28.1</v>
      </c>
      <c r="R318" s="13">
        <v>18.2</v>
      </c>
      <c r="S318" s="13">
        <f>Table2[[#This Row],[2_Temp_H]]-Table2[[#This Row],[2_Temp_L]]</f>
        <v>19.7</v>
      </c>
      <c r="T318" s="13">
        <v>30.1</v>
      </c>
      <c r="U318" s="13">
        <v>6</v>
      </c>
      <c r="V318" s="13">
        <v>1011.85</v>
      </c>
      <c r="W318" s="13">
        <v>1006.77</v>
      </c>
      <c r="X318" s="13">
        <v>0</v>
      </c>
      <c r="Y318" s="13" t="s">
        <v>148</v>
      </c>
      <c r="Z318" s="16" t="s">
        <v>171</v>
      </c>
      <c r="AA318" s="13" t="s">
        <v>137</v>
      </c>
      <c r="AB318" s="13" t="s">
        <v>143</v>
      </c>
      <c r="AC318" s="13" t="s">
        <v>145</v>
      </c>
      <c r="AD318" s="13" t="s">
        <v>137</v>
      </c>
      <c r="AE318" s="13">
        <f>VLOOKUP(Table2[[#This Row],[3_Elephant_ID]],'[1]Attributes(OUTDATED)'!$A$2:$N$19,12,FALSE)</f>
        <v>343</v>
      </c>
      <c r="AF318" s="13">
        <f>VLOOKUP(Table2[[#This Row],[3_Elephant_ID]],'[1]Attributes(OUTDATED)'!$A$2:$N$19,13,FALSE)</f>
        <v>0.81</v>
      </c>
      <c r="AG318" s="13">
        <f>VLOOKUP(Table2[[#This Row],[3_Elephant_ID]],'[1]Attributes(OUTDATED)'!$A$2:$N$19,14,FALSE)</f>
        <v>0.80966774571167055</v>
      </c>
      <c r="AH318" s="13">
        <v>2</v>
      </c>
      <c r="AI318" s="13">
        <v>0</v>
      </c>
      <c r="AJ318" s="13">
        <v>0</v>
      </c>
      <c r="AK318" s="13">
        <v>0</v>
      </c>
      <c r="AL318" s="13">
        <f>VLOOKUP(Table2[[#This Row],[3_Elephant_ID]],'[1]Attributes(OUTDATED)'!$A$2:$P$19,16,FALSE)</f>
        <v>1</v>
      </c>
      <c r="AM318" s="13">
        <f>VLOOKUP(Table2[[#This Row],[3_Elephant_ID]],'[1]Attributes(OUTDATED)'!$A$2:$S$19,17,FALSE)</f>
        <v>0</v>
      </c>
      <c r="AN318" s="13">
        <f>VLOOKUP(Table2[[#This Row],[3_Elephant_ID]],'[1]Attributes(OUTDATED)'!$A$2:$S$19,18,FALSE)</f>
        <v>8</v>
      </c>
    </row>
    <row r="319" spans="1:40" ht="28" x14ac:dyDescent="0.15">
      <c r="A319" s="3">
        <v>294</v>
      </c>
      <c r="B319" s="6">
        <v>1502241145</v>
      </c>
      <c r="C319" s="7">
        <v>15</v>
      </c>
      <c r="D319" s="7">
        <v>2</v>
      </c>
      <c r="E319" s="7">
        <v>2024</v>
      </c>
      <c r="F319" s="5">
        <v>45337</v>
      </c>
      <c r="G319" s="6" t="s">
        <v>1</v>
      </c>
      <c r="H319" s="17">
        <v>0.22083175803402644</v>
      </c>
      <c r="I319" s="20">
        <f>ROUNDUP((Table2[[#This Row],[fGCM_Conc]]*10000),0)</f>
        <v>2209</v>
      </c>
      <c r="J319" s="3" t="str">
        <f>VLOOKUP(G319,'[1]Attributes(OUTDATED)'!$A$2:$C$19,2,FALSE)</f>
        <v>F</v>
      </c>
      <c r="K319" s="3" t="str">
        <f>VLOOKUP(G319,'[1]Attributes(OUTDATED)'!$A$2:$C$19,3,FALSE)</f>
        <v>A</v>
      </c>
      <c r="L319" s="3">
        <f>VLOOKUP(G319,'[1]Attributes(OUTDATED)'!$A$2:$H$19,8,FALSE)</f>
        <v>929</v>
      </c>
      <c r="M319" s="3" t="str">
        <f>K319&amp;J319</f>
        <v>AF</v>
      </c>
      <c r="N319" s="3" t="e">
        <f>VLOOKUP(G319,#REF!,2,FALSE)</f>
        <v>#REF!</v>
      </c>
      <c r="O319" s="11">
        <v>45335</v>
      </c>
      <c r="P319" s="13">
        <v>37.9</v>
      </c>
      <c r="Q319" s="13">
        <v>28.1</v>
      </c>
      <c r="R319" s="13">
        <v>18.2</v>
      </c>
      <c r="S319" s="13">
        <f>Table2[[#This Row],[2_Temp_H]]-Table2[[#This Row],[2_Temp_L]]</f>
        <v>19.7</v>
      </c>
      <c r="T319" s="13">
        <v>30.1</v>
      </c>
      <c r="U319" s="13">
        <v>6</v>
      </c>
      <c r="V319" s="13">
        <v>1011.85</v>
      </c>
      <c r="W319" s="13">
        <v>1006.77</v>
      </c>
      <c r="X319" s="13">
        <v>0</v>
      </c>
      <c r="Y319" s="13" t="s">
        <v>148</v>
      </c>
      <c r="Z319" s="16" t="s">
        <v>171</v>
      </c>
      <c r="AA319" s="13" t="s">
        <v>137</v>
      </c>
      <c r="AB319" s="13" t="s">
        <v>143</v>
      </c>
      <c r="AC319" s="13" t="s">
        <v>145</v>
      </c>
      <c r="AD319" s="13" t="s">
        <v>137</v>
      </c>
      <c r="AE319" s="13">
        <f>VLOOKUP(Table2[[#This Row],[3_Elephant_ID]],'[1]Attributes(OUTDATED)'!$A$2:$N$19,12,FALSE)</f>
        <v>321</v>
      </c>
      <c r="AF319" s="13">
        <f>VLOOKUP(Table2[[#This Row],[3_Elephant_ID]],'[1]Attributes(OUTDATED)'!$A$2:$N$19,13,FALSE)</f>
        <v>0.17599999999999999</v>
      </c>
      <c r="AG319" s="13">
        <f>VLOOKUP(Table2[[#This Row],[3_Elephant_ID]],'[1]Attributes(OUTDATED)'!$A$2:$N$19,14,FALSE)</f>
        <v>0.17530262753188491</v>
      </c>
      <c r="AH319" s="13">
        <v>2</v>
      </c>
      <c r="AI319" s="13">
        <v>0</v>
      </c>
      <c r="AJ319" s="13">
        <v>0</v>
      </c>
      <c r="AK319" s="13">
        <v>0</v>
      </c>
      <c r="AL319" s="13">
        <f>VLOOKUP(Table2[[#This Row],[3_Elephant_ID]],'[1]Attributes(OUTDATED)'!$A$2:$P$19,16,FALSE)</f>
        <v>1</v>
      </c>
      <c r="AM319" s="13">
        <f>VLOOKUP(Table2[[#This Row],[3_Elephant_ID]],'[1]Attributes(OUTDATED)'!$A$2:$S$19,17,FALSE)</f>
        <v>6</v>
      </c>
      <c r="AN319" s="13">
        <f>VLOOKUP(Table2[[#This Row],[3_Elephant_ID]],'[1]Attributes(OUTDATED)'!$A$2:$S$19,18,FALSE)</f>
        <v>8</v>
      </c>
    </row>
    <row r="320" spans="1:40" ht="28" x14ac:dyDescent="0.15">
      <c r="A320" s="3">
        <v>292</v>
      </c>
      <c r="B320" s="6">
        <v>1602241459</v>
      </c>
      <c r="C320" s="7">
        <v>16</v>
      </c>
      <c r="D320" s="7">
        <v>2</v>
      </c>
      <c r="E320" s="7">
        <v>2024</v>
      </c>
      <c r="F320" s="5">
        <v>45338</v>
      </c>
      <c r="G320" s="6" t="s">
        <v>12</v>
      </c>
      <c r="H320" s="17">
        <v>0.44863117870722435</v>
      </c>
      <c r="I320" s="20">
        <f>ROUNDUP((Table2[[#This Row],[fGCM_Conc]]*10000),0)</f>
        <v>4487</v>
      </c>
      <c r="J320" s="3" t="str">
        <f>VLOOKUP(G320,'[1]Attributes(OUTDATED)'!$A$2:$C$19,2,FALSE)</f>
        <v>M</v>
      </c>
      <c r="K320" s="3" t="str">
        <f>VLOOKUP(G320,'[1]Attributes(OUTDATED)'!$A$2:$C$19,3,FALSE)</f>
        <v>A</v>
      </c>
      <c r="L320" s="3">
        <f>VLOOKUP(G320,'[1]Attributes(OUTDATED)'!$A$2:$H$19,8,FALSE)</f>
        <v>1509</v>
      </c>
      <c r="M320" s="3" t="str">
        <f>K320&amp;J320</f>
        <v>AM</v>
      </c>
      <c r="N320" s="3" t="e">
        <f>VLOOKUP(G320,#REF!,2,FALSE)</f>
        <v>#REF!</v>
      </c>
      <c r="O320" s="11">
        <v>45336</v>
      </c>
      <c r="P320" s="13">
        <v>33.6</v>
      </c>
      <c r="Q320" s="13">
        <v>23.3</v>
      </c>
      <c r="R320" s="13">
        <v>13.1</v>
      </c>
      <c r="S320" s="13">
        <f>Table2[[#This Row],[2_Temp_H]]-Table2[[#This Row],[2_Temp_L]]</f>
        <v>20.5</v>
      </c>
      <c r="T320" s="13">
        <v>22.2</v>
      </c>
      <c r="U320" s="13">
        <v>4.7</v>
      </c>
      <c r="V320" s="13">
        <v>1011.85</v>
      </c>
      <c r="W320" s="13">
        <v>1006.1</v>
      </c>
      <c r="X320" s="13">
        <v>0</v>
      </c>
      <c r="Y320" s="13" t="s">
        <v>148</v>
      </c>
      <c r="Z320" s="16" t="s">
        <v>171</v>
      </c>
      <c r="AA320" s="13" t="s">
        <v>137</v>
      </c>
      <c r="AB320" s="13" t="s">
        <v>143</v>
      </c>
      <c r="AC320" s="13" t="s">
        <v>145</v>
      </c>
      <c r="AD320" s="13" t="s">
        <v>137</v>
      </c>
      <c r="AE320" s="13">
        <f>VLOOKUP(Table2[[#This Row],[3_Elephant_ID]],'[1]Attributes(OUTDATED)'!$A$2:$N$19,12,FALSE)</f>
        <v>450</v>
      </c>
      <c r="AF320" s="13">
        <f>VLOOKUP(Table2[[#This Row],[3_Elephant_ID]],'[1]Attributes(OUTDATED)'!$A$2:$N$19,13,FALSE)</f>
        <v>0.375</v>
      </c>
      <c r="AG320" s="13">
        <f>VLOOKUP(Table2[[#This Row],[3_Elephant_ID]],'[1]Attributes(OUTDATED)'!$A$2:$N$19,14,FALSE)</f>
        <v>0.37414375430996583</v>
      </c>
      <c r="AH320" s="13">
        <v>5</v>
      </c>
      <c r="AI320" s="13">
        <v>3</v>
      </c>
      <c r="AJ320" s="13">
        <v>0</v>
      </c>
      <c r="AK320" s="13">
        <v>3</v>
      </c>
      <c r="AL320" s="13">
        <f>VLOOKUP(Table2[[#This Row],[3_Elephant_ID]],'[1]Attributes(OUTDATED)'!$A$2:$P$19,16,FALSE)</f>
        <v>1</v>
      </c>
      <c r="AM320" s="13">
        <f>VLOOKUP(Table2[[#This Row],[3_Elephant_ID]],'[1]Attributes(OUTDATED)'!$A$2:$S$19,17,FALSE)</f>
        <v>48</v>
      </c>
      <c r="AN320" s="13">
        <f>VLOOKUP(Table2[[#This Row],[3_Elephant_ID]],'[1]Attributes(OUTDATED)'!$A$2:$S$19,18,FALSE)</f>
        <v>3</v>
      </c>
    </row>
    <row r="321" spans="1:40" ht="28" x14ac:dyDescent="0.15">
      <c r="A321" s="3">
        <v>291</v>
      </c>
      <c r="B321" s="6" t="s">
        <v>129</v>
      </c>
      <c r="C321" s="7">
        <v>16</v>
      </c>
      <c r="D321" s="7">
        <v>2</v>
      </c>
      <c r="E321" s="7">
        <v>2024</v>
      </c>
      <c r="F321" s="5">
        <v>45338</v>
      </c>
      <c r="G321" s="6" t="s">
        <v>7</v>
      </c>
      <c r="H321" s="17">
        <v>0.32210526315789478</v>
      </c>
      <c r="I321" s="20">
        <f>ROUNDUP((Table2[[#This Row],[fGCM_Conc]]*10000),0)</f>
        <v>3222</v>
      </c>
      <c r="J321" s="3" t="str">
        <f>VLOOKUP(G321,'[1]Attributes(OUTDATED)'!$A$2:$C$19,2,FALSE)</f>
        <v>F</v>
      </c>
      <c r="K321" s="3" t="str">
        <f>VLOOKUP(G321,'[1]Attributes(OUTDATED)'!$A$2:$C$19,3,FALSE)</f>
        <v>J</v>
      </c>
      <c r="L321" s="3">
        <f>VLOOKUP(G321,'[1]Attributes(OUTDATED)'!$A$2:$H$19,8,FALSE)</f>
        <v>711</v>
      </c>
      <c r="M321" s="3" t="str">
        <f>K321&amp;J321</f>
        <v>JF</v>
      </c>
      <c r="N321" s="3" t="e">
        <f>VLOOKUP(G321,#REF!,2,FALSE)</f>
        <v>#REF!</v>
      </c>
      <c r="O321" s="11">
        <v>45336</v>
      </c>
      <c r="P321" s="13">
        <v>33.6</v>
      </c>
      <c r="Q321" s="13">
        <v>23.3</v>
      </c>
      <c r="R321" s="13">
        <v>13.1</v>
      </c>
      <c r="S321" s="13">
        <f>Table2[[#This Row],[2_Temp_H]]-Table2[[#This Row],[2_Temp_L]]</f>
        <v>20.5</v>
      </c>
      <c r="T321" s="13">
        <v>22.2</v>
      </c>
      <c r="U321" s="13">
        <v>4.7</v>
      </c>
      <c r="V321" s="13">
        <v>1011.85</v>
      </c>
      <c r="W321" s="13">
        <v>1006.1</v>
      </c>
      <c r="X321" s="13">
        <v>0</v>
      </c>
      <c r="Y321" s="13" t="s">
        <v>148</v>
      </c>
      <c r="Z321" s="16" t="s">
        <v>171</v>
      </c>
      <c r="AA321" s="13" t="s">
        <v>137</v>
      </c>
      <c r="AB321" s="13" t="s">
        <v>143</v>
      </c>
      <c r="AC321" s="13" t="s">
        <v>145</v>
      </c>
      <c r="AD321" s="13" t="s">
        <v>137</v>
      </c>
      <c r="AE321" s="13">
        <f>VLOOKUP(Table2[[#This Row],[3_Elephant_ID]],'[1]Attributes(OUTDATED)'!$A$2:$N$19,12,FALSE)</f>
        <v>398</v>
      </c>
      <c r="AF321" s="13">
        <f>VLOOKUP(Table2[[#This Row],[3_Elephant_ID]],'[1]Attributes(OUTDATED)'!$A$2:$N$19,13,FALSE)</f>
        <v>0.47899999999999998</v>
      </c>
      <c r="AG321" s="13">
        <f>VLOOKUP(Table2[[#This Row],[3_Elephant_ID]],'[1]Attributes(OUTDATED)'!$A$2:$N$19,14,FALSE)</f>
        <v>0.47820662037086947</v>
      </c>
      <c r="AH321" s="13">
        <v>5</v>
      </c>
      <c r="AI321" s="13">
        <v>0</v>
      </c>
      <c r="AJ321" s="13">
        <v>0</v>
      </c>
      <c r="AK321" s="13">
        <v>0</v>
      </c>
      <c r="AL321" s="13">
        <f>VLOOKUP(Table2[[#This Row],[3_Elephant_ID]],'[1]Attributes(OUTDATED)'!$A$2:$P$19,16,FALSE)</f>
        <v>1</v>
      </c>
      <c r="AM321" s="13">
        <f>VLOOKUP(Table2[[#This Row],[3_Elephant_ID]],'[1]Attributes(OUTDATED)'!$A$2:$S$19,17,FALSE)</f>
        <v>0</v>
      </c>
      <c r="AN321" s="13">
        <f>VLOOKUP(Table2[[#This Row],[3_Elephant_ID]],'[1]Attributes(OUTDATED)'!$A$2:$S$19,18,FALSE)</f>
        <v>12</v>
      </c>
    </row>
    <row r="322" spans="1:40" ht="28" x14ac:dyDescent="0.15">
      <c r="A322" s="3">
        <v>290</v>
      </c>
      <c r="B322" s="6">
        <v>1702241114</v>
      </c>
      <c r="C322" s="7">
        <v>17</v>
      </c>
      <c r="D322" s="7">
        <v>2</v>
      </c>
      <c r="E322" s="7">
        <v>2024</v>
      </c>
      <c r="F322" s="5">
        <v>45339</v>
      </c>
      <c r="G322" s="6" t="s">
        <v>5</v>
      </c>
      <c r="H322" s="17">
        <v>0.30757115749525615</v>
      </c>
      <c r="I322" s="20">
        <f>ROUNDUP((Table2[[#This Row],[fGCM_Conc]]*10000),0)</f>
        <v>3076</v>
      </c>
      <c r="J322" s="3" t="str">
        <f>VLOOKUP(G322,'[1]Attributes(OUTDATED)'!$A$2:$C$19,2,FALSE)</f>
        <v>M</v>
      </c>
      <c r="K322" s="3" t="str">
        <f>VLOOKUP(G322,'[1]Attributes(OUTDATED)'!$A$2:$C$19,3,FALSE)</f>
        <v>J</v>
      </c>
      <c r="L322" s="3">
        <f>VLOOKUP(G322,'[1]Attributes(OUTDATED)'!$A$2:$H$19,8,FALSE)</f>
        <v>940</v>
      </c>
      <c r="M322" s="3" t="str">
        <f>K322&amp;J322</f>
        <v>JM</v>
      </c>
      <c r="N322" s="3" t="e">
        <f>VLOOKUP(G322,#REF!,2,FALSE)</f>
        <v>#REF!</v>
      </c>
      <c r="O322" s="11">
        <v>45337</v>
      </c>
      <c r="P322" s="13">
        <v>27.5</v>
      </c>
      <c r="Q322" s="13">
        <v>18.8</v>
      </c>
      <c r="R322" s="13">
        <v>12.9</v>
      </c>
      <c r="S322" s="13">
        <f>Table2[[#This Row],[2_Temp_H]]-Table2[[#This Row],[2_Temp_L]]</f>
        <v>14.6</v>
      </c>
      <c r="T322" s="13">
        <v>26.9</v>
      </c>
      <c r="U322" s="13">
        <v>5.7</v>
      </c>
      <c r="V322" s="13">
        <v>1006.77</v>
      </c>
      <c r="W322" s="13">
        <v>1000</v>
      </c>
      <c r="X322" s="13">
        <v>0</v>
      </c>
      <c r="Y322" s="13" t="s">
        <v>148</v>
      </c>
      <c r="Z322" s="13" t="s">
        <v>141</v>
      </c>
      <c r="AA322" s="13" t="s">
        <v>26</v>
      </c>
      <c r="AB322" s="13" t="s">
        <v>143</v>
      </c>
      <c r="AC322" s="13" t="s">
        <v>145</v>
      </c>
      <c r="AD322" s="13" t="s">
        <v>137</v>
      </c>
      <c r="AE322" s="13">
        <f>VLOOKUP(Table2[[#This Row],[3_Elephant_ID]],'[1]Attributes(OUTDATED)'!$A$2:$N$19,12,FALSE)</f>
        <v>361</v>
      </c>
      <c r="AF322" s="13">
        <f>VLOOKUP(Table2[[#This Row],[3_Elephant_ID]],'[1]Attributes(OUTDATED)'!$A$2:$N$19,13,FALSE)</f>
        <v>0.40600000000000003</v>
      </c>
      <c r="AG322" s="13">
        <f>VLOOKUP(Table2[[#This Row],[3_Elephant_ID]],'[1]Attributes(OUTDATED)'!$A$2:$N$19,14,FALSE)</f>
        <v>0.40590323220736402</v>
      </c>
      <c r="AH322" s="13">
        <v>0</v>
      </c>
      <c r="AI322" s="13">
        <v>0</v>
      </c>
      <c r="AJ322" s="13">
        <v>0</v>
      </c>
      <c r="AK322" s="13">
        <v>0</v>
      </c>
      <c r="AL322" s="13">
        <f>VLOOKUP(Table2[[#This Row],[3_Elephant_ID]],'[1]Attributes(OUTDATED)'!$A$2:$P$19,16,FALSE)</f>
        <v>1</v>
      </c>
      <c r="AM322" s="13">
        <f>VLOOKUP(Table2[[#This Row],[3_Elephant_ID]],'[1]Attributes(OUTDATED)'!$A$2:$S$19,17,FALSE)</f>
        <v>2</v>
      </c>
      <c r="AN322" s="13">
        <f>VLOOKUP(Table2[[#This Row],[3_Elephant_ID]],'[1]Attributes(OUTDATED)'!$A$2:$S$19,18,FALSE)</f>
        <v>7</v>
      </c>
    </row>
    <row r="323" spans="1:40" ht="28" x14ac:dyDescent="0.15">
      <c r="A323" s="3">
        <v>289</v>
      </c>
      <c r="B323" s="6">
        <v>2302241001</v>
      </c>
      <c r="C323" s="7">
        <v>23</v>
      </c>
      <c r="D323" s="7">
        <v>2</v>
      </c>
      <c r="E323" s="7">
        <v>2024</v>
      </c>
      <c r="F323" s="5">
        <v>45345</v>
      </c>
      <c r="G323" s="6" t="s">
        <v>6</v>
      </c>
      <c r="H323" s="17">
        <v>0.79834615384615382</v>
      </c>
      <c r="I323" s="20">
        <f>ROUNDUP((Table2[[#This Row],[fGCM_Conc]]*10000),0)</f>
        <v>7984</v>
      </c>
      <c r="J323" s="3" t="str">
        <f>VLOOKUP(G323,'[1]Attributes(OUTDATED)'!$A$2:$C$19,2,FALSE)</f>
        <v>F</v>
      </c>
      <c r="K323" s="3" t="str">
        <f>VLOOKUP(G323,'[1]Attributes(OUTDATED)'!$A$2:$C$19,3,FALSE)</f>
        <v>A</v>
      </c>
      <c r="L323" s="3">
        <f>VLOOKUP(G323,'[1]Attributes(OUTDATED)'!$A$2:$H$19,8,FALSE)</f>
        <v>1168</v>
      </c>
      <c r="M323" s="3" t="str">
        <f>K323&amp;J323</f>
        <v>AF</v>
      </c>
      <c r="N323" s="3" t="e">
        <f>VLOOKUP(G323,#REF!,2,FALSE)</f>
        <v>#REF!</v>
      </c>
      <c r="O323" s="11">
        <v>45343</v>
      </c>
      <c r="P323" s="13">
        <v>32.5</v>
      </c>
      <c r="Q323" s="13">
        <v>23.1</v>
      </c>
      <c r="R323" s="13">
        <v>14.3</v>
      </c>
      <c r="S323" s="13">
        <f>Table2[[#This Row],[2_Temp_H]]-Table2[[#This Row],[2_Temp_L]]</f>
        <v>18.2</v>
      </c>
      <c r="T323" s="13">
        <v>28.3</v>
      </c>
      <c r="U323" s="13">
        <v>5.8</v>
      </c>
      <c r="V323" s="13">
        <v>1009.82</v>
      </c>
      <c r="W323" s="13">
        <v>1005.08</v>
      </c>
      <c r="X323" s="13">
        <v>0</v>
      </c>
      <c r="Y323" s="13" t="s">
        <v>148</v>
      </c>
      <c r="Z323" s="16" t="s">
        <v>171</v>
      </c>
      <c r="AA323" s="13" t="s">
        <v>137</v>
      </c>
      <c r="AB323" s="13" t="s">
        <v>143</v>
      </c>
      <c r="AC323" s="13" t="s">
        <v>145</v>
      </c>
      <c r="AD323" s="13" t="s">
        <v>137</v>
      </c>
      <c r="AE323" s="13">
        <f>VLOOKUP(Table2[[#This Row],[3_Elephant_ID]],'[1]Attributes(OUTDATED)'!$A$2:$N$19,12,FALSE)</f>
        <v>286</v>
      </c>
      <c r="AF323" s="13">
        <f>VLOOKUP(Table2[[#This Row],[3_Elephant_ID]],'[1]Attributes(OUTDATED)'!$A$2:$N$19,13,FALSE)</f>
        <v>0.26800000000000002</v>
      </c>
      <c r="AG323" s="13">
        <f>VLOOKUP(Table2[[#This Row],[3_Elephant_ID]],'[1]Attributes(OUTDATED)'!$A$2:$N$19,14,FALSE)</f>
        <v>0.26721028245328138</v>
      </c>
      <c r="AH323" s="13">
        <v>0</v>
      </c>
      <c r="AI323" s="13">
        <v>0</v>
      </c>
      <c r="AJ323" s="13">
        <v>0</v>
      </c>
      <c r="AK323" s="13">
        <v>0</v>
      </c>
      <c r="AL323" s="13">
        <f>VLOOKUP(Table2[[#This Row],[3_Elephant_ID]],'[1]Attributes(OUTDATED)'!$A$2:$P$19,16,FALSE)</f>
        <v>2</v>
      </c>
      <c r="AM323" s="13">
        <f>VLOOKUP(Table2[[#This Row],[3_Elephant_ID]],'[1]Attributes(OUTDATED)'!$A$2:$S$19,17,FALSE)</f>
        <v>12</v>
      </c>
      <c r="AN323" s="13">
        <f>VLOOKUP(Table2[[#This Row],[3_Elephant_ID]],'[1]Attributes(OUTDATED)'!$A$2:$S$19,18,FALSE)</f>
        <v>5</v>
      </c>
    </row>
    <row r="324" spans="1:40" ht="28" x14ac:dyDescent="0.15">
      <c r="A324" s="3">
        <v>283</v>
      </c>
      <c r="B324" s="6">
        <v>2302241119</v>
      </c>
      <c r="C324" s="7">
        <v>23</v>
      </c>
      <c r="D324" s="7">
        <v>2</v>
      </c>
      <c r="E324" s="7">
        <v>2024</v>
      </c>
      <c r="F324" s="5">
        <v>45345</v>
      </c>
      <c r="G324" s="6" t="s">
        <v>31</v>
      </c>
      <c r="H324" s="17">
        <v>0.52733583489681046</v>
      </c>
      <c r="I324" s="20">
        <f>ROUNDUP((Table2[[#This Row],[fGCM_Conc]]*10000),0)</f>
        <v>5274</v>
      </c>
      <c r="J324" s="3" t="str">
        <f>VLOOKUP(G324,'[1]Attributes(OUTDATED)'!$A$2:$C$19,2,FALSE)</f>
        <v>F</v>
      </c>
      <c r="K324" s="3" t="str">
        <f>VLOOKUP(G324,'[1]Attributes(OUTDATED)'!$A$2:$C$19,3,FALSE)</f>
        <v>J</v>
      </c>
      <c r="L324" s="3">
        <f>VLOOKUP(G324,'[1]Attributes(OUTDATED)'!$A$2:$H$19,8,FALSE)</f>
        <v>765</v>
      </c>
      <c r="M324" s="3" t="str">
        <f>K324&amp;J324</f>
        <v>JF</v>
      </c>
      <c r="N324" s="3" t="e">
        <f>VLOOKUP(G324,#REF!,2,FALSE)</f>
        <v>#REF!</v>
      </c>
      <c r="O324" s="11">
        <v>45343</v>
      </c>
      <c r="P324" s="13">
        <v>32.5</v>
      </c>
      <c r="Q324" s="13">
        <v>23.1</v>
      </c>
      <c r="R324" s="13">
        <v>14.3</v>
      </c>
      <c r="S324" s="13">
        <f>Table2[[#This Row],[2_Temp_H]]-Table2[[#This Row],[2_Temp_L]]</f>
        <v>18.2</v>
      </c>
      <c r="T324" s="13">
        <v>28.3</v>
      </c>
      <c r="U324" s="13">
        <v>5.8</v>
      </c>
      <c r="V324" s="13">
        <v>1009.82</v>
      </c>
      <c r="W324" s="13">
        <v>1005.08</v>
      </c>
      <c r="X324" s="13">
        <v>0</v>
      </c>
      <c r="Y324" s="13" t="s">
        <v>148</v>
      </c>
      <c r="Z324" s="16" t="s">
        <v>171</v>
      </c>
      <c r="AA324" s="13" t="s">
        <v>137</v>
      </c>
      <c r="AB324" s="13" t="s">
        <v>143</v>
      </c>
      <c r="AC324" s="13" t="s">
        <v>145</v>
      </c>
      <c r="AD324" s="13" t="s">
        <v>137</v>
      </c>
      <c r="AE324" s="13">
        <f>VLOOKUP(Table2[[#This Row],[3_Elephant_ID]],'[1]Attributes(OUTDATED)'!$A$2:$N$19,12,FALSE)</f>
        <v>258</v>
      </c>
      <c r="AF324" s="13">
        <f>VLOOKUP(Table2[[#This Row],[3_Elephant_ID]],'[1]Attributes(OUTDATED)'!$A$2:$N$19,13,FALSE)</f>
        <v>0.25700000000000001</v>
      </c>
      <c r="AG324" s="13">
        <f>VLOOKUP(Table2[[#This Row],[3_Elephant_ID]],'[1]Attributes(OUTDATED)'!$A$2:$N$19,14,FALSE)</f>
        <v>0.25665547185998128</v>
      </c>
      <c r="AH324" s="13">
        <v>0</v>
      </c>
      <c r="AI324" s="13">
        <v>0</v>
      </c>
      <c r="AJ324" s="13">
        <v>0</v>
      </c>
      <c r="AK324" s="13">
        <v>0</v>
      </c>
      <c r="AL324" s="13">
        <f>VLOOKUP(Table2[[#This Row],[3_Elephant_ID]],'[1]Attributes(OUTDATED)'!$A$2:$P$19,16,FALSE)</f>
        <v>2</v>
      </c>
      <c r="AM324" s="13">
        <f>VLOOKUP(Table2[[#This Row],[3_Elephant_ID]],'[1]Attributes(OUTDATED)'!$A$2:$S$19,17,FALSE)</f>
        <v>1</v>
      </c>
      <c r="AN324" s="13">
        <f>VLOOKUP(Table2[[#This Row],[3_Elephant_ID]],'[1]Attributes(OUTDATED)'!$A$2:$S$19,18,FALSE)</f>
        <v>10</v>
      </c>
    </row>
    <row r="325" spans="1:40" ht="28" x14ac:dyDescent="0.15">
      <c r="A325" s="3">
        <v>284</v>
      </c>
      <c r="B325" s="6">
        <v>2302241114</v>
      </c>
      <c r="C325" s="7">
        <v>23</v>
      </c>
      <c r="D325" s="7">
        <v>2</v>
      </c>
      <c r="E325" s="7">
        <v>2024</v>
      </c>
      <c r="F325" s="5">
        <v>45345</v>
      </c>
      <c r="G325" s="6" t="s">
        <v>9</v>
      </c>
      <c r="H325" s="17">
        <v>0.46834615384615391</v>
      </c>
      <c r="I325" s="20">
        <f>ROUNDUP((Table2[[#This Row],[fGCM_Conc]]*10000),0)</f>
        <v>4684</v>
      </c>
      <c r="J325" s="3" t="str">
        <f>VLOOKUP(G325,'[1]Attributes(OUTDATED)'!$A$2:$C$19,2,FALSE)</f>
        <v>F</v>
      </c>
      <c r="K325" s="3" t="str">
        <f>VLOOKUP(G325,'[1]Attributes(OUTDATED)'!$A$2:$C$19,3,FALSE)</f>
        <v>J</v>
      </c>
      <c r="L325" s="3">
        <f>VLOOKUP(G325,'[1]Attributes(OUTDATED)'!$A$2:$H$19,8,FALSE)</f>
        <v>820</v>
      </c>
      <c r="M325" s="3" t="str">
        <f>K325&amp;J325</f>
        <v>JF</v>
      </c>
      <c r="N325" s="3" t="e">
        <f>VLOOKUP(G325,#REF!,2,FALSE)</f>
        <v>#REF!</v>
      </c>
      <c r="O325" s="11">
        <v>45343</v>
      </c>
      <c r="P325" s="13">
        <v>32.5</v>
      </c>
      <c r="Q325" s="13">
        <v>23.1</v>
      </c>
      <c r="R325" s="13">
        <v>14.3</v>
      </c>
      <c r="S325" s="13">
        <f>Table2[[#This Row],[2_Temp_H]]-Table2[[#This Row],[2_Temp_L]]</f>
        <v>18.2</v>
      </c>
      <c r="T325" s="13">
        <v>28.3</v>
      </c>
      <c r="U325" s="13">
        <v>5.8</v>
      </c>
      <c r="V325" s="13">
        <v>1009.82</v>
      </c>
      <c r="W325" s="13">
        <v>1005.08</v>
      </c>
      <c r="X325" s="13">
        <v>0</v>
      </c>
      <c r="Y325" s="13" t="s">
        <v>148</v>
      </c>
      <c r="Z325" s="16" t="s">
        <v>171</v>
      </c>
      <c r="AA325" s="13" t="s">
        <v>137</v>
      </c>
      <c r="AB325" s="13" t="s">
        <v>143</v>
      </c>
      <c r="AC325" s="13" t="s">
        <v>145</v>
      </c>
      <c r="AD325" s="13" t="s">
        <v>137</v>
      </c>
      <c r="AE325" s="13">
        <f>VLOOKUP(Table2[[#This Row],[3_Elephant_ID]],'[1]Attributes(OUTDATED)'!$A$2:$N$19,12,FALSE)</f>
        <v>305</v>
      </c>
      <c r="AF325" s="13">
        <f>VLOOKUP(Table2[[#This Row],[3_Elephant_ID]],'[1]Attributes(OUTDATED)'!$A$2:$N$19,13,FALSE)</f>
        <v>0.17499999999999999</v>
      </c>
      <c r="AG325" s="13">
        <f>VLOOKUP(Table2[[#This Row],[3_Elephant_ID]],'[1]Attributes(OUTDATED)'!$A$2:$N$19,14,FALSE)</f>
        <v>0.17467336145108631</v>
      </c>
      <c r="AH325" s="13">
        <v>0</v>
      </c>
      <c r="AI325" s="13">
        <v>0</v>
      </c>
      <c r="AJ325" s="13">
        <v>0</v>
      </c>
      <c r="AK325" s="13">
        <v>0</v>
      </c>
      <c r="AL325" s="13">
        <f>VLOOKUP(Table2[[#This Row],[3_Elephant_ID]],'[1]Attributes(OUTDATED)'!$A$2:$P$19,16,FALSE)</f>
        <v>2</v>
      </c>
      <c r="AM325" s="13">
        <f>VLOOKUP(Table2[[#This Row],[3_Elephant_ID]],'[1]Attributes(OUTDATED)'!$A$2:$S$19,17,FALSE)</f>
        <v>0</v>
      </c>
      <c r="AN325" s="13">
        <f>VLOOKUP(Table2[[#This Row],[3_Elephant_ID]],'[1]Attributes(OUTDATED)'!$A$2:$S$19,18,FALSE)</f>
        <v>4</v>
      </c>
    </row>
    <row r="326" spans="1:40" ht="28" x14ac:dyDescent="0.15">
      <c r="A326" s="3">
        <v>287</v>
      </c>
      <c r="B326" s="6">
        <v>2302240928</v>
      </c>
      <c r="C326" s="7">
        <v>23</v>
      </c>
      <c r="D326" s="7">
        <v>2</v>
      </c>
      <c r="E326" s="7">
        <v>2024</v>
      </c>
      <c r="F326" s="5">
        <v>45345</v>
      </c>
      <c r="G326" s="6" t="s">
        <v>13</v>
      </c>
      <c r="H326" s="17">
        <v>0.46369811320754717</v>
      </c>
      <c r="I326" s="20">
        <f>ROUNDUP((Table2[[#This Row],[fGCM_Conc]]*10000),0)</f>
        <v>4637</v>
      </c>
      <c r="J326" s="3" t="str">
        <f>VLOOKUP(G326,'[1]Attributes(OUTDATED)'!$A$2:$C$19,2,FALSE)</f>
        <v>F</v>
      </c>
      <c r="K326" s="3" t="str">
        <f>VLOOKUP(G326,'[1]Attributes(OUTDATED)'!$A$2:$C$19,3,FALSE)</f>
        <v>A</v>
      </c>
      <c r="L326" s="3">
        <f>VLOOKUP(G326,'[1]Attributes(OUTDATED)'!$A$2:$H$19,8,FALSE)</f>
        <v>963</v>
      </c>
      <c r="M326" s="3" t="str">
        <f>K326&amp;J326</f>
        <v>AF</v>
      </c>
      <c r="N326" s="3" t="e">
        <f>VLOOKUP(G326,#REF!,2,FALSE)</f>
        <v>#REF!</v>
      </c>
      <c r="O326" s="11">
        <v>45343</v>
      </c>
      <c r="P326" s="13">
        <v>32.5</v>
      </c>
      <c r="Q326" s="13">
        <v>23.1</v>
      </c>
      <c r="R326" s="13">
        <v>14.3</v>
      </c>
      <c r="S326" s="13">
        <f>Table2[[#This Row],[2_Temp_H]]-Table2[[#This Row],[2_Temp_L]]</f>
        <v>18.2</v>
      </c>
      <c r="T326" s="13">
        <v>28.3</v>
      </c>
      <c r="U326" s="13">
        <v>5.8</v>
      </c>
      <c r="V326" s="13">
        <v>1009.82</v>
      </c>
      <c r="W326" s="13">
        <v>1005.08</v>
      </c>
      <c r="X326" s="13">
        <v>0</v>
      </c>
      <c r="Y326" s="13" t="s">
        <v>148</v>
      </c>
      <c r="Z326" s="16" t="s">
        <v>171</v>
      </c>
      <c r="AA326" s="13" t="s">
        <v>137</v>
      </c>
      <c r="AB326" s="13" t="s">
        <v>143</v>
      </c>
      <c r="AC326" s="13" t="s">
        <v>145</v>
      </c>
      <c r="AD326" s="13" t="s">
        <v>137</v>
      </c>
      <c r="AE326" s="13">
        <f>VLOOKUP(Table2[[#This Row],[3_Elephant_ID]],'[1]Attributes(OUTDATED)'!$A$2:$N$19,12,FALSE)</f>
        <v>289</v>
      </c>
      <c r="AF326" s="13">
        <f>VLOOKUP(Table2[[#This Row],[3_Elephant_ID]],'[1]Attributes(OUTDATED)'!$A$2:$N$19,13,FALSE)</f>
        <v>0.32400000000000001</v>
      </c>
      <c r="AG326" s="13">
        <f>VLOOKUP(Table2[[#This Row],[3_Elephant_ID]],'[1]Attributes(OUTDATED)'!$A$2:$N$19,14,FALSE)</f>
        <v>0.32380809109629533</v>
      </c>
      <c r="AH326" s="13">
        <v>0</v>
      </c>
      <c r="AI326" s="13">
        <v>0</v>
      </c>
      <c r="AJ326" s="13">
        <v>0</v>
      </c>
      <c r="AK326" s="13">
        <v>0</v>
      </c>
      <c r="AL326" s="13">
        <f>VLOOKUP(Table2[[#This Row],[3_Elephant_ID]],'[1]Attributes(OUTDATED)'!$A$2:$P$19,16,FALSE)</f>
        <v>2</v>
      </c>
      <c r="AM326" s="13">
        <f>VLOOKUP(Table2[[#This Row],[3_Elephant_ID]],'[1]Attributes(OUTDATED)'!$A$2:$S$19,17,FALSE)</f>
        <v>9</v>
      </c>
      <c r="AN326" s="13">
        <f>VLOOKUP(Table2[[#This Row],[3_Elephant_ID]],'[1]Attributes(OUTDATED)'!$A$2:$S$19,18,FALSE)</f>
        <v>9</v>
      </c>
    </row>
    <row r="327" spans="1:40" ht="28" x14ac:dyDescent="0.15">
      <c r="A327" s="3">
        <v>282</v>
      </c>
      <c r="B327" s="6">
        <v>2302241122</v>
      </c>
      <c r="C327" s="7">
        <v>23</v>
      </c>
      <c r="D327" s="7">
        <v>2</v>
      </c>
      <c r="E327" s="7">
        <v>2024</v>
      </c>
      <c r="F327" s="5">
        <v>45345</v>
      </c>
      <c r="G327" s="6" t="s">
        <v>15</v>
      </c>
      <c r="H327" s="17">
        <v>0.35175438596491226</v>
      </c>
      <c r="I327" s="20">
        <f>ROUNDUP((Table2[[#This Row],[fGCM_Conc]]*10000),0)</f>
        <v>3518</v>
      </c>
      <c r="J327" s="3" t="str">
        <f>VLOOKUP(G327,'[1]Attributes(OUTDATED)'!$A$2:$C$19,2,FALSE)</f>
        <v>M</v>
      </c>
      <c r="K327" s="3" t="str">
        <f>VLOOKUP(G327,'[1]Attributes(OUTDATED)'!$A$2:$C$19,3,FALSE)</f>
        <v>J</v>
      </c>
      <c r="L327" s="3">
        <f>VLOOKUP(G327,'[1]Attributes(OUTDATED)'!$A$2:$H$19,8,FALSE)</f>
        <v>828</v>
      </c>
      <c r="M327" s="3" t="str">
        <f>K327&amp;J327</f>
        <v>JM</v>
      </c>
      <c r="N327" s="3" t="e">
        <f>VLOOKUP(G327,#REF!,2,FALSE)</f>
        <v>#REF!</v>
      </c>
      <c r="O327" s="11">
        <v>45343</v>
      </c>
      <c r="P327" s="13">
        <v>32.5</v>
      </c>
      <c r="Q327" s="13">
        <v>23.1</v>
      </c>
      <c r="R327" s="13">
        <v>14.3</v>
      </c>
      <c r="S327" s="13">
        <f>Table2[[#This Row],[2_Temp_H]]-Table2[[#This Row],[2_Temp_L]]</f>
        <v>18.2</v>
      </c>
      <c r="T327" s="13">
        <v>28.3</v>
      </c>
      <c r="U327" s="13">
        <v>5.8</v>
      </c>
      <c r="V327" s="13">
        <v>1009.82</v>
      </c>
      <c r="W327" s="13">
        <v>1005.08</v>
      </c>
      <c r="X327" s="13">
        <v>0</v>
      </c>
      <c r="Y327" s="13" t="s">
        <v>148</v>
      </c>
      <c r="Z327" s="16" t="s">
        <v>171</v>
      </c>
      <c r="AA327" s="13" t="s">
        <v>137</v>
      </c>
      <c r="AB327" s="13" t="s">
        <v>143</v>
      </c>
      <c r="AC327" s="13" t="s">
        <v>145</v>
      </c>
      <c r="AD327" s="13" t="s">
        <v>137</v>
      </c>
      <c r="AE327" s="13">
        <f>VLOOKUP(Table2[[#This Row],[3_Elephant_ID]],'[1]Attributes(OUTDATED)'!$A$2:$N$19,12,FALSE)</f>
        <v>219</v>
      </c>
      <c r="AF327" s="13">
        <f>VLOOKUP(Table2[[#This Row],[3_Elephant_ID]],'[1]Attributes(OUTDATED)'!$A$2:$N$19,13,FALSE)</f>
        <v>0.32300000000000001</v>
      </c>
      <c r="AG327" s="13">
        <f>VLOOKUP(Table2[[#This Row],[3_Elephant_ID]],'[1]Attributes(OUTDATED)'!$A$2:$N$19,14,FALSE)</f>
        <v>0.32257531484312868</v>
      </c>
      <c r="AH327" s="13">
        <v>0</v>
      </c>
      <c r="AI327" s="13">
        <v>0</v>
      </c>
      <c r="AJ327" s="13">
        <v>0</v>
      </c>
      <c r="AK327" s="13">
        <v>0</v>
      </c>
      <c r="AL327" s="13">
        <f>VLOOKUP(Table2[[#This Row],[3_Elephant_ID]],'[1]Attributes(OUTDATED)'!$A$2:$P$19,16,FALSE)</f>
        <v>2</v>
      </c>
      <c r="AM327" s="13">
        <f>VLOOKUP(Table2[[#This Row],[3_Elephant_ID]],'[1]Attributes(OUTDATED)'!$A$2:$S$19,17,FALSE)</f>
        <v>1</v>
      </c>
      <c r="AN327" s="13">
        <f>VLOOKUP(Table2[[#This Row],[3_Elephant_ID]],'[1]Attributes(OUTDATED)'!$A$2:$S$19,18,FALSE)</f>
        <v>6</v>
      </c>
    </row>
    <row r="328" spans="1:40" ht="28" x14ac:dyDescent="0.15">
      <c r="A328" s="3">
        <v>288</v>
      </c>
      <c r="B328" s="6">
        <v>2302240952</v>
      </c>
      <c r="C328" s="7">
        <v>23</v>
      </c>
      <c r="D328" s="7">
        <v>2</v>
      </c>
      <c r="E328" s="7">
        <v>2024</v>
      </c>
      <c r="F328" s="5">
        <v>45345</v>
      </c>
      <c r="G328" s="6" t="s">
        <v>11</v>
      </c>
      <c r="H328" s="17">
        <v>0.34374301675977653</v>
      </c>
      <c r="I328" s="20">
        <f>ROUNDUP((Table2[[#This Row],[fGCM_Conc]]*10000),0)</f>
        <v>3438</v>
      </c>
      <c r="J328" s="3" t="str">
        <f>VLOOKUP(G328,'[1]Attributes(OUTDATED)'!$A$2:$C$19,2,FALSE)</f>
        <v>M</v>
      </c>
      <c r="K328" s="3" t="str">
        <f>VLOOKUP(G328,'[1]Attributes(OUTDATED)'!$A$2:$C$19,3,FALSE)</f>
        <v>A</v>
      </c>
      <c r="L328" s="3">
        <f>VLOOKUP(G328,'[1]Attributes(OUTDATED)'!$A$2:$H$19,8,FALSE)</f>
        <v>1223</v>
      </c>
      <c r="M328" s="3" t="str">
        <f>K328&amp;J328</f>
        <v>AM</v>
      </c>
      <c r="N328" s="3" t="e">
        <f>VLOOKUP(G328,#REF!,2,FALSE)</f>
        <v>#REF!</v>
      </c>
      <c r="O328" s="11">
        <v>45343</v>
      </c>
      <c r="P328" s="13">
        <v>32.5</v>
      </c>
      <c r="Q328" s="13">
        <v>23.1</v>
      </c>
      <c r="R328" s="13">
        <v>14.3</v>
      </c>
      <c r="S328" s="13">
        <f>Table2[[#This Row],[2_Temp_H]]-Table2[[#This Row],[2_Temp_L]]</f>
        <v>18.2</v>
      </c>
      <c r="T328" s="13">
        <v>28.3</v>
      </c>
      <c r="U328" s="13">
        <v>5.8</v>
      </c>
      <c r="V328" s="13">
        <v>1009.82</v>
      </c>
      <c r="W328" s="13">
        <v>1005.08</v>
      </c>
      <c r="X328" s="13">
        <v>0</v>
      </c>
      <c r="Y328" s="13" t="s">
        <v>148</v>
      </c>
      <c r="Z328" s="16" t="s">
        <v>171</v>
      </c>
      <c r="AA328" s="13" t="s">
        <v>137</v>
      </c>
      <c r="AB328" s="13" t="s">
        <v>143</v>
      </c>
      <c r="AC328" s="13" t="s">
        <v>145</v>
      </c>
      <c r="AD328" s="13" t="s">
        <v>137</v>
      </c>
      <c r="AE328" s="13">
        <f>VLOOKUP(Table2[[#This Row],[3_Elephant_ID]],'[1]Attributes(OUTDATED)'!$A$2:$N$19,12,FALSE)</f>
        <v>404</v>
      </c>
      <c r="AF328" s="13">
        <f>VLOOKUP(Table2[[#This Row],[3_Elephant_ID]],'[1]Attributes(OUTDATED)'!$A$2:$N$19,13,FALSE)</f>
        <v>0.91700000000000004</v>
      </c>
      <c r="AG328" s="13">
        <f>VLOOKUP(Table2[[#This Row],[3_Elephant_ID]],'[1]Attributes(OUTDATED)'!$A$2:$N$19,14,FALSE)</f>
        <v>0.91664628583929353</v>
      </c>
      <c r="AH328" s="13">
        <v>0</v>
      </c>
      <c r="AI328" s="13">
        <v>0</v>
      </c>
      <c r="AJ328" s="13">
        <v>0</v>
      </c>
      <c r="AK328" s="13">
        <v>0</v>
      </c>
      <c r="AL328" s="13">
        <f>VLOOKUP(Table2[[#This Row],[3_Elephant_ID]],'[1]Attributes(OUTDATED)'!$A$2:$P$19,16,FALSE)</f>
        <v>1</v>
      </c>
      <c r="AM328" s="13">
        <f>VLOOKUP(Table2[[#This Row],[3_Elephant_ID]],'[1]Attributes(OUTDATED)'!$A$2:$S$19,17,FALSE)</f>
        <v>14</v>
      </c>
      <c r="AN328" s="13">
        <f>VLOOKUP(Table2[[#This Row],[3_Elephant_ID]],'[1]Attributes(OUTDATED)'!$A$2:$S$19,18,FALSE)</f>
        <v>17</v>
      </c>
    </row>
    <row r="329" spans="1:40" ht="28" x14ac:dyDescent="0.15">
      <c r="A329" s="3">
        <v>285</v>
      </c>
      <c r="B329" s="6">
        <v>2302241115</v>
      </c>
      <c r="C329" s="7">
        <v>23</v>
      </c>
      <c r="D329" s="7">
        <v>2</v>
      </c>
      <c r="E329" s="7">
        <v>2024</v>
      </c>
      <c r="F329" s="5">
        <v>45345</v>
      </c>
      <c r="G329" s="6" t="s">
        <v>17</v>
      </c>
      <c r="H329" s="17">
        <v>0.34143122676579923</v>
      </c>
      <c r="I329" s="20">
        <f>ROUNDUP((Table2[[#This Row],[fGCM_Conc]]*10000),0)</f>
        <v>3415</v>
      </c>
      <c r="J329" s="3" t="str">
        <f>VLOOKUP(G329,'[1]Attributes(OUTDATED)'!$A$2:$C$19,2,FALSE)</f>
        <v>M</v>
      </c>
      <c r="K329" s="3" t="str">
        <f>VLOOKUP(G329,'[1]Attributes(OUTDATED)'!$A$2:$C$19,3,FALSE)</f>
        <v>J</v>
      </c>
      <c r="L329" s="3">
        <f>VLOOKUP(G329,'[1]Attributes(OUTDATED)'!$A$2:$H$19,8,FALSE)</f>
        <v>699</v>
      </c>
      <c r="M329" s="3" t="str">
        <f>K329&amp;J329</f>
        <v>JM</v>
      </c>
      <c r="N329" s="3" t="e">
        <f>VLOOKUP(G329,#REF!,2,FALSE)</f>
        <v>#REF!</v>
      </c>
      <c r="O329" s="11">
        <v>45343</v>
      </c>
      <c r="P329" s="13">
        <v>32.5</v>
      </c>
      <c r="Q329" s="13">
        <v>23.1</v>
      </c>
      <c r="R329" s="13">
        <v>14.3</v>
      </c>
      <c r="S329" s="13">
        <f>Table2[[#This Row],[2_Temp_H]]-Table2[[#This Row],[2_Temp_L]]</f>
        <v>18.2</v>
      </c>
      <c r="T329" s="13">
        <v>28.3</v>
      </c>
      <c r="U329" s="13">
        <v>5.8</v>
      </c>
      <c r="V329" s="13">
        <v>1009.82</v>
      </c>
      <c r="W329" s="13">
        <v>1005.08</v>
      </c>
      <c r="X329" s="13">
        <v>0</v>
      </c>
      <c r="Y329" s="13" t="s">
        <v>148</v>
      </c>
      <c r="Z329" s="16" t="s">
        <v>171</v>
      </c>
      <c r="AA329" s="13" t="s">
        <v>137</v>
      </c>
      <c r="AB329" s="13" t="s">
        <v>143</v>
      </c>
      <c r="AC329" s="13" t="s">
        <v>145</v>
      </c>
      <c r="AD329" s="13" t="s">
        <v>137</v>
      </c>
      <c r="AE329" s="13">
        <f>VLOOKUP(Table2[[#This Row],[3_Elephant_ID]],'[1]Attributes(OUTDATED)'!$A$2:$N$19,12,FALSE)</f>
        <v>343</v>
      </c>
      <c r="AF329" s="13">
        <f>VLOOKUP(Table2[[#This Row],[3_Elephant_ID]],'[1]Attributes(OUTDATED)'!$A$2:$N$19,13,FALSE)</f>
        <v>0.81</v>
      </c>
      <c r="AG329" s="13">
        <f>VLOOKUP(Table2[[#This Row],[3_Elephant_ID]],'[1]Attributes(OUTDATED)'!$A$2:$N$19,14,FALSE)</f>
        <v>0.80966774571167055</v>
      </c>
      <c r="AH329" s="13">
        <v>0</v>
      </c>
      <c r="AI329" s="13">
        <v>0</v>
      </c>
      <c r="AJ329" s="13">
        <v>0</v>
      </c>
      <c r="AK329" s="13">
        <v>0</v>
      </c>
      <c r="AL329" s="13">
        <f>VLOOKUP(Table2[[#This Row],[3_Elephant_ID]],'[1]Attributes(OUTDATED)'!$A$2:$P$19,16,FALSE)</f>
        <v>1</v>
      </c>
      <c r="AM329" s="13">
        <f>VLOOKUP(Table2[[#This Row],[3_Elephant_ID]],'[1]Attributes(OUTDATED)'!$A$2:$S$19,17,FALSE)</f>
        <v>0</v>
      </c>
      <c r="AN329" s="13">
        <f>VLOOKUP(Table2[[#This Row],[3_Elephant_ID]],'[1]Attributes(OUTDATED)'!$A$2:$S$19,18,FALSE)</f>
        <v>8</v>
      </c>
    </row>
    <row r="330" spans="1:40" ht="28" x14ac:dyDescent="0.15">
      <c r="A330" s="3">
        <v>286</v>
      </c>
      <c r="B330" s="6">
        <v>2302241113</v>
      </c>
      <c r="C330" s="7">
        <v>23</v>
      </c>
      <c r="D330" s="7">
        <v>2</v>
      </c>
      <c r="E330" s="7">
        <v>2024</v>
      </c>
      <c r="F330" s="5">
        <v>45345</v>
      </c>
      <c r="G330" s="6" t="s">
        <v>1</v>
      </c>
      <c r="H330" s="17">
        <v>0.25352272727272729</v>
      </c>
      <c r="I330" s="20">
        <f>ROUNDUP((Table2[[#This Row],[fGCM_Conc]]*10000),0)</f>
        <v>2536</v>
      </c>
      <c r="J330" s="3" t="str">
        <f>VLOOKUP(G330,'[1]Attributes(OUTDATED)'!$A$2:$C$19,2,FALSE)</f>
        <v>F</v>
      </c>
      <c r="K330" s="3" t="str">
        <f>VLOOKUP(G330,'[1]Attributes(OUTDATED)'!$A$2:$C$19,3,FALSE)</f>
        <v>A</v>
      </c>
      <c r="L330" s="3">
        <f>VLOOKUP(G330,'[1]Attributes(OUTDATED)'!$A$2:$H$19,8,FALSE)</f>
        <v>929</v>
      </c>
      <c r="M330" s="3" t="str">
        <f>K330&amp;J330</f>
        <v>AF</v>
      </c>
      <c r="N330" s="3" t="e">
        <f>VLOOKUP(G330,#REF!,2,FALSE)</f>
        <v>#REF!</v>
      </c>
      <c r="O330" s="11">
        <v>45343</v>
      </c>
      <c r="P330" s="13">
        <v>32.5</v>
      </c>
      <c r="Q330" s="13">
        <v>23.1</v>
      </c>
      <c r="R330" s="13">
        <v>14.3</v>
      </c>
      <c r="S330" s="13">
        <f>Table2[[#This Row],[2_Temp_H]]-Table2[[#This Row],[2_Temp_L]]</f>
        <v>18.2</v>
      </c>
      <c r="T330" s="13">
        <v>28.3</v>
      </c>
      <c r="U330" s="13">
        <v>5.8</v>
      </c>
      <c r="V330" s="13">
        <v>1009.82</v>
      </c>
      <c r="W330" s="13">
        <v>1005.08</v>
      </c>
      <c r="X330" s="13">
        <v>0</v>
      </c>
      <c r="Y330" s="13" t="s">
        <v>148</v>
      </c>
      <c r="Z330" s="16" t="s">
        <v>171</v>
      </c>
      <c r="AA330" s="13" t="s">
        <v>137</v>
      </c>
      <c r="AB330" s="13" t="s">
        <v>143</v>
      </c>
      <c r="AC330" s="13" t="s">
        <v>145</v>
      </c>
      <c r="AD330" s="13" t="s">
        <v>137</v>
      </c>
      <c r="AE330" s="13">
        <f>VLOOKUP(Table2[[#This Row],[3_Elephant_ID]],'[1]Attributes(OUTDATED)'!$A$2:$N$19,12,FALSE)</f>
        <v>321</v>
      </c>
      <c r="AF330" s="13">
        <f>VLOOKUP(Table2[[#This Row],[3_Elephant_ID]],'[1]Attributes(OUTDATED)'!$A$2:$N$19,13,FALSE)</f>
        <v>0.17599999999999999</v>
      </c>
      <c r="AG330" s="13">
        <f>VLOOKUP(Table2[[#This Row],[3_Elephant_ID]],'[1]Attributes(OUTDATED)'!$A$2:$N$19,14,FALSE)</f>
        <v>0.17530262753188491</v>
      </c>
      <c r="AH330" s="13">
        <v>0</v>
      </c>
      <c r="AI330" s="13">
        <v>0</v>
      </c>
      <c r="AJ330" s="13">
        <v>0</v>
      </c>
      <c r="AK330" s="13">
        <v>0</v>
      </c>
      <c r="AL330" s="13">
        <f>VLOOKUP(Table2[[#This Row],[3_Elephant_ID]],'[1]Attributes(OUTDATED)'!$A$2:$P$19,16,FALSE)</f>
        <v>1</v>
      </c>
      <c r="AM330" s="13">
        <f>VLOOKUP(Table2[[#This Row],[3_Elephant_ID]],'[1]Attributes(OUTDATED)'!$A$2:$S$19,17,FALSE)</f>
        <v>6</v>
      </c>
      <c r="AN330" s="13">
        <f>VLOOKUP(Table2[[#This Row],[3_Elephant_ID]],'[1]Attributes(OUTDATED)'!$A$2:$S$19,18,FALSE)</f>
        <v>8</v>
      </c>
    </row>
    <row r="331" spans="1:40" ht="28" x14ac:dyDescent="0.15">
      <c r="A331" s="3">
        <v>281</v>
      </c>
      <c r="B331" s="6">
        <v>2502240804</v>
      </c>
      <c r="C331" s="7">
        <v>25</v>
      </c>
      <c r="D331" s="7">
        <v>2</v>
      </c>
      <c r="E331" s="7">
        <v>2024</v>
      </c>
      <c r="F331" s="5">
        <v>45347</v>
      </c>
      <c r="G331" s="6" t="s">
        <v>4</v>
      </c>
      <c r="H331" s="17">
        <v>0.34774011299435026</v>
      </c>
      <c r="I331" s="20">
        <f>ROUNDUP((Table2[[#This Row],[fGCM_Conc]]*10000),0)</f>
        <v>3478</v>
      </c>
      <c r="J331" s="3" t="str">
        <f>VLOOKUP(G331,'[1]Attributes(OUTDATED)'!$A$2:$C$19,2,FALSE)</f>
        <v>M</v>
      </c>
      <c r="K331" s="3" t="str">
        <f>VLOOKUP(G331,'[1]Attributes(OUTDATED)'!$A$2:$C$19,3,FALSE)</f>
        <v>J</v>
      </c>
      <c r="L331" s="3">
        <f>VLOOKUP(G331,'[1]Attributes(OUTDATED)'!$A$2:$H$19,8,FALSE)</f>
        <v>1055</v>
      </c>
      <c r="M331" s="3" t="str">
        <f>K331&amp;J331</f>
        <v>JM</v>
      </c>
      <c r="N331" s="3" t="e">
        <f>VLOOKUP(G331,#REF!,2,FALSE)</f>
        <v>#REF!</v>
      </c>
      <c r="O331" s="11">
        <v>45345</v>
      </c>
      <c r="P331" s="13">
        <v>38.6</v>
      </c>
      <c r="Q331" s="13">
        <v>24.2</v>
      </c>
      <c r="R331" s="13">
        <v>9.8000000000000007</v>
      </c>
      <c r="S331" s="13">
        <f>Table2[[#This Row],[2_Temp_H]]-Table2[[#This Row],[2_Temp_L]]</f>
        <v>28.8</v>
      </c>
      <c r="T331" s="13">
        <v>53.6</v>
      </c>
      <c r="U331" s="13">
        <v>7.1</v>
      </c>
      <c r="V331" s="13">
        <v>1008.81</v>
      </c>
      <c r="W331" s="13">
        <v>1000</v>
      </c>
      <c r="X331" s="13">
        <v>0</v>
      </c>
      <c r="Y331" s="13" t="s">
        <v>148</v>
      </c>
      <c r="Z331" s="16" t="s">
        <v>171</v>
      </c>
      <c r="AA331" s="13" t="s">
        <v>137</v>
      </c>
      <c r="AB331" s="13" t="s">
        <v>143</v>
      </c>
      <c r="AC331" s="13" t="s">
        <v>145</v>
      </c>
      <c r="AD331" s="13" t="s">
        <v>137</v>
      </c>
      <c r="AE331" s="13">
        <f>VLOOKUP(Table2[[#This Row],[3_Elephant_ID]],'[1]Attributes(OUTDATED)'!$A$2:$N$19,12,FALSE)</f>
        <v>181</v>
      </c>
      <c r="AF331" s="13">
        <f>VLOOKUP(Table2[[#This Row],[3_Elephant_ID]],'[1]Attributes(OUTDATED)'!$A$2:$N$19,13,FALSE)</f>
        <v>7.3999999999999996E-2</v>
      </c>
      <c r="AG331" s="13">
        <f>VLOOKUP(Table2[[#This Row],[3_Elephant_ID]],'[1]Attributes(OUTDATED)'!$A$2:$N$19,14,FALSE)</f>
        <v>7.3914663535330896E-2</v>
      </c>
      <c r="AH331" s="13">
        <v>5</v>
      </c>
      <c r="AI331" s="13">
        <v>0</v>
      </c>
      <c r="AJ331" s="13">
        <v>0</v>
      </c>
      <c r="AK331" s="13">
        <v>0</v>
      </c>
      <c r="AL331" s="13">
        <f>VLOOKUP(Table2[[#This Row],[3_Elephant_ID]],'[1]Attributes(OUTDATED)'!$A$2:$P$19,16,FALSE)</f>
        <v>1</v>
      </c>
      <c r="AM331" s="13">
        <f>VLOOKUP(Table2[[#This Row],[3_Elephant_ID]],'[1]Attributes(OUTDATED)'!$A$2:$S$19,17,FALSE)</f>
        <v>7</v>
      </c>
      <c r="AN331" s="13">
        <f>VLOOKUP(Table2[[#This Row],[3_Elephant_ID]],'[1]Attributes(OUTDATED)'!$A$2:$S$19,18,FALSE)</f>
        <v>9</v>
      </c>
    </row>
    <row r="332" spans="1:40" ht="28" x14ac:dyDescent="0.15">
      <c r="A332" s="3">
        <v>280</v>
      </c>
      <c r="B332" s="6">
        <v>2602241015</v>
      </c>
      <c r="C332" s="7">
        <v>26</v>
      </c>
      <c r="D332" s="7">
        <v>2</v>
      </c>
      <c r="E332" s="7">
        <v>2024</v>
      </c>
      <c r="F332" s="5">
        <v>45348</v>
      </c>
      <c r="G332" s="6" t="s">
        <v>12</v>
      </c>
      <c r="H332" s="17">
        <v>0.38588126159554725</v>
      </c>
      <c r="I332" s="20">
        <f>ROUNDUP((Table2[[#This Row],[fGCM_Conc]]*10000),0)</f>
        <v>3859</v>
      </c>
      <c r="J332" s="3" t="str">
        <f>VLOOKUP(G332,'[1]Attributes(OUTDATED)'!$A$2:$C$19,2,FALSE)</f>
        <v>M</v>
      </c>
      <c r="K332" s="3" t="str">
        <f>VLOOKUP(G332,'[1]Attributes(OUTDATED)'!$A$2:$C$19,3,FALSE)</f>
        <v>A</v>
      </c>
      <c r="L332" s="3">
        <f>VLOOKUP(G332,'[1]Attributes(OUTDATED)'!$A$2:$H$19,8,FALSE)</f>
        <v>1509</v>
      </c>
      <c r="M332" s="3" t="str">
        <f>K332&amp;J332</f>
        <v>AM</v>
      </c>
      <c r="N332" s="3" t="e">
        <f>VLOOKUP(G332,#REF!,2,FALSE)</f>
        <v>#REF!</v>
      </c>
      <c r="O332" s="11">
        <v>45346</v>
      </c>
      <c r="P332" s="13">
        <v>36.5</v>
      </c>
      <c r="Q332" s="13">
        <v>27.7</v>
      </c>
      <c r="R332" s="13">
        <v>15.2</v>
      </c>
      <c r="S332" s="13">
        <f>Table2[[#This Row],[2_Temp_H]]-Table2[[#This Row],[2_Temp_L]]</f>
        <v>21.3</v>
      </c>
      <c r="T332" s="13">
        <v>49.6</v>
      </c>
      <c r="U332" s="13">
        <v>14.5</v>
      </c>
      <c r="V332" s="13">
        <v>1008.81</v>
      </c>
      <c r="W332" s="13">
        <v>1002.03</v>
      </c>
      <c r="X332" s="13">
        <v>2.79</v>
      </c>
      <c r="Y332" s="13" t="s">
        <v>148</v>
      </c>
      <c r="Z332" s="16" t="s">
        <v>171</v>
      </c>
      <c r="AA332" s="13" t="s">
        <v>137</v>
      </c>
      <c r="AB332" s="13" t="s">
        <v>143</v>
      </c>
      <c r="AC332" s="13" t="s">
        <v>145</v>
      </c>
      <c r="AD332" s="13" t="s">
        <v>137</v>
      </c>
      <c r="AE332" s="13">
        <f>VLOOKUP(Table2[[#This Row],[3_Elephant_ID]],'[1]Attributes(OUTDATED)'!$A$2:$N$19,12,FALSE)</f>
        <v>450</v>
      </c>
      <c r="AF332" s="13">
        <f>VLOOKUP(Table2[[#This Row],[3_Elephant_ID]],'[1]Attributes(OUTDATED)'!$A$2:$N$19,13,FALSE)</f>
        <v>0.375</v>
      </c>
      <c r="AG332" s="13">
        <f>VLOOKUP(Table2[[#This Row],[3_Elephant_ID]],'[1]Attributes(OUTDATED)'!$A$2:$N$19,14,FALSE)</f>
        <v>0.37414375430996583</v>
      </c>
      <c r="AH332" s="13">
        <v>0</v>
      </c>
      <c r="AI332" s="13">
        <v>0</v>
      </c>
      <c r="AJ332" s="13">
        <v>0</v>
      </c>
      <c r="AK332" s="13">
        <v>0</v>
      </c>
      <c r="AL332" s="13">
        <f>VLOOKUP(Table2[[#This Row],[3_Elephant_ID]],'[1]Attributes(OUTDATED)'!$A$2:$P$19,16,FALSE)</f>
        <v>1</v>
      </c>
      <c r="AM332" s="13">
        <f>VLOOKUP(Table2[[#This Row],[3_Elephant_ID]],'[1]Attributes(OUTDATED)'!$A$2:$S$19,17,FALSE)</f>
        <v>48</v>
      </c>
      <c r="AN332" s="13">
        <f>VLOOKUP(Table2[[#This Row],[3_Elephant_ID]],'[1]Attributes(OUTDATED)'!$A$2:$S$19,18,FALSE)</f>
        <v>3</v>
      </c>
    </row>
    <row r="333" spans="1:40" ht="28" x14ac:dyDescent="0.15">
      <c r="A333" s="3">
        <v>279</v>
      </c>
      <c r="B333" s="6">
        <v>2802240948</v>
      </c>
      <c r="C333" s="7">
        <v>28</v>
      </c>
      <c r="D333" s="7">
        <v>2</v>
      </c>
      <c r="E333" s="7">
        <v>2024</v>
      </c>
      <c r="F333" s="5">
        <v>45350</v>
      </c>
      <c r="G333" s="6" t="s">
        <v>3</v>
      </c>
      <c r="H333" s="17">
        <v>0.33770114942528745</v>
      </c>
      <c r="I333" s="20">
        <f>ROUNDUP((Table2[[#This Row],[fGCM_Conc]]*10000),0)</f>
        <v>3378</v>
      </c>
      <c r="J333" s="3" t="str">
        <f>VLOOKUP(G333,'[1]Attributes(OUTDATED)'!$A$2:$C$19,2,FALSE)</f>
        <v>M</v>
      </c>
      <c r="K333" s="3" t="str">
        <f>VLOOKUP(G333,'[1]Attributes(OUTDATED)'!$A$2:$C$19,3,FALSE)</f>
        <v>J</v>
      </c>
      <c r="L333" s="3">
        <f>VLOOKUP(G333,'[1]Attributes(OUTDATED)'!$A$2:$H$19,8,FALSE)</f>
        <v>1031</v>
      </c>
      <c r="M333" s="3" t="str">
        <f>K333&amp;J333</f>
        <v>JM</v>
      </c>
      <c r="N333" s="3" t="e">
        <f>VLOOKUP(G333,#REF!,2,FALSE)</f>
        <v>#REF!</v>
      </c>
      <c r="O333" s="11">
        <v>45348</v>
      </c>
      <c r="P333" s="13">
        <v>23.5</v>
      </c>
      <c r="Q333" s="13">
        <v>16</v>
      </c>
      <c r="R333" s="13">
        <v>8</v>
      </c>
      <c r="S333" s="13">
        <f>Table2[[#This Row],[2_Temp_H]]-Table2[[#This Row],[2_Temp_L]]</f>
        <v>15.5</v>
      </c>
      <c r="T333" s="13">
        <v>43.1</v>
      </c>
      <c r="U333" s="13">
        <v>5.4</v>
      </c>
      <c r="V333" s="13">
        <v>1016.93</v>
      </c>
      <c r="W333" s="13">
        <v>1013.88</v>
      </c>
      <c r="X333" s="13">
        <v>0</v>
      </c>
      <c r="Y333" s="13" t="s">
        <v>148</v>
      </c>
      <c r="Z333" s="16" t="s">
        <v>171</v>
      </c>
      <c r="AA333" s="13" t="s">
        <v>137</v>
      </c>
      <c r="AB333" s="13" t="s">
        <v>143</v>
      </c>
      <c r="AC333" s="13" t="s">
        <v>145</v>
      </c>
      <c r="AD333" s="13" t="s">
        <v>137</v>
      </c>
      <c r="AE333" s="13">
        <f>VLOOKUP(Table2[[#This Row],[3_Elephant_ID]],'[1]Attributes(OUTDATED)'!$A$2:$N$19,12,FALSE)</f>
        <v>234</v>
      </c>
      <c r="AF333" s="13">
        <f>VLOOKUP(Table2[[#This Row],[3_Elephant_ID]],'[1]Attributes(OUTDATED)'!$A$2:$N$19,13,FALSE)</f>
        <v>0.16500000000000001</v>
      </c>
      <c r="AG333" s="13">
        <f>VLOOKUP(Table2[[#This Row],[3_Elephant_ID]],'[1]Attributes(OUTDATED)'!$A$2:$N$19,14,FALSE)</f>
        <v>0.16420161303383449</v>
      </c>
      <c r="AH333" s="13">
        <v>0</v>
      </c>
      <c r="AI333" s="13">
        <v>0</v>
      </c>
      <c r="AJ333" s="13">
        <v>0</v>
      </c>
      <c r="AK333" s="13">
        <v>0</v>
      </c>
      <c r="AL333" s="13">
        <f>VLOOKUP(Table2[[#This Row],[3_Elephant_ID]],'[1]Attributes(OUTDATED)'!$A$2:$P$19,16,FALSE)</f>
        <v>1</v>
      </c>
      <c r="AM333" s="13">
        <f>VLOOKUP(Table2[[#This Row],[3_Elephant_ID]],'[1]Attributes(OUTDATED)'!$A$2:$S$19,17,FALSE)</f>
        <v>9</v>
      </c>
      <c r="AN333" s="13">
        <f>VLOOKUP(Table2[[#This Row],[3_Elephant_ID]],'[1]Attributes(OUTDATED)'!$A$2:$S$19,18,FALSE)</f>
        <v>9</v>
      </c>
    </row>
    <row r="334" spans="1:40" ht="28" x14ac:dyDescent="0.15">
      <c r="A334" s="3">
        <v>273</v>
      </c>
      <c r="B334" s="6">
        <v>2802241030</v>
      </c>
      <c r="C334" s="7">
        <v>28</v>
      </c>
      <c r="D334" s="7">
        <v>2</v>
      </c>
      <c r="E334" s="7">
        <v>2024</v>
      </c>
      <c r="F334" s="5">
        <v>45350</v>
      </c>
      <c r="G334" s="6" t="s">
        <v>16</v>
      </c>
      <c r="H334" s="17">
        <v>0.32169322709163345</v>
      </c>
      <c r="I334" s="20">
        <f>ROUNDUP((Table2[[#This Row],[fGCM_Conc]]*10000),0)</f>
        <v>3217</v>
      </c>
      <c r="J334" s="3" t="str">
        <f>VLOOKUP(G334,'[1]Attributes(OUTDATED)'!$A$2:$C$19,2,FALSE)</f>
        <v>F</v>
      </c>
      <c r="K334" s="3" t="str">
        <f>VLOOKUP(G334,'[1]Attributes(OUTDATED)'!$A$2:$C$19,3,FALSE)</f>
        <v>A</v>
      </c>
      <c r="L334" s="3">
        <f>VLOOKUP(G334,'[1]Attributes(OUTDATED)'!$A$2:$H$19,8,FALSE)</f>
        <v>1346</v>
      </c>
      <c r="M334" s="3" t="str">
        <f>K334&amp;J334</f>
        <v>AF</v>
      </c>
      <c r="N334" s="3" t="e">
        <f>VLOOKUP(G334,#REF!,2,FALSE)</f>
        <v>#REF!</v>
      </c>
      <c r="O334" s="11">
        <v>45348</v>
      </c>
      <c r="P334" s="13">
        <v>23.5</v>
      </c>
      <c r="Q334" s="13">
        <v>16</v>
      </c>
      <c r="R334" s="13">
        <v>8</v>
      </c>
      <c r="S334" s="13">
        <f>Table2[[#This Row],[2_Temp_H]]-Table2[[#This Row],[2_Temp_L]]</f>
        <v>15.5</v>
      </c>
      <c r="T334" s="13">
        <v>43.1</v>
      </c>
      <c r="U334" s="13">
        <v>5.4</v>
      </c>
      <c r="V334" s="13">
        <v>1016.93</v>
      </c>
      <c r="W334" s="13">
        <v>1013.88</v>
      </c>
      <c r="X334" s="13">
        <v>0</v>
      </c>
      <c r="Y334" s="13" t="s">
        <v>148</v>
      </c>
      <c r="Z334" s="16" t="s">
        <v>171</v>
      </c>
      <c r="AA334" s="13" t="s">
        <v>137</v>
      </c>
      <c r="AB334" s="13" t="s">
        <v>143</v>
      </c>
      <c r="AC334" s="13" t="s">
        <v>145</v>
      </c>
      <c r="AD334" s="13" t="s">
        <v>137</v>
      </c>
      <c r="AE334" s="13">
        <f>VLOOKUP(Table2[[#This Row],[3_Elephant_ID]],'[1]Attributes(OUTDATED)'!$A$2:$N$19,12,FALSE)</f>
        <v>474</v>
      </c>
      <c r="AF334" s="13">
        <f>VLOOKUP(Table2[[#This Row],[3_Elephant_ID]],'[1]Attributes(OUTDATED)'!$A$2:$N$19,13,FALSE)</f>
        <v>0.121</v>
      </c>
      <c r="AG334" s="13">
        <f>VLOOKUP(Table2[[#This Row],[3_Elephant_ID]],'[1]Attributes(OUTDATED)'!$A$2:$N$19,14,FALSE)</f>
        <v>0.1206993463154281</v>
      </c>
      <c r="AH334" s="13">
        <v>0</v>
      </c>
      <c r="AI334" s="13">
        <v>0</v>
      </c>
      <c r="AJ334" s="13">
        <v>0</v>
      </c>
      <c r="AK334" s="13">
        <v>0</v>
      </c>
      <c r="AL334" s="13">
        <f>VLOOKUP(Table2[[#This Row],[3_Elephant_ID]],'[1]Attributes(OUTDATED)'!$A$2:$P$19,16,FALSE)</f>
        <v>1</v>
      </c>
      <c r="AM334" s="13">
        <f>VLOOKUP(Table2[[#This Row],[3_Elephant_ID]],'[1]Attributes(OUTDATED)'!$A$2:$S$19,17,FALSE)</f>
        <v>16</v>
      </c>
      <c r="AN334" s="13">
        <f>VLOOKUP(Table2[[#This Row],[3_Elephant_ID]],'[1]Attributes(OUTDATED)'!$A$2:$S$19,18,FALSE)</f>
        <v>1</v>
      </c>
    </row>
    <row r="335" spans="1:40" ht="28" x14ac:dyDescent="0.15">
      <c r="A335" s="3">
        <v>278</v>
      </c>
      <c r="B335" s="6">
        <v>2802241042</v>
      </c>
      <c r="C335" s="7">
        <v>28</v>
      </c>
      <c r="D335" s="7">
        <v>2</v>
      </c>
      <c r="E335" s="7">
        <v>2024</v>
      </c>
      <c r="F335" s="5">
        <v>45350</v>
      </c>
      <c r="G335" s="6" t="s">
        <v>12</v>
      </c>
      <c r="H335" s="17">
        <v>0.32066037735849057</v>
      </c>
      <c r="I335" s="20">
        <f>ROUNDUP((Table2[[#This Row],[fGCM_Conc]]*10000),0)</f>
        <v>3207</v>
      </c>
      <c r="J335" s="3" t="str">
        <f>VLOOKUP(G335,'[1]Attributes(OUTDATED)'!$A$2:$C$19,2,FALSE)</f>
        <v>M</v>
      </c>
      <c r="K335" s="3" t="str">
        <f>VLOOKUP(G335,'[1]Attributes(OUTDATED)'!$A$2:$C$19,3,FALSE)</f>
        <v>A</v>
      </c>
      <c r="L335" s="3">
        <f>VLOOKUP(G335,'[1]Attributes(OUTDATED)'!$A$2:$H$19,8,FALSE)</f>
        <v>1509</v>
      </c>
      <c r="M335" s="3" t="str">
        <f>K335&amp;J335</f>
        <v>AM</v>
      </c>
      <c r="N335" s="3" t="e">
        <f>VLOOKUP(G335,#REF!,2,FALSE)</f>
        <v>#REF!</v>
      </c>
      <c r="O335" s="11">
        <v>45348</v>
      </c>
      <c r="P335" s="13">
        <v>23.5</v>
      </c>
      <c r="Q335" s="13">
        <v>16</v>
      </c>
      <c r="R335" s="13">
        <v>8</v>
      </c>
      <c r="S335" s="13">
        <f>Table2[[#This Row],[2_Temp_H]]-Table2[[#This Row],[2_Temp_L]]</f>
        <v>15.5</v>
      </c>
      <c r="T335" s="13">
        <v>43.1</v>
      </c>
      <c r="U335" s="13">
        <v>5.4</v>
      </c>
      <c r="V335" s="13">
        <v>1016.93</v>
      </c>
      <c r="W335" s="13">
        <v>1013.88</v>
      </c>
      <c r="X335" s="13">
        <v>0</v>
      </c>
      <c r="Y335" s="13" t="s">
        <v>148</v>
      </c>
      <c r="Z335" s="16" t="s">
        <v>171</v>
      </c>
      <c r="AA335" s="13" t="s">
        <v>137</v>
      </c>
      <c r="AB335" s="13" t="s">
        <v>143</v>
      </c>
      <c r="AC335" s="13" t="s">
        <v>145</v>
      </c>
      <c r="AD335" s="13" t="s">
        <v>137</v>
      </c>
      <c r="AE335" s="13">
        <f>VLOOKUP(Table2[[#This Row],[3_Elephant_ID]],'[1]Attributes(OUTDATED)'!$A$2:$N$19,12,FALSE)</f>
        <v>450</v>
      </c>
      <c r="AF335" s="13">
        <f>VLOOKUP(Table2[[#This Row],[3_Elephant_ID]],'[1]Attributes(OUTDATED)'!$A$2:$N$19,13,FALSE)</f>
        <v>0.375</v>
      </c>
      <c r="AG335" s="13">
        <f>VLOOKUP(Table2[[#This Row],[3_Elephant_ID]],'[1]Attributes(OUTDATED)'!$A$2:$N$19,14,FALSE)</f>
        <v>0.37414375430996583</v>
      </c>
      <c r="AH335" s="13">
        <v>0</v>
      </c>
      <c r="AI335" s="13">
        <v>0</v>
      </c>
      <c r="AJ335" s="13">
        <v>0</v>
      </c>
      <c r="AK335" s="13">
        <v>0</v>
      </c>
      <c r="AL335" s="13">
        <f>VLOOKUP(Table2[[#This Row],[3_Elephant_ID]],'[1]Attributes(OUTDATED)'!$A$2:$P$19,16,FALSE)</f>
        <v>1</v>
      </c>
      <c r="AM335" s="13">
        <f>VLOOKUP(Table2[[#This Row],[3_Elephant_ID]],'[1]Attributes(OUTDATED)'!$A$2:$S$19,17,FALSE)</f>
        <v>48</v>
      </c>
      <c r="AN335" s="13">
        <f>VLOOKUP(Table2[[#This Row],[3_Elephant_ID]],'[1]Attributes(OUTDATED)'!$A$2:$S$19,18,FALSE)</f>
        <v>3</v>
      </c>
    </row>
    <row r="336" spans="1:40" ht="28" x14ac:dyDescent="0.15">
      <c r="A336" s="3">
        <v>272</v>
      </c>
      <c r="B336" s="6">
        <v>2802241448</v>
      </c>
      <c r="C336" s="7">
        <v>28</v>
      </c>
      <c r="D336" s="7">
        <v>2</v>
      </c>
      <c r="E336" s="7">
        <v>2024</v>
      </c>
      <c r="F336" s="5">
        <v>45350</v>
      </c>
      <c r="G336" s="6" t="s">
        <v>8</v>
      </c>
      <c r="H336" s="17">
        <v>0.31472324723247236</v>
      </c>
      <c r="I336" s="20">
        <f>ROUNDUP((Table2[[#This Row],[fGCM_Conc]]*10000),0)</f>
        <v>3148</v>
      </c>
      <c r="J336" s="3" t="str">
        <f>VLOOKUP(G336,'[1]Attributes(OUTDATED)'!$A$2:$C$19,2,FALSE)</f>
        <v>F</v>
      </c>
      <c r="K336" s="3" t="str">
        <f>VLOOKUP(G336,'[1]Attributes(OUTDATED)'!$A$2:$C$19,3,FALSE)</f>
        <v>A</v>
      </c>
      <c r="L336" s="3">
        <f>VLOOKUP(G336,'[1]Attributes(OUTDATED)'!$A$2:$H$19,8,FALSE)</f>
        <v>1096</v>
      </c>
      <c r="M336" s="3" t="str">
        <f>K336&amp;J336</f>
        <v>AF</v>
      </c>
      <c r="N336" s="3" t="e">
        <f>VLOOKUP(G336,#REF!,2,FALSE)</f>
        <v>#REF!</v>
      </c>
      <c r="O336" s="11">
        <v>45348</v>
      </c>
      <c r="P336" s="13">
        <v>23.5</v>
      </c>
      <c r="Q336" s="13">
        <v>16</v>
      </c>
      <c r="R336" s="13">
        <v>8</v>
      </c>
      <c r="S336" s="13">
        <f>Table2[[#This Row],[2_Temp_H]]-Table2[[#This Row],[2_Temp_L]]</f>
        <v>15.5</v>
      </c>
      <c r="T336" s="13">
        <v>43.1</v>
      </c>
      <c r="U336" s="13">
        <v>5.4</v>
      </c>
      <c r="V336" s="13">
        <v>1016.93</v>
      </c>
      <c r="W336" s="13">
        <v>1013.88</v>
      </c>
      <c r="X336" s="13">
        <v>0</v>
      </c>
      <c r="Y336" s="13" t="s">
        <v>148</v>
      </c>
      <c r="Z336" s="16" t="s">
        <v>171</v>
      </c>
      <c r="AA336" s="13" t="s">
        <v>137</v>
      </c>
      <c r="AB336" s="13" t="s">
        <v>143</v>
      </c>
      <c r="AC336" s="13" t="s">
        <v>145</v>
      </c>
      <c r="AD336" s="13" t="s">
        <v>137</v>
      </c>
      <c r="AE336" s="13">
        <f>VLOOKUP(Table2[[#This Row],[3_Elephant_ID]],'[1]Attributes(OUTDATED)'!$A$2:$N$19,12,FALSE)</f>
        <v>346</v>
      </c>
      <c r="AF336" s="13">
        <f>VLOOKUP(Table2[[#This Row],[3_Elephant_ID]],'[1]Attributes(OUTDATED)'!$A$2:$N$19,13,FALSE)</f>
        <v>0.28999999999999998</v>
      </c>
      <c r="AG336" s="13">
        <f>VLOOKUP(Table2[[#This Row],[3_Elephant_ID]],'[1]Attributes(OUTDATED)'!$A$2:$N$19,14,FALSE)</f>
        <v>0.28929989906834258</v>
      </c>
      <c r="AH336" s="13">
        <v>0</v>
      </c>
      <c r="AI336" s="13">
        <v>0</v>
      </c>
      <c r="AJ336" s="13">
        <v>0</v>
      </c>
      <c r="AK336" s="13">
        <v>0</v>
      </c>
      <c r="AL336" s="13">
        <f>VLOOKUP(Table2[[#This Row],[3_Elephant_ID]],'[1]Attributes(OUTDATED)'!$A$2:$P$19,16,FALSE)</f>
        <v>1</v>
      </c>
      <c r="AM336" s="13">
        <f>VLOOKUP(Table2[[#This Row],[3_Elephant_ID]],'[1]Attributes(OUTDATED)'!$A$2:$S$19,17,FALSE)</f>
        <v>11</v>
      </c>
      <c r="AN336" s="13">
        <f>VLOOKUP(Table2[[#This Row],[3_Elephant_ID]],'[1]Attributes(OUTDATED)'!$A$2:$S$19,18,FALSE)</f>
        <v>7</v>
      </c>
    </row>
    <row r="337" spans="1:40" ht="28" x14ac:dyDescent="0.15">
      <c r="A337" s="3">
        <v>274</v>
      </c>
      <c r="B337" s="6">
        <v>2802240822</v>
      </c>
      <c r="C337" s="7">
        <v>28</v>
      </c>
      <c r="D337" s="7">
        <v>2</v>
      </c>
      <c r="E337" s="7">
        <v>2024</v>
      </c>
      <c r="F337" s="5">
        <v>45350</v>
      </c>
      <c r="G337" s="6" t="s">
        <v>16</v>
      </c>
      <c r="H337" s="17">
        <v>0.28897623400365635</v>
      </c>
      <c r="I337" s="20">
        <f>ROUNDUP((Table2[[#This Row],[fGCM_Conc]]*10000),0)</f>
        <v>2890</v>
      </c>
      <c r="J337" s="3" t="str">
        <f>VLOOKUP(G337,'[1]Attributes(OUTDATED)'!$A$2:$C$19,2,FALSE)</f>
        <v>F</v>
      </c>
      <c r="K337" s="3" t="str">
        <f>VLOOKUP(G337,'[1]Attributes(OUTDATED)'!$A$2:$C$19,3,FALSE)</f>
        <v>A</v>
      </c>
      <c r="L337" s="3">
        <f>VLOOKUP(G337,'[1]Attributes(OUTDATED)'!$A$2:$H$19,8,FALSE)</f>
        <v>1346</v>
      </c>
      <c r="M337" s="3" t="str">
        <f>K337&amp;J337</f>
        <v>AF</v>
      </c>
      <c r="N337" s="3" t="e">
        <f>VLOOKUP(G337,#REF!,2,FALSE)</f>
        <v>#REF!</v>
      </c>
      <c r="O337" s="11">
        <v>45348</v>
      </c>
      <c r="P337" s="13">
        <v>23.5</v>
      </c>
      <c r="Q337" s="13">
        <v>16</v>
      </c>
      <c r="R337" s="13">
        <v>8</v>
      </c>
      <c r="S337" s="13">
        <f>Table2[[#This Row],[2_Temp_H]]-Table2[[#This Row],[2_Temp_L]]</f>
        <v>15.5</v>
      </c>
      <c r="T337" s="13">
        <v>43.1</v>
      </c>
      <c r="U337" s="13">
        <v>5.4</v>
      </c>
      <c r="V337" s="13">
        <v>1016.93</v>
      </c>
      <c r="W337" s="13">
        <v>1013.88</v>
      </c>
      <c r="X337" s="13">
        <v>0</v>
      </c>
      <c r="Y337" s="13" t="s">
        <v>148</v>
      </c>
      <c r="Z337" s="16" t="s">
        <v>171</v>
      </c>
      <c r="AA337" s="13" t="s">
        <v>137</v>
      </c>
      <c r="AB337" s="13" t="s">
        <v>143</v>
      </c>
      <c r="AC337" s="13" t="s">
        <v>145</v>
      </c>
      <c r="AD337" s="13" t="s">
        <v>137</v>
      </c>
      <c r="AE337" s="13">
        <f>VLOOKUP(Table2[[#This Row],[3_Elephant_ID]],'[1]Attributes(OUTDATED)'!$A$2:$N$19,12,FALSE)</f>
        <v>474</v>
      </c>
      <c r="AF337" s="13">
        <f>VLOOKUP(Table2[[#This Row],[3_Elephant_ID]],'[1]Attributes(OUTDATED)'!$A$2:$N$19,13,FALSE)</f>
        <v>0.121</v>
      </c>
      <c r="AG337" s="13">
        <f>VLOOKUP(Table2[[#This Row],[3_Elephant_ID]],'[1]Attributes(OUTDATED)'!$A$2:$N$19,14,FALSE)</f>
        <v>0.1206993463154281</v>
      </c>
      <c r="AH337" s="13">
        <v>0</v>
      </c>
      <c r="AI337" s="13">
        <v>0</v>
      </c>
      <c r="AJ337" s="13">
        <v>0</v>
      </c>
      <c r="AK337" s="13">
        <v>0</v>
      </c>
      <c r="AL337" s="13">
        <f>VLOOKUP(Table2[[#This Row],[3_Elephant_ID]],'[1]Attributes(OUTDATED)'!$A$2:$P$19,16,FALSE)</f>
        <v>1</v>
      </c>
      <c r="AM337" s="13">
        <f>VLOOKUP(Table2[[#This Row],[3_Elephant_ID]],'[1]Attributes(OUTDATED)'!$A$2:$S$19,17,FALSE)</f>
        <v>16</v>
      </c>
      <c r="AN337" s="13">
        <f>VLOOKUP(Table2[[#This Row],[3_Elephant_ID]],'[1]Attributes(OUTDATED)'!$A$2:$S$19,18,FALSE)</f>
        <v>1</v>
      </c>
    </row>
    <row r="338" spans="1:40" ht="28" x14ac:dyDescent="0.15">
      <c r="A338" s="3">
        <v>277</v>
      </c>
      <c r="B338" s="6">
        <v>2802240905</v>
      </c>
      <c r="C338" s="7">
        <v>28</v>
      </c>
      <c r="D338" s="7">
        <v>2</v>
      </c>
      <c r="E338" s="7">
        <v>2024</v>
      </c>
      <c r="F338" s="5">
        <v>45350</v>
      </c>
      <c r="G338" s="6" t="s">
        <v>2</v>
      </c>
      <c r="H338" s="17">
        <v>0.28721495327102803</v>
      </c>
      <c r="I338" s="20">
        <f>ROUNDUP((Table2[[#This Row],[fGCM_Conc]]*10000),0)</f>
        <v>2873</v>
      </c>
      <c r="J338" s="3" t="str">
        <f>VLOOKUP(G338,'[1]Attributes(OUTDATED)'!$A$2:$C$19,2,FALSE)</f>
        <v>F</v>
      </c>
      <c r="K338" s="3" t="str">
        <f>VLOOKUP(G338,'[1]Attributes(OUTDATED)'!$A$2:$C$19,3,FALSE)</f>
        <v>A</v>
      </c>
      <c r="L338" s="3">
        <f>VLOOKUP(G338,'[1]Attributes(OUTDATED)'!$A$2:$H$19,8,FALSE)</f>
        <v>892</v>
      </c>
      <c r="M338" s="3" t="str">
        <f>K338&amp;J338</f>
        <v>AF</v>
      </c>
      <c r="N338" s="3" t="e">
        <f>VLOOKUP(G338,#REF!,2,FALSE)</f>
        <v>#REF!</v>
      </c>
      <c r="O338" s="11">
        <v>45348</v>
      </c>
      <c r="P338" s="13">
        <v>23.5</v>
      </c>
      <c r="Q338" s="13">
        <v>16</v>
      </c>
      <c r="R338" s="13">
        <v>8</v>
      </c>
      <c r="S338" s="13">
        <f>Table2[[#This Row],[2_Temp_H]]-Table2[[#This Row],[2_Temp_L]]</f>
        <v>15.5</v>
      </c>
      <c r="T338" s="13">
        <v>43.1</v>
      </c>
      <c r="U338" s="13">
        <v>5.4</v>
      </c>
      <c r="V338" s="13">
        <v>1016.93</v>
      </c>
      <c r="W338" s="13">
        <v>1013.88</v>
      </c>
      <c r="X338" s="13">
        <v>0</v>
      </c>
      <c r="Y338" s="13" t="s">
        <v>148</v>
      </c>
      <c r="Z338" s="16" t="s">
        <v>171</v>
      </c>
      <c r="AA338" s="13" t="s">
        <v>137</v>
      </c>
      <c r="AB338" s="13" t="s">
        <v>143</v>
      </c>
      <c r="AC338" s="13" t="s">
        <v>145</v>
      </c>
      <c r="AD338" s="13" t="s">
        <v>137</v>
      </c>
      <c r="AE338" s="13">
        <f>VLOOKUP(Table2[[#This Row],[3_Elephant_ID]],'[1]Attributes(OUTDATED)'!$A$2:$N$19,12,FALSE)</f>
        <v>378</v>
      </c>
      <c r="AF338" s="13">
        <f>VLOOKUP(Table2[[#This Row],[3_Elephant_ID]],'[1]Attributes(OUTDATED)'!$A$2:$N$19,13,FALSE)</f>
        <v>8.6999999999999994E-2</v>
      </c>
      <c r="AG338" s="13">
        <f>VLOOKUP(Table2[[#This Row],[3_Elephant_ID]],'[1]Attributes(OUTDATED)'!$A$2:$N$19,14,FALSE)</f>
        <v>8.6599138783086713E-2</v>
      </c>
      <c r="AH338" s="13">
        <v>0</v>
      </c>
      <c r="AI338" s="13">
        <v>0</v>
      </c>
      <c r="AJ338" s="13">
        <v>0</v>
      </c>
      <c r="AK338" s="13">
        <v>0</v>
      </c>
      <c r="AL338" s="13">
        <f>VLOOKUP(Table2[[#This Row],[3_Elephant_ID]],'[1]Attributes(OUTDATED)'!$A$2:$P$19,16,FALSE)</f>
        <v>1</v>
      </c>
      <c r="AM338" s="13">
        <f>VLOOKUP(Table2[[#This Row],[3_Elephant_ID]],'[1]Attributes(OUTDATED)'!$A$2:$S$19,17,FALSE)</f>
        <v>4</v>
      </c>
      <c r="AN338" s="13">
        <f>VLOOKUP(Table2[[#This Row],[3_Elephant_ID]],'[1]Attributes(OUTDATED)'!$A$2:$S$19,18,FALSE)</f>
        <v>20</v>
      </c>
    </row>
    <row r="339" spans="1:40" ht="28" x14ac:dyDescent="0.15">
      <c r="A339" s="3">
        <v>275</v>
      </c>
      <c r="B339" s="6">
        <v>2802240815</v>
      </c>
      <c r="C339" s="7">
        <v>28</v>
      </c>
      <c r="D339" s="7">
        <v>2</v>
      </c>
      <c r="E339" s="7">
        <v>2024</v>
      </c>
      <c r="F339" s="5">
        <v>45350</v>
      </c>
      <c r="G339" s="6" t="s">
        <v>5</v>
      </c>
      <c r="H339" s="17">
        <v>0.26147601476014765</v>
      </c>
      <c r="I339" s="20">
        <f>ROUNDUP((Table2[[#This Row],[fGCM_Conc]]*10000),0)</f>
        <v>2615</v>
      </c>
      <c r="J339" s="3" t="str">
        <f>VLOOKUP(G339,'[1]Attributes(OUTDATED)'!$A$2:$C$19,2,FALSE)</f>
        <v>M</v>
      </c>
      <c r="K339" s="3" t="str">
        <f>VLOOKUP(G339,'[1]Attributes(OUTDATED)'!$A$2:$C$19,3,FALSE)</f>
        <v>J</v>
      </c>
      <c r="L339" s="3">
        <f>VLOOKUP(G339,'[1]Attributes(OUTDATED)'!$A$2:$H$19,8,FALSE)</f>
        <v>940</v>
      </c>
      <c r="M339" s="3" t="str">
        <f>K339&amp;J339</f>
        <v>JM</v>
      </c>
      <c r="N339" s="3" t="e">
        <f>VLOOKUP(G339,#REF!,2,FALSE)</f>
        <v>#REF!</v>
      </c>
      <c r="O339" s="11">
        <v>45348</v>
      </c>
      <c r="P339" s="13">
        <v>23.5</v>
      </c>
      <c r="Q339" s="13">
        <v>16</v>
      </c>
      <c r="R339" s="13">
        <v>8</v>
      </c>
      <c r="S339" s="13">
        <f>Table2[[#This Row],[2_Temp_H]]-Table2[[#This Row],[2_Temp_L]]</f>
        <v>15.5</v>
      </c>
      <c r="T339" s="13">
        <v>43.1</v>
      </c>
      <c r="U339" s="13">
        <v>5.4</v>
      </c>
      <c r="V339" s="13">
        <v>1016.93</v>
      </c>
      <c r="W339" s="13">
        <v>1013.88</v>
      </c>
      <c r="X339" s="13">
        <v>0</v>
      </c>
      <c r="Y339" s="13" t="s">
        <v>148</v>
      </c>
      <c r="Z339" s="16" t="s">
        <v>171</v>
      </c>
      <c r="AA339" s="13" t="s">
        <v>137</v>
      </c>
      <c r="AB339" s="13" t="s">
        <v>143</v>
      </c>
      <c r="AC339" s="13" t="s">
        <v>145</v>
      </c>
      <c r="AD339" s="13" t="s">
        <v>137</v>
      </c>
      <c r="AE339" s="13">
        <f>VLOOKUP(Table2[[#This Row],[3_Elephant_ID]],'[1]Attributes(OUTDATED)'!$A$2:$N$19,12,FALSE)</f>
        <v>361</v>
      </c>
      <c r="AF339" s="13">
        <f>VLOOKUP(Table2[[#This Row],[3_Elephant_ID]],'[1]Attributes(OUTDATED)'!$A$2:$N$19,13,FALSE)</f>
        <v>0.40600000000000003</v>
      </c>
      <c r="AG339" s="13">
        <f>VLOOKUP(Table2[[#This Row],[3_Elephant_ID]],'[1]Attributes(OUTDATED)'!$A$2:$N$19,14,FALSE)</f>
        <v>0.40590323220736402</v>
      </c>
      <c r="AH339" s="13">
        <v>0</v>
      </c>
      <c r="AI339" s="13">
        <v>0</v>
      </c>
      <c r="AJ339" s="13">
        <v>0</v>
      </c>
      <c r="AK339" s="13">
        <v>0</v>
      </c>
      <c r="AL339" s="13">
        <f>VLOOKUP(Table2[[#This Row],[3_Elephant_ID]],'[1]Attributes(OUTDATED)'!$A$2:$P$19,16,FALSE)</f>
        <v>1</v>
      </c>
      <c r="AM339" s="13">
        <f>VLOOKUP(Table2[[#This Row],[3_Elephant_ID]],'[1]Attributes(OUTDATED)'!$A$2:$S$19,17,FALSE)</f>
        <v>2</v>
      </c>
      <c r="AN339" s="13">
        <f>VLOOKUP(Table2[[#This Row],[3_Elephant_ID]],'[1]Attributes(OUTDATED)'!$A$2:$S$19,18,FALSE)</f>
        <v>7</v>
      </c>
    </row>
    <row r="340" spans="1:40" ht="28" x14ac:dyDescent="0.15">
      <c r="A340" s="3">
        <v>276</v>
      </c>
      <c r="B340" s="6">
        <v>2802240852</v>
      </c>
      <c r="C340" s="7">
        <v>28</v>
      </c>
      <c r="D340" s="7">
        <v>2</v>
      </c>
      <c r="E340" s="7">
        <v>2024</v>
      </c>
      <c r="F340" s="5">
        <v>45350</v>
      </c>
      <c r="G340" s="6" t="s">
        <v>11</v>
      </c>
      <c r="H340" s="17">
        <v>0.24000000000000007</v>
      </c>
      <c r="I340" s="20">
        <f>ROUNDUP((Table2[[#This Row],[fGCM_Conc]]*10000),0)</f>
        <v>2400</v>
      </c>
      <c r="J340" s="3" t="str">
        <f>VLOOKUP(G340,'[1]Attributes(OUTDATED)'!$A$2:$C$19,2,FALSE)</f>
        <v>M</v>
      </c>
      <c r="K340" s="3" t="str">
        <f>VLOOKUP(G340,'[1]Attributes(OUTDATED)'!$A$2:$C$19,3,FALSE)</f>
        <v>A</v>
      </c>
      <c r="L340" s="3">
        <f>VLOOKUP(G340,'[1]Attributes(OUTDATED)'!$A$2:$H$19,8,FALSE)</f>
        <v>1223</v>
      </c>
      <c r="M340" s="3" t="str">
        <f>K340&amp;J340</f>
        <v>AM</v>
      </c>
      <c r="N340" s="3" t="e">
        <f>VLOOKUP(G340,#REF!,2,FALSE)</f>
        <v>#REF!</v>
      </c>
      <c r="O340" s="11">
        <v>45348</v>
      </c>
      <c r="P340" s="13">
        <v>23.5</v>
      </c>
      <c r="Q340" s="13">
        <v>16</v>
      </c>
      <c r="R340" s="13">
        <v>8</v>
      </c>
      <c r="S340" s="13">
        <f>Table2[[#This Row],[2_Temp_H]]-Table2[[#This Row],[2_Temp_L]]</f>
        <v>15.5</v>
      </c>
      <c r="T340" s="13">
        <v>43.1</v>
      </c>
      <c r="U340" s="13">
        <v>5.4</v>
      </c>
      <c r="V340" s="13">
        <v>1016.93</v>
      </c>
      <c r="W340" s="13">
        <v>1013.88</v>
      </c>
      <c r="X340" s="13">
        <v>0</v>
      </c>
      <c r="Y340" s="13" t="s">
        <v>148</v>
      </c>
      <c r="Z340" s="16" t="s">
        <v>171</v>
      </c>
      <c r="AA340" s="13" t="s">
        <v>137</v>
      </c>
      <c r="AB340" s="13" t="s">
        <v>143</v>
      </c>
      <c r="AC340" s="13" t="s">
        <v>145</v>
      </c>
      <c r="AD340" s="13" t="s">
        <v>137</v>
      </c>
      <c r="AE340" s="13">
        <f>VLOOKUP(Table2[[#This Row],[3_Elephant_ID]],'[1]Attributes(OUTDATED)'!$A$2:$N$19,12,FALSE)</f>
        <v>404</v>
      </c>
      <c r="AF340" s="13">
        <f>VLOOKUP(Table2[[#This Row],[3_Elephant_ID]],'[1]Attributes(OUTDATED)'!$A$2:$N$19,13,FALSE)</f>
        <v>0.91700000000000004</v>
      </c>
      <c r="AG340" s="13">
        <f>VLOOKUP(Table2[[#This Row],[3_Elephant_ID]],'[1]Attributes(OUTDATED)'!$A$2:$N$19,14,FALSE)</f>
        <v>0.91664628583929353</v>
      </c>
      <c r="AH340" s="13">
        <v>0</v>
      </c>
      <c r="AI340" s="13">
        <v>0</v>
      </c>
      <c r="AJ340" s="13">
        <v>0</v>
      </c>
      <c r="AK340" s="13">
        <v>0</v>
      </c>
      <c r="AL340" s="13">
        <f>VLOOKUP(Table2[[#This Row],[3_Elephant_ID]],'[1]Attributes(OUTDATED)'!$A$2:$P$19,16,FALSE)</f>
        <v>1</v>
      </c>
      <c r="AM340" s="13">
        <f>VLOOKUP(Table2[[#This Row],[3_Elephant_ID]],'[1]Attributes(OUTDATED)'!$A$2:$S$19,17,FALSE)</f>
        <v>14</v>
      </c>
      <c r="AN340" s="13">
        <f>VLOOKUP(Table2[[#This Row],[3_Elephant_ID]],'[1]Attributes(OUTDATED)'!$A$2:$S$19,18,FALSE)</f>
        <v>17</v>
      </c>
    </row>
    <row r="341" spans="1:40" ht="28" x14ac:dyDescent="0.15">
      <c r="A341" s="3">
        <v>266</v>
      </c>
      <c r="B341" s="6" t="s">
        <v>103</v>
      </c>
      <c r="C341" s="7">
        <v>1</v>
      </c>
      <c r="D341" s="7">
        <v>3</v>
      </c>
      <c r="E341" s="7">
        <v>2024</v>
      </c>
      <c r="F341" s="5">
        <v>45352</v>
      </c>
      <c r="G341" s="6" t="s">
        <v>15</v>
      </c>
      <c r="H341" s="17">
        <v>0.34307339449541285</v>
      </c>
      <c r="I341" s="20">
        <f>ROUNDUP((Table2[[#This Row],[fGCM_Conc]]*10000),0)</f>
        <v>3431</v>
      </c>
      <c r="J341" s="3" t="str">
        <f>VLOOKUP(G341,'[1]Attributes(OUTDATED)'!$A$2:$C$19,2,FALSE)</f>
        <v>M</v>
      </c>
      <c r="K341" s="3" t="str">
        <f>VLOOKUP(G341,'[1]Attributes(OUTDATED)'!$A$2:$C$19,3,FALSE)</f>
        <v>J</v>
      </c>
      <c r="L341" s="3">
        <f>VLOOKUP(G341,'[1]Attributes(OUTDATED)'!$A$2:$H$19,8,FALSE)</f>
        <v>828</v>
      </c>
      <c r="M341" s="3" t="str">
        <f>K341&amp;J341</f>
        <v>JM</v>
      </c>
      <c r="N341" s="3" t="e">
        <f>VLOOKUP(G341,#REF!,2,FALSE)</f>
        <v>#REF!</v>
      </c>
      <c r="O341" s="11">
        <v>45350</v>
      </c>
      <c r="P341" s="13">
        <v>32.6</v>
      </c>
      <c r="Q341" s="13">
        <v>18.899999999999999</v>
      </c>
      <c r="R341" s="13">
        <v>6.2</v>
      </c>
      <c r="S341" s="13">
        <f>Table2[[#This Row],[2_Temp_H]]-Table2[[#This Row],[2_Temp_L]]</f>
        <v>26.400000000000002</v>
      </c>
      <c r="T341" s="13">
        <v>23.3</v>
      </c>
      <c r="U341" s="13">
        <v>4</v>
      </c>
      <c r="V341" s="13">
        <v>1015.92</v>
      </c>
      <c r="W341" s="13">
        <v>1009.82</v>
      </c>
      <c r="X341" s="13">
        <v>0</v>
      </c>
      <c r="Y341" s="13" t="s">
        <v>148</v>
      </c>
      <c r="Z341" s="16" t="s">
        <v>171</v>
      </c>
      <c r="AA341" s="13" t="s">
        <v>137</v>
      </c>
      <c r="AB341" s="13" t="s">
        <v>143</v>
      </c>
      <c r="AC341" s="13" t="s">
        <v>145</v>
      </c>
      <c r="AD341" s="13" t="s">
        <v>137</v>
      </c>
      <c r="AE341" s="13">
        <f>VLOOKUP(Table2[[#This Row],[3_Elephant_ID]],'[1]Attributes(OUTDATED)'!$A$2:$N$19,12,FALSE)</f>
        <v>219</v>
      </c>
      <c r="AF341" s="13">
        <f>VLOOKUP(Table2[[#This Row],[3_Elephant_ID]],'[1]Attributes(OUTDATED)'!$A$2:$N$19,13,FALSE)</f>
        <v>0.32300000000000001</v>
      </c>
      <c r="AG341" s="13">
        <f>VLOOKUP(Table2[[#This Row],[3_Elephant_ID]],'[1]Attributes(OUTDATED)'!$A$2:$N$19,14,FALSE)</f>
        <v>0.32257531484312868</v>
      </c>
      <c r="AH341" s="13">
        <v>3</v>
      </c>
      <c r="AI341" s="13">
        <v>0</v>
      </c>
      <c r="AJ341" s="13">
        <v>0</v>
      </c>
      <c r="AK341" s="13">
        <v>0</v>
      </c>
      <c r="AL341" s="13">
        <f>VLOOKUP(Table2[[#This Row],[3_Elephant_ID]],'[1]Attributes(OUTDATED)'!$A$2:$P$19,16,FALSE)</f>
        <v>2</v>
      </c>
      <c r="AM341" s="13">
        <f>VLOOKUP(Table2[[#This Row],[3_Elephant_ID]],'[1]Attributes(OUTDATED)'!$A$2:$S$19,17,FALSE)</f>
        <v>1</v>
      </c>
      <c r="AN341" s="13">
        <f>VLOOKUP(Table2[[#This Row],[3_Elephant_ID]],'[1]Attributes(OUTDATED)'!$A$2:$S$19,18,FALSE)</f>
        <v>6</v>
      </c>
    </row>
    <row r="342" spans="1:40" ht="28" x14ac:dyDescent="0.15">
      <c r="A342" s="3">
        <v>271</v>
      </c>
      <c r="B342" s="6" t="s">
        <v>108</v>
      </c>
      <c r="C342" s="7">
        <v>1</v>
      </c>
      <c r="D342" s="7">
        <v>3</v>
      </c>
      <c r="E342" s="7">
        <v>2024</v>
      </c>
      <c r="F342" s="5">
        <v>45352</v>
      </c>
      <c r="G342" s="6" t="s">
        <v>7</v>
      </c>
      <c r="H342" s="17">
        <v>0.30582352941176466</v>
      </c>
      <c r="I342" s="20">
        <f>ROUNDUP((Table2[[#This Row],[fGCM_Conc]]*10000),0)</f>
        <v>3059</v>
      </c>
      <c r="J342" s="3" t="str">
        <f>VLOOKUP(G342,'[1]Attributes(OUTDATED)'!$A$2:$C$19,2,FALSE)</f>
        <v>F</v>
      </c>
      <c r="K342" s="3" t="str">
        <f>VLOOKUP(G342,'[1]Attributes(OUTDATED)'!$A$2:$C$19,3,FALSE)</f>
        <v>J</v>
      </c>
      <c r="L342" s="3">
        <f>VLOOKUP(G342,'[1]Attributes(OUTDATED)'!$A$2:$H$19,8,FALSE)</f>
        <v>711</v>
      </c>
      <c r="M342" s="3" t="str">
        <f>K342&amp;J342</f>
        <v>JF</v>
      </c>
      <c r="N342" s="3" t="e">
        <f>VLOOKUP(G342,#REF!,2,FALSE)</f>
        <v>#REF!</v>
      </c>
      <c r="O342" s="11">
        <v>45350</v>
      </c>
      <c r="P342" s="13">
        <v>32.6</v>
      </c>
      <c r="Q342" s="13">
        <v>18.899999999999999</v>
      </c>
      <c r="R342" s="13">
        <v>6.2</v>
      </c>
      <c r="S342" s="13">
        <f>Table2[[#This Row],[2_Temp_H]]-Table2[[#This Row],[2_Temp_L]]</f>
        <v>26.400000000000002</v>
      </c>
      <c r="T342" s="13">
        <v>23.3</v>
      </c>
      <c r="U342" s="13">
        <v>4</v>
      </c>
      <c r="V342" s="13">
        <v>1015.92</v>
      </c>
      <c r="W342" s="13">
        <v>1009.82</v>
      </c>
      <c r="X342" s="13">
        <v>0</v>
      </c>
      <c r="Y342" s="13" t="s">
        <v>148</v>
      </c>
      <c r="Z342" s="16" t="s">
        <v>171</v>
      </c>
      <c r="AA342" s="13" t="s">
        <v>137</v>
      </c>
      <c r="AB342" s="13" t="s">
        <v>143</v>
      </c>
      <c r="AC342" s="13" t="s">
        <v>145</v>
      </c>
      <c r="AD342" s="13" t="s">
        <v>137</v>
      </c>
      <c r="AE342" s="13">
        <f>VLOOKUP(Table2[[#This Row],[3_Elephant_ID]],'[1]Attributes(OUTDATED)'!$A$2:$N$19,12,FALSE)</f>
        <v>398</v>
      </c>
      <c r="AF342" s="13">
        <f>VLOOKUP(Table2[[#This Row],[3_Elephant_ID]],'[1]Attributes(OUTDATED)'!$A$2:$N$19,13,FALSE)</f>
        <v>0.47899999999999998</v>
      </c>
      <c r="AG342" s="13">
        <f>VLOOKUP(Table2[[#This Row],[3_Elephant_ID]],'[1]Attributes(OUTDATED)'!$A$2:$N$19,14,FALSE)</f>
        <v>0.47820662037086947</v>
      </c>
      <c r="AH342" s="13">
        <v>3</v>
      </c>
      <c r="AI342" s="13">
        <v>0</v>
      </c>
      <c r="AJ342" s="13">
        <v>0</v>
      </c>
      <c r="AK342" s="13">
        <v>0</v>
      </c>
      <c r="AL342" s="13">
        <f>VLOOKUP(Table2[[#This Row],[3_Elephant_ID]],'[1]Attributes(OUTDATED)'!$A$2:$P$19,16,FALSE)</f>
        <v>1</v>
      </c>
      <c r="AM342" s="13">
        <f>VLOOKUP(Table2[[#This Row],[3_Elephant_ID]],'[1]Attributes(OUTDATED)'!$A$2:$S$19,17,FALSE)</f>
        <v>0</v>
      </c>
      <c r="AN342" s="13">
        <f>VLOOKUP(Table2[[#This Row],[3_Elephant_ID]],'[1]Attributes(OUTDATED)'!$A$2:$S$19,18,FALSE)</f>
        <v>12</v>
      </c>
    </row>
    <row r="343" spans="1:40" ht="28" x14ac:dyDescent="0.15">
      <c r="A343" s="3">
        <v>265</v>
      </c>
      <c r="B343" s="6" t="s">
        <v>102</v>
      </c>
      <c r="C343" s="7">
        <v>1</v>
      </c>
      <c r="D343" s="7">
        <v>3</v>
      </c>
      <c r="E343" s="7">
        <v>2024</v>
      </c>
      <c r="F343" s="5">
        <v>45352</v>
      </c>
      <c r="G343" s="6" t="s">
        <v>16</v>
      </c>
      <c r="H343" s="17">
        <v>0.29570588235294115</v>
      </c>
      <c r="I343" s="20">
        <f>ROUNDUP((Table2[[#This Row],[fGCM_Conc]]*10000),0)</f>
        <v>2958</v>
      </c>
      <c r="J343" s="3" t="str">
        <f>VLOOKUP(G343,'[1]Attributes(OUTDATED)'!$A$2:$C$19,2,FALSE)</f>
        <v>F</v>
      </c>
      <c r="K343" s="3" t="str">
        <f>VLOOKUP(G343,'[1]Attributes(OUTDATED)'!$A$2:$C$19,3,FALSE)</f>
        <v>A</v>
      </c>
      <c r="L343" s="3">
        <f>VLOOKUP(G343,'[1]Attributes(OUTDATED)'!$A$2:$H$19,8,FALSE)</f>
        <v>1346</v>
      </c>
      <c r="M343" s="3" t="str">
        <f>K343&amp;J343</f>
        <v>AF</v>
      </c>
      <c r="N343" s="3" t="e">
        <f>VLOOKUP(G343,#REF!,2,FALSE)</f>
        <v>#REF!</v>
      </c>
      <c r="O343" s="11">
        <v>45350</v>
      </c>
      <c r="P343" s="13">
        <v>32.6</v>
      </c>
      <c r="Q343" s="13">
        <v>18.899999999999999</v>
      </c>
      <c r="R343" s="13">
        <v>6.2</v>
      </c>
      <c r="S343" s="13">
        <f>Table2[[#This Row],[2_Temp_H]]-Table2[[#This Row],[2_Temp_L]]</f>
        <v>26.400000000000002</v>
      </c>
      <c r="T343" s="13">
        <v>23.3</v>
      </c>
      <c r="U343" s="13">
        <v>4</v>
      </c>
      <c r="V343" s="13">
        <v>1015.92</v>
      </c>
      <c r="W343" s="13">
        <v>1009.82</v>
      </c>
      <c r="X343" s="13">
        <v>0</v>
      </c>
      <c r="Y343" s="13" t="s">
        <v>148</v>
      </c>
      <c r="Z343" s="16" t="s">
        <v>171</v>
      </c>
      <c r="AA343" s="13" t="s">
        <v>137</v>
      </c>
      <c r="AB343" s="13" t="s">
        <v>143</v>
      </c>
      <c r="AC343" s="13" t="s">
        <v>145</v>
      </c>
      <c r="AD343" s="13" t="s">
        <v>137</v>
      </c>
      <c r="AE343" s="13">
        <f>VLOOKUP(Table2[[#This Row],[3_Elephant_ID]],'[1]Attributes(OUTDATED)'!$A$2:$N$19,12,FALSE)</f>
        <v>474</v>
      </c>
      <c r="AF343" s="13">
        <f>VLOOKUP(Table2[[#This Row],[3_Elephant_ID]],'[1]Attributes(OUTDATED)'!$A$2:$N$19,13,FALSE)</f>
        <v>0.121</v>
      </c>
      <c r="AG343" s="13">
        <f>VLOOKUP(Table2[[#This Row],[3_Elephant_ID]],'[1]Attributes(OUTDATED)'!$A$2:$N$19,14,FALSE)</f>
        <v>0.1206993463154281</v>
      </c>
      <c r="AH343" s="13">
        <v>3</v>
      </c>
      <c r="AI343" s="13">
        <v>0</v>
      </c>
      <c r="AJ343" s="13">
        <v>0</v>
      </c>
      <c r="AK343" s="13">
        <v>0</v>
      </c>
      <c r="AL343" s="13">
        <f>VLOOKUP(Table2[[#This Row],[3_Elephant_ID]],'[1]Attributes(OUTDATED)'!$A$2:$P$19,16,FALSE)</f>
        <v>1</v>
      </c>
      <c r="AM343" s="13">
        <f>VLOOKUP(Table2[[#This Row],[3_Elephant_ID]],'[1]Attributes(OUTDATED)'!$A$2:$S$19,17,FALSE)</f>
        <v>16</v>
      </c>
      <c r="AN343" s="13">
        <f>VLOOKUP(Table2[[#This Row],[3_Elephant_ID]],'[1]Attributes(OUTDATED)'!$A$2:$S$19,18,FALSE)</f>
        <v>1</v>
      </c>
    </row>
    <row r="344" spans="1:40" ht="28" x14ac:dyDescent="0.15">
      <c r="A344" s="3">
        <v>268</v>
      </c>
      <c r="B344" s="6" t="s">
        <v>105</v>
      </c>
      <c r="C344" s="7">
        <v>1</v>
      </c>
      <c r="D344" s="7">
        <v>3</v>
      </c>
      <c r="E344" s="7">
        <v>2024</v>
      </c>
      <c r="F344" s="5">
        <v>45352</v>
      </c>
      <c r="G344" s="6" t="s">
        <v>14</v>
      </c>
      <c r="H344" s="17">
        <v>0.28763736263736261</v>
      </c>
      <c r="I344" s="20">
        <f>ROUNDUP((Table2[[#This Row],[fGCM_Conc]]*10000),0)</f>
        <v>2877</v>
      </c>
      <c r="J344" s="3" t="str">
        <f>VLOOKUP(G344,'[1]Attributes(OUTDATED)'!$A$2:$C$19,2,FALSE)</f>
        <v>F</v>
      </c>
      <c r="K344" s="3" t="str">
        <f>VLOOKUP(G344,'[1]Attributes(OUTDATED)'!$A$2:$C$19,3,FALSE)</f>
        <v>J</v>
      </c>
      <c r="L344" s="3">
        <f>VLOOKUP(G344,'[1]Attributes(OUTDATED)'!$A$2:$H$19,8,FALSE)</f>
        <v>879</v>
      </c>
      <c r="M344" s="3" t="str">
        <f>K344&amp;J344</f>
        <v>JF</v>
      </c>
      <c r="N344" s="3" t="e">
        <f>VLOOKUP(G344,#REF!,2,FALSE)</f>
        <v>#REF!</v>
      </c>
      <c r="O344" s="11">
        <v>45350</v>
      </c>
      <c r="P344" s="13">
        <v>32.6</v>
      </c>
      <c r="Q344" s="13">
        <v>18.899999999999999</v>
      </c>
      <c r="R344" s="13">
        <v>6.2</v>
      </c>
      <c r="S344" s="13">
        <f>Table2[[#This Row],[2_Temp_H]]-Table2[[#This Row],[2_Temp_L]]</f>
        <v>26.400000000000002</v>
      </c>
      <c r="T344" s="13">
        <v>23.3</v>
      </c>
      <c r="U344" s="13">
        <v>4</v>
      </c>
      <c r="V344" s="13">
        <v>1015.92</v>
      </c>
      <c r="W344" s="13">
        <v>1009.82</v>
      </c>
      <c r="X344" s="13">
        <v>0</v>
      </c>
      <c r="Y344" s="13" t="s">
        <v>148</v>
      </c>
      <c r="Z344" s="16" t="s">
        <v>171</v>
      </c>
      <c r="AA344" s="13" t="s">
        <v>137</v>
      </c>
      <c r="AB344" s="13" t="s">
        <v>143</v>
      </c>
      <c r="AC344" s="13" t="s">
        <v>145</v>
      </c>
      <c r="AD344" s="13" t="s">
        <v>137</v>
      </c>
      <c r="AE344" s="13">
        <f>VLOOKUP(Table2[[#This Row],[3_Elephant_ID]],'[1]Attributes(OUTDATED)'!$A$2:$N$19,12,FALSE)</f>
        <v>269</v>
      </c>
      <c r="AF344" s="13">
        <f>VLOOKUP(Table2[[#This Row],[3_Elephant_ID]],'[1]Attributes(OUTDATED)'!$A$2:$N$19,13,FALSE)</f>
        <v>0.65800000000000003</v>
      </c>
      <c r="AG344" s="13">
        <f>VLOOKUP(Table2[[#This Row],[3_Elephant_ID]],'[1]Attributes(OUTDATED)'!$A$2:$N$19,14,FALSE)</f>
        <v>0.65767064449315993</v>
      </c>
      <c r="AH344" s="13">
        <v>3</v>
      </c>
      <c r="AI344" s="13">
        <v>0</v>
      </c>
      <c r="AJ344" s="13">
        <v>1</v>
      </c>
      <c r="AK344" s="13">
        <v>1</v>
      </c>
      <c r="AL344" s="13">
        <f>VLOOKUP(Table2[[#This Row],[3_Elephant_ID]],'[1]Attributes(OUTDATED)'!$A$2:$P$19,16,FALSE)</f>
        <v>1</v>
      </c>
      <c r="AM344" s="13">
        <f>VLOOKUP(Table2[[#This Row],[3_Elephant_ID]],'[1]Attributes(OUTDATED)'!$A$2:$S$19,17,FALSE)</f>
        <v>3</v>
      </c>
      <c r="AN344" s="13">
        <f>VLOOKUP(Table2[[#This Row],[3_Elephant_ID]],'[1]Attributes(OUTDATED)'!$A$2:$S$19,18,FALSE)</f>
        <v>9</v>
      </c>
    </row>
    <row r="345" spans="1:40" ht="28" x14ac:dyDescent="0.15">
      <c r="A345" s="3">
        <v>270</v>
      </c>
      <c r="B345" s="6" t="s">
        <v>107</v>
      </c>
      <c r="C345" s="7">
        <v>1</v>
      </c>
      <c r="D345" s="7">
        <v>3</v>
      </c>
      <c r="E345" s="7">
        <v>2024</v>
      </c>
      <c r="F345" s="5">
        <v>45352</v>
      </c>
      <c r="G345" s="6" t="s">
        <v>1</v>
      </c>
      <c r="H345" s="17">
        <v>0.25700598802395208</v>
      </c>
      <c r="I345" s="20">
        <f>ROUNDUP((Table2[[#This Row],[fGCM_Conc]]*10000),0)</f>
        <v>2571</v>
      </c>
      <c r="J345" s="3" t="str">
        <f>VLOOKUP(G345,'[1]Attributes(OUTDATED)'!$A$2:$C$19,2,FALSE)</f>
        <v>F</v>
      </c>
      <c r="K345" s="3" t="str">
        <f>VLOOKUP(G345,'[1]Attributes(OUTDATED)'!$A$2:$C$19,3,FALSE)</f>
        <v>A</v>
      </c>
      <c r="L345" s="3">
        <f>VLOOKUP(G345,'[1]Attributes(OUTDATED)'!$A$2:$H$19,8,FALSE)</f>
        <v>929</v>
      </c>
      <c r="M345" s="3" t="str">
        <f>K345&amp;J345</f>
        <v>AF</v>
      </c>
      <c r="N345" s="3" t="e">
        <f>VLOOKUP(G345,#REF!,2,FALSE)</f>
        <v>#REF!</v>
      </c>
      <c r="O345" s="11">
        <v>45350</v>
      </c>
      <c r="P345" s="13">
        <v>32.6</v>
      </c>
      <c r="Q345" s="13">
        <v>18.899999999999999</v>
      </c>
      <c r="R345" s="13">
        <v>6.2</v>
      </c>
      <c r="S345" s="13">
        <f>Table2[[#This Row],[2_Temp_H]]-Table2[[#This Row],[2_Temp_L]]</f>
        <v>26.400000000000002</v>
      </c>
      <c r="T345" s="13">
        <v>23.3</v>
      </c>
      <c r="U345" s="13">
        <v>4</v>
      </c>
      <c r="V345" s="13">
        <v>1015.92</v>
      </c>
      <c r="W345" s="13">
        <v>1009.82</v>
      </c>
      <c r="X345" s="13">
        <v>0</v>
      </c>
      <c r="Y345" s="13" t="s">
        <v>148</v>
      </c>
      <c r="Z345" s="16" t="s">
        <v>171</v>
      </c>
      <c r="AA345" s="13" t="s">
        <v>137</v>
      </c>
      <c r="AB345" s="13" t="s">
        <v>143</v>
      </c>
      <c r="AC345" s="13" t="s">
        <v>145</v>
      </c>
      <c r="AD345" s="13" t="s">
        <v>137</v>
      </c>
      <c r="AE345" s="13">
        <f>VLOOKUP(Table2[[#This Row],[3_Elephant_ID]],'[1]Attributes(OUTDATED)'!$A$2:$N$19,12,FALSE)</f>
        <v>321</v>
      </c>
      <c r="AF345" s="13">
        <f>VLOOKUP(Table2[[#This Row],[3_Elephant_ID]],'[1]Attributes(OUTDATED)'!$A$2:$N$19,13,FALSE)</f>
        <v>0.17599999999999999</v>
      </c>
      <c r="AG345" s="13">
        <f>VLOOKUP(Table2[[#This Row],[3_Elephant_ID]],'[1]Attributes(OUTDATED)'!$A$2:$N$19,14,FALSE)</f>
        <v>0.17530262753188491</v>
      </c>
      <c r="AH345" s="13">
        <v>3</v>
      </c>
      <c r="AI345" s="13">
        <v>0</v>
      </c>
      <c r="AJ345" s="13">
        <v>2</v>
      </c>
      <c r="AK345" s="13">
        <v>2</v>
      </c>
      <c r="AL345" s="13">
        <f>VLOOKUP(Table2[[#This Row],[3_Elephant_ID]],'[1]Attributes(OUTDATED)'!$A$2:$P$19,16,FALSE)</f>
        <v>1</v>
      </c>
      <c r="AM345" s="13">
        <f>VLOOKUP(Table2[[#This Row],[3_Elephant_ID]],'[1]Attributes(OUTDATED)'!$A$2:$S$19,17,FALSE)</f>
        <v>6</v>
      </c>
      <c r="AN345" s="13">
        <f>VLOOKUP(Table2[[#This Row],[3_Elephant_ID]],'[1]Attributes(OUTDATED)'!$A$2:$S$19,18,FALSE)</f>
        <v>8</v>
      </c>
    </row>
    <row r="346" spans="1:40" ht="28" x14ac:dyDescent="0.15">
      <c r="A346" s="3">
        <v>267</v>
      </c>
      <c r="B346" s="6" t="s">
        <v>104</v>
      </c>
      <c r="C346" s="7">
        <v>1</v>
      </c>
      <c r="D346" s="7">
        <v>3</v>
      </c>
      <c r="E346" s="7">
        <v>2024</v>
      </c>
      <c r="F346" s="5">
        <v>45352</v>
      </c>
      <c r="G346" s="6" t="s">
        <v>2</v>
      </c>
      <c r="H346" s="17">
        <v>0.25090909090909086</v>
      </c>
      <c r="I346" s="20">
        <f>ROUNDUP((Table2[[#This Row],[fGCM_Conc]]*10000),0)</f>
        <v>2510</v>
      </c>
      <c r="J346" s="3" t="str">
        <f>VLOOKUP(G346,'[1]Attributes(OUTDATED)'!$A$2:$C$19,2,FALSE)</f>
        <v>F</v>
      </c>
      <c r="K346" s="3" t="str">
        <f>VLOOKUP(G346,'[1]Attributes(OUTDATED)'!$A$2:$C$19,3,FALSE)</f>
        <v>A</v>
      </c>
      <c r="L346" s="3">
        <f>VLOOKUP(G346,'[1]Attributes(OUTDATED)'!$A$2:$H$19,8,FALSE)</f>
        <v>892</v>
      </c>
      <c r="M346" s="3" t="str">
        <f>K346&amp;J346</f>
        <v>AF</v>
      </c>
      <c r="N346" s="3" t="e">
        <f>VLOOKUP(G346,#REF!,2,FALSE)</f>
        <v>#REF!</v>
      </c>
      <c r="O346" s="11">
        <v>45350</v>
      </c>
      <c r="P346" s="13">
        <v>32.6</v>
      </c>
      <c r="Q346" s="13">
        <v>18.899999999999999</v>
      </c>
      <c r="R346" s="13">
        <v>6.2</v>
      </c>
      <c r="S346" s="13">
        <f>Table2[[#This Row],[2_Temp_H]]-Table2[[#This Row],[2_Temp_L]]</f>
        <v>26.400000000000002</v>
      </c>
      <c r="T346" s="13">
        <v>23.3</v>
      </c>
      <c r="U346" s="13">
        <v>4</v>
      </c>
      <c r="V346" s="13">
        <v>1015.92</v>
      </c>
      <c r="W346" s="13">
        <v>1009.82</v>
      </c>
      <c r="X346" s="13">
        <v>0</v>
      </c>
      <c r="Y346" s="13" t="s">
        <v>148</v>
      </c>
      <c r="Z346" s="16" t="s">
        <v>171</v>
      </c>
      <c r="AA346" s="13" t="s">
        <v>137</v>
      </c>
      <c r="AB346" s="13" t="s">
        <v>143</v>
      </c>
      <c r="AC346" s="13" t="s">
        <v>145</v>
      </c>
      <c r="AD346" s="13" t="s">
        <v>137</v>
      </c>
      <c r="AE346" s="13">
        <f>VLOOKUP(Table2[[#This Row],[3_Elephant_ID]],'[1]Attributes(OUTDATED)'!$A$2:$N$19,12,FALSE)</f>
        <v>378</v>
      </c>
      <c r="AF346" s="13">
        <f>VLOOKUP(Table2[[#This Row],[3_Elephant_ID]],'[1]Attributes(OUTDATED)'!$A$2:$N$19,13,FALSE)</f>
        <v>8.6999999999999994E-2</v>
      </c>
      <c r="AG346" s="13">
        <f>VLOOKUP(Table2[[#This Row],[3_Elephant_ID]],'[1]Attributes(OUTDATED)'!$A$2:$N$19,14,FALSE)</f>
        <v>8.6599138783086713E-2</v>
      </c>
      <c r="AH346" s="13">
        <v>3</v>
      </c>
      <c r="AI346" s="13">
        <v>0</v>
      </c>
      <c r="AJ346" s="13">
        <v>0</v>
      </c>
      <c r="AK346" s="13">
        <v>0</v>
      </c>
      <c r="AL346" s="13">
        <f>VLOOKUP(Table2[[#This Row],[3_Elephant_ID]],'[1]Attributes(OUTDATED)'!$A$2:$P$19,16,FALSE)</f>
        <v>1</v>
      </c>
      <c r="AM346" s="13">
        <f>VLOOKUP(Table2[[#This Row],[3_Elephant_ID]],'[1]Attributes(OUTDATED)'!$A$2:$S$19,17,FALSE)</f>
        <v>4</v>
      </c>
      <c r="AN346" s="13">
        <f>VLOOKUP(Table2[[#This Row],[3_Elephant_ID]],'[1]Attributes(OUTDATED)'!$A$2:$S$19,18,FALSE)</f>
        <v>20</v>
      </c>
    </row>
    <row r="347" spans="1:40" ht="28" x14ac:dyDescent="0.15">
      <c r="A347" s="3">
        <v>269</v>
      </c>
      <c r="B347" s="6" t="s">
        <v>106</v>
      </c>
      <c r="C347" s="7">
        <v>1</v>
      </c>
      <c r="D347" s="7">
        <v>3</v>
      </c>
      <c r="E347" s="7">
        <v>2024</v>
      </c>
      <c r="F347" s="5">
        <v>45352</v>
      </c>
      <c r="G347" s="6" t="s">
        <v>17</v>
      </c>
      <c r="H347" s="17">
        <v>0.23582061068702287</v>
      </c>
      <c r="I347" s="20">
        <f>ROUNDUP((Table2[[#This Row],[fGCM_Conc]]*10000),0)</f>
        <v>2359</v>
      </c>
      <c r="J347" s="3" t="str">
        <f>VLOOKUP(G347,'[1]Attributes(OUTDATED)'!$A$2:$C$19,2,FALSE)</f>
        <v>M</v>
      </c>
      <c r="K347" s="3" t="str">
        <f>VLOOKUP(G347,'[1]Attributes(OUTDATED)'!$A$2:$C$19,3,FALSE)</f>
        <v>J</v>
      </c>
      <c r="L347" s="3">
        <f>VLOOKUP(G347,'[1]Attributes(OUTDATED)'!$A$2:$H$19,8,FALSE)</f>
        <v>699</v>
      </c>
      <c r="M347" s="3" t="str">
        <f>K347&amp;J347</f>
        <v>JM</v>
      </c>
      <c r="N347" s="3" t="e">
        <f>VLOOKUP(G347,#REF!,2,FALSE)</f>
        <v>#REF!</v>
      </c>
      <c r="O347" s="11">
        <v>45350</v>
      </c>
      <c r="P347" s="13">
        <v>32.6</v>
      </c>
      <c r="Q347" s="13">
        <v>18.899999999999999</v>
      </c>
      <c r="R347" s="13">
        <v>6.2</v>
      </c>
      <c r="S347" s="13">
        <f>Table2[[#This Row],[2_Temp_H]]-Table2[[#This Row],[2_Temp_L]]</f>
        <v>26.400000000000002</v>
      </c>
      <c r="T347" s="13">
        <v>23.3</v>
      </c>
      <c r="U347" s="13">
        <v>4</v>
      </c>
      <c r="V347" s="13">
        <v>1015.92</v>
      </c>
      <c r="W347" s="13">
        <v>1009.82</v>
      </c>
      <c r="X347" s="13">
        <v>0</v>
      </c>
      <c r="Y347" s="13" t="s">
        <v>148</v>
      </c>
      <c r="Z347" s="16" t="s">
        <v>171</v>
      </c>
      <c r="AA347" s="13" t="s">
        <v>137</v>
      </c>
      <c r="AB347" s="13" t="s">
        <v>143</v>
      </c>
      <c r="AC347" s="13" t="s">
        <v>145</v>
      </c>
      <c r="AD347" s="13" t="s">
        <v>137</v>
      </c>
      <c r="AE347" s="13">
        <f>VLOOKUP(Table2[[#This Row],[3_Elephant_ID]],'[1]Attributes(OUTDATED)'!$A$2:$N$19,12,FALSE)</f>
        <v>343</v>
      </c>
      <c r="AF347" s="13">
        <f>VLOOKUP(Table2[[#This Row],[3_Elephant_ID]],'[1]Attributes(OUTDATED)'!$A$2:$N$19,13,FALSE)</f>
        <v>0.81</v>
      </c>
      <c r="AG347" s="13">
        <f>VLOOKUP(Table2[[#This Row],[3_Elephant_ID]],'[1]Attributes(OUTDATED)'!$A$2:$N$19,14,FALSE)</f>
        <v>0.80966774571167055</v>
      </c>
      <c r="AH347" s="13">
        <v>3</v>
      </c>
      <c r="AI347" s="13">
        <v>0</v>
      </c>
      <c r="AJ347" s="13">
        <v>0</v>
      </c>
      <c r="AK347" s="13">
        <v>0</v>
      </c>
      <c r="AL347" s="13">
        <f>VLOOKUP(Table2[[#This Row],[3_Elephant_ID]],'[1]Attributes(OUTDATED)'!$A$2:$P$19,16,FALSE)</f>
        <v>1</v>
      </c>
      <c r="AM347" s="13">
        <f>VLOOKUP(Table2[[#This Row],[3_Elephant_ID]],'[1]Attributes(OUTDATED)'!$A$2:$S$19,17,FALSE)</f>
        <v>0</v>
      </c>
      <c r="AN347" s="13">
        <f>VLOOKUP(Table2[[#This Row],[3_Elephant_ID]],'[1]Attributes(OUTDATED)'!$A$2:$S$19,18,FALSE)</f>
        <v>8</v>
      </c>
    </row>
    <row r="348" spans="1:40" ht="28" x14ac:dyDescent="0.15">
      <c r="A348" s="3">
        <v>373</v>
      </c>
      <c r="B348" s="6" t="s">
        <v>128</v>
      </c>
      <c r="C348" s="7">
        <v>5</v>
      </c>
      <c r="D348" s="7">
        <v>3</v>
      </c>
      <c r="E348" s="7">
        <v>2024</v>
      </c>
      <c r="F348" s="5">
        <v>45356</v>
      </c>
      <c r="G348" s="6" t="s">
        <v>1</v>
      </c>
      <c r="H348" s="17">
        <v>0.28519626168224299</v>
      </c>
      <c r="I348" s="20">
        <f>ROUNDUP((Table2[[#This Row],[fGCM_Conc]]*10000),0)</f>
        <v>2852</v>
      </c>
      <c r="J348" s="3" t="str">
        <f>VLOOKUP(G348,'[1]Attributes(OUTDATED)'!$A$2:$C$19,2,FALSE)</f>
        <v>F</v>
      </c>
      <c r="K348" s="3" t="str">
        <f>VLOOKUP(G348,'[1]Attributes(OUTDATED)'!$A$2:$C$19,3,FALSE)</f>
        <v>A</v>
      </c>
      <c r="L348" s="3">
        <f>VLOOKUP(G348,'[1]Attributes(OUTDATED)'!$A$2:$H$19,8,FALSE)</f>
        <v>929</v>
      </c>
      <c r="M348" s="3" t="str">
        <f>K348&amp;J348</f>
        <v>AF</v>
      </c>
      <c r="N348" s="3" t="e">
        <f>VLOOKUP(G348,#REF!,2,FALSE)</f>
        <v>#REF!</v>
      </c>
      <c r="O348" s="11">
        <v>45354</v>
      </c>
      <c r="P348" s="13">
        <v>31.7</v>
      </c>
      <c r="Q348" s="13">
        <v>21.9</v>
      </c>
      <c r="R348" s="13">
        <v>15.9</v>
      </c>
      <c r="S348" s="13">
        <f>Table2[[#This Row],[2_Temp_H]]-Table2[[#This Row],[2_Temp_L]]</f>
        <v>15.799999999999999</v>
      </c>
      <c r="T348" s="13">
        <v>37</v>
      </c>
      <c r="U348" s="13">
        <v>6.3</v>
      </c>
      <c r="V348" s="13">
        <v>1012.87</v>
      </c>
      <c r="W348" s="13">
        <v>1005.08</v>
      </c>
      <c r="X348" s="13">
        <v>1.78</v>
      </c>
      <c r="Y348" s="13" t="s">
        <v>148</v>
      </c>
      <c r="Z348" s="16" t="s">
        <v>171</v>
      </c>
      <c r="AA348" s="13" t="s">
        <v>137</v>
      </c>
      <c r="AB348" s="13" t="s">
        <v>143</v>
      </c>
      <c r="AC348" s="13" t="s">
        <v>145</v>
      </c>
      <c r="AD348" s="13" t="s">
        <v>137</v>
      </c>
      <c r="AE348" s="13">
        <f>VLOOKUP(Table2[[#This Row],[3_Elephant_ID]],'[1]Attributes(OUTDATED)'!$A$2:$N$19,12,FALSE)</f>
        <v>321</v>
      </c>
      <c r="AF348" s="13">
        <f>VLOOKUP(Table2[[#This Row],[3_Elephant_ID]],'[1]Attributes(OUTDATED)'!$A$2:$N$19,13,FALSE)</f>
        <v>0.17599999999999999</v>
      </c>
      <c r="AG348" s="13">
        <f>VLOOKUP(Table2[[#This Row],[3_Elephant_ID]],'[1]Attributes(OUTDATED)'!$A$2:$N$19,14,FALSE)</f>
        <v>0.17530262753188491</v>
      </c>
      <c r="AH348" s="13">
        <v>0</v>
      </c>
      <c r="AI348" s="13">
        <v>0</v>
      </c>
      <c r="AJ348" s="13">
        <v>0</v>
      </c>
      <c r="AK348" s="13">
        <v>0</v>
      </c>
      <c r="AL348" s="13">
        <f>VLOOKUP(Table2[[#This Row],[3_Elephant_ID]],'[1]Attributes(OUTDATED)'!$A$2:$P$19,16,FALSE)</f>
        <v>1</v>
      </c>
      <c r="AM348" s="13">
        <f>VLOOKUP(Table2[[#This Row],[3_Elephant_ID]],'[1]Attributes(OUTDATED)'!$A$2:$S$19,17,FALSE)</f>
        <v>6</v>
      </c>
      <c r="AN348" s="13">
        <f>VLOOKUP(Table2[[#This Row],[3_Elephant_ID]],'[1]Attributes(OUTDATED)'!$A$2:$S$19,18,FALSE)</f>
        <v>8</v>
      </c>
    </row>
    <row r="349" spans="1:40" ht="28" x14ac:dyDescent="0.15">
      <c r="A349" s="3">
        <v>372</v>
      </c>
      <c r="B349" s="6" t="s">
        <v>127</v>
      </c>
      <c r="C349" s="7">
        <v>7</v>
      </c>
      <c r="D349" s="7">
        <v>3</v>
      </c>
      <c r="E349" s="7">
        <v>2024</v>
      </c>
      <c r="F349" s="5">
        <v>45358</v>
      </c>
      <c r="G349" s="6" t="s">
        <v>2</v>
      </c>
      <c r="H349" s="17">
        <v>0.46308394160583938</v>
      </c>
      <c r="I349" s="20">
        <f>ROUNDUP((Table2[[#This Row],[fGCM_Conc]]*10000),0)</f>
        <v>4631</v>
      </c>
      <c r="J349" s="3" t="str">
        <f>VLOOKUP(G349,'[1]Attributes(OUTDATED)'!$A$2:$C$19,2,FALSE)</f>
        <v>F</v>
      </c>
      <c r="K349" s="3" t="str">
        <f>VLOOKUP(G349,'[1]Attributes(OUTDATED)'!$A$2:$C$19,3,FALSE)</f>
        <v>A</v>
      </c>
      <c r="L349" s="3">
        <f>VLOOKUP(G349,'[1]Attributes(OUTDATED)'!$A$2:$H$19,8,FALSE)</f>
        <v>892</v>
      </c>
      <c r="M349" s="3" t="str">
        <f>K349&amp;J349</f>
        <v>AF</v>
      </c>
      <c r="N349" s="3" t="e">
        <f>VLOOKUP(G349,#REF!,2,FALSE)</f>
        <v>#REF!</v>
      </c>
      <c r="O349" s="11">
        <v>45356</v>
      </c>
      <c r="P349" s="13">
        <v>23.6</v>
      </c>
      <c r="Q349" s="13">
        <v>17.600000000000001</v>
      </c>
      <c r="R349" s="13">
        <v>12</v>
      </c>
      <c r="S349" s="13">
        <f>Table2[[#This Row],[2_Temp_H]]-Table2[[#This Row],[2_Temp_L]]</f>
        <v>11.600000000000001</v>
      </c>
      <c r="T349" s="13">
        <v>38.799999999999997</v>
      </c>
      <c r="U349" s="13">
        <v>10.3</v>
      </c>
      <c r="V349" s="13">
        <v>1010.84</v>
      </c>
      <c r="W349" s="13">
        <v>1002.03</v>
      </c>
      <c r="X349" s="13">
        <v>0</v>
      </c>
      <c r="Y349" s="13" t="s">
        <v>148</v>
      </c>
      <c r="Z349" s="16" t="s">
        <v>171</v>
      </c>
      <c r="AA349" s="13" t="s">
        <v>137</v>
      </c>
      <c r="AB349" s="13" t="s">
        <v>143</v>
      </c>
      <c r="AC349" s="13" t="s">
        <v>145</v>
      </c>
      <c r="AD349" s="13" t="s">
        <v>137</v>
      </c>
      <c r="AE349" s="13">
        <f>VLOOKUP(Table2[[#This Row],[3_Elephant_ID]],'[1]Attributes(OUTDATED)'!$A$2:$N$19,12,FALSE)</f>
        <v>378</v>
      </c>
      <c r="AF349" s="13">
        <f>VLOOKUP(Table2[[#This Row],[3_Elephant_ID]],'[1]Attributes(OUTDATED)'!$A$2:$N$19,13,FALSE)</f>
        <v>8.6999999999999994E-2</v>
      </c>
      <c r="AG349" s="13">
        <f>VLOOKUP(Table2[[#This Row],[3_Elephant_ID]],'[1]Attributes(OUTDATED)'!$A$2:$N$19,14,FALSE)</f>
        <v>8.6599138783086713E-2</v>
      </c>
      <c r="AH349" s="13">
        <v>0</v>
      </c>
      <c r="AI349" s="13">
        <v>0</v>
      </c>
      <c r="AJ349" s="13">
        <v>0</v>
      </c>
      <c r="AK349" s="13">
        <v>0</v>
      </c>
      <c r="AL349" s="13">
        <f>VLOOKUP(Table2[[#This Row],[3_Elephant_ID]],'[1]Attributes(OUTDATED)'!$A$2:$P$19,16,FALSE)</f>
        <v>1</v>
      </c>
      <c r="AM349" s="13">
        <f>VLOOKUP(Table2[[#This Row],[3_Elephant_ID]],'[1]Attributes(OUTDATED)'!$A$2:$S$19,17,FALSE)</f>
        <v>4</v>
      </c>
      <c r="AN349" s="13">
        <f>VLOOKUP(Table2[[#This Row],[3_Elephant_ID]],'[1]Attributes(OUTDATED)'!$A$2:$S$19,18,FALSE)</f>
        <v>20</v>
      </c>
    </row>
    <row r="350" spans="1:40" ht="28" x14ac:dyDescent="0.15">
      <c r="A350" s="3">
        <v>371</v>
      </c>
      <c r="B350" s="6" t="s">
        <v>126</v>
      </c>
      <c r="C350" s="7">
        <v>9</v>
      </c>
      <c r="D350" s="7">
        <v>3</v>
      </c>
      <c r="E350" s="7">
        <v>2024</v>
      </c>
      <c r="F350" s="5">
        <v>45360</v>
      </c>
      <c r="G350" s="6" t="s">
        <v>12</v>
      </c>
      <c r="H350" s="17">
        <v>0.37947058823529406</v>
      </c>
      <c r="I350" s="20">
        <f>ROUNDUP((Table2[[#This Row],[fGCM_Conc]]*10000),0)</f>
        <v>3795</v>
      </c>
      <c r="J350" s="3" t="str">
        <f>VLOOKUP(G350,'[1]Attributes(OUTDATED)'!$A$2:$C$19,2,FALSE)</f>
        <v>M</v>
      </c>
      <c r="K350" s="3" t="str">
        <f>VLOOKUP(G350,'[1]Attributes(OUTDATED)'!$A$2:$C$19,3,FALSE)</f>
        <v>A</v>
      </c>
      <c r="L350" s="3">
        <f>VLOOKUP(G350,'[1]Attributes(OUTDATED)'!$A$2:$H$19,8,FALSE)</f>
        <v>1509</v>
      </c>
      <c r="M350" s="3" t="str">
        <f>K350&amp;J350</f>
        <v>AM</v>
      </c>
      <c r="N350" s="3" t="e">
        <f>VLOOKUP(G350,#REF!,2,FALSE)</f>
        <v>#REF!</v>
      </c>
      <c r="O350" s="11">
        <v>45358</v>
      </c>
      <c r="P350" s="13">
        <v>32.6</v>
      </c>
      <c r="Q350" s="13">
        <v>22.2</v>
      </c>
      <c r="R350" s="13">
        <v>9.6</v>
      </c>
      <c r="S350" s="13">
        <f>Table2[[#This Row],[2_Temp_H]]-Table2[[#This Row],[2_Temp_L]]</f>
        <v>23</v>
      </c>
      <c r="T350" s="13">
        <v>42</v>
      </c>
      <c r="U350" s="13">
        <v>5</v>
      </c>
      <c r="V350" s="13">
        <v>1009.82</v>
      </c>
      <c r="W350" s="13">
        <v>1005.08</v>
      </c>
      <c r="X350" s="13">
        <v>0</v>
      </c>
      <c r="Y350" s="13" t="s">
        <v>148</v>
      </c>
      <c r="Z350" s="16" t="s">
        <v>171</v>
      </c>
      <c r="AA350" s="13" t="s">
        <v>137</v>
      </c>
      <c r="AB350" s="13" t="s">
        <v>143</v>
      </c>
      <c r="AC350" s="13" t="s">
        <v>145</v>
      </c>
      <c r="AD350" s="13" t="s">
        <v>137</v>
      </c>
      <c r="AE350" s="13">
        <f>VLOOKUP(Table2[[#This Row],[3_Elephant_ID]],'[1]Attributes(OUTDATED)'!$A$2:$N$19,12,FALSE)</f>
        <v>450</v>
      </c>
      <c r="AF350" s="13">
        <f>VLOOKUP(Table2[[#This Row],[3_Elephant_ID]],'[1]Attributes(OUTDATED)'!$A$2:$N$19,13,FALSE)</f>
        <v>0.375</v>
      </c>
      <c r="AG350" s="13">
        <f>VLOOKUP(Table2[[#This Row],[3_Elephant_ID]],'[1]Attributes(OUTDATED)'!$A$2:$N$19,14,FALSE)</f>
        <v>0.37414375430996583</v>
      </c>
      <c r="AH350" s="13">
        <v>0</v>
      </c>
      <c r="AI350" s="13">
        <v>0</v>
      </c>
      <c r="AJ350" s="13">
        <v>0</v>
      </c>
      <c r="AK350" s="13">
        <v>0</v>
      </c>
      <c r="AL350" s="13">
        <f>VLOOKUP(Table2[[#This Row],[3_Elephant_ID]],'[1]Attributes(OUTDATED)'!$A$2:$P$19,16,FALSE)</f>
        <v>1</v>
      </c>
      <c r="AM350" s="13">
        <f>VLOOKUP(Table2[[#This Row],[3_Elephant_ID]],'[1]Attributes(OUTDATED)'!$A$2:$S$19,17,FALSE)</f>
        <v>48</v>
      </c>
      <c r="AN350" s="13">
        <f>VLOOKUP(Table2[[#This Row],[3_Elephant_ID]],'[1]Attributes(OUTDATED)'!$A$2:$S$19,18,FALSE)</f>
        <v>3</v>
      </c>
    </row>
    <row r="351" spans="1:40" ht="28" x14ac:dyDescent="0.15">
      <c r="A351" s="3">
        <v>370</v>
      </c>
      <c r="B351" s="6">
        <v>1103241143</v>
      </c>
      <c r="C351" s="7">
        <v>11</v>
      </c>
      <c r="D351" s="7">
        <v>3</v>
      </c>
      <c r="E351" s="7">
        <v>2024</v>
      </c>
      <c r="F351" s="5">
        <v>45362</v>
      </c>
      <c r="G351" s="6" t="s">
        <v>6</v>
      </c>
      <c r="H351" s="17">
        <v>0.29231910946196654</v>
      </c>
      <c r="I351" s="20">
        <f>ROUNDUP((Table2[[#This Row],[fGCM_Conc]]*10000),0)</f>
        <v>2924</v>
      </c>
      <c r="J351" s="3" t="str">
        <f>VLOOKUP(G351,'[1]Attributes(OUTDATED)'!$A$2:$C$19,2,FALSE)</f>
        <v>F</v>
      </c>
      <c r="K351" s="3" t="str">
        <f>VLOOKUP(G351,'[1]Attributes(OUTDATED)'!$A$2:$C$19,3,FALSE)</f>
        <v>A</v>
      </c>
      <c r="L351" s="3">
        <f>VLOOKUP(G351,'[1]Attributes(OUTDATED)'!$A$2:$H$19,8,FALSE)</f>
        <v>1168</v>
      </c>
      <c r="M351" s="3" t="str">
        <f>K351&amp;J351</f>
        <v>AF</v>
      </c>
      <c r="N351" s="3" t="e">
        <f>VLOOKUP(G351,#REF!,2,FALSE)</f>
        <v>#REF!</v>
      </c>
      <c r="O351" s="11">
        <v>45360</v>
      </c>
      <c r="P351" s="13">
        <v>32.799999999999997</v>
      </c>
      <c r="Q351" s="13">
        <v>22</v>
      </c>
      <c r="R351" s="13">
        <v>10.9</v>
      </c>
      <c r="S351" s="13">
        <f>Table2[[#This Row],[2_Temp_H]]-Table2[[#This Row],[2_Temp_L]]</f>
        <v>21.9</v>
      </c>
      <c r="T351" s="13">
        <v>19</v>
      </c>
      <c r="U351" s="13">
        <v>2.8</v>
      </c>
      <c r="V351" s="13">
        <v>1013.88</v>
      </c>
      <c r="W351" s="13">
        <v>1008.81</v>
      </c>
      <c r="X351" s="13">
        <v>0</v>
      </c>
      <c r="Y351" s="13" t="s">
        <v>148</v>
      </c>
      <c r="Z351" s="16" t="s">
        <v>171</v>
      </c>
      <c r="AA351" s="13" t="s">
        <v>137</v>
      </c>
      <c r="AB351" s="13" t="s">
        <v>143</v>
      </c>
      <c r="AC351" s="13" t="s">
        <v>145</v>
      </c>
      <c r="AD351" s="13" t="s">
        <v>137</v>
      </c>
      <c r="AE351" s="13">
        <f>VLOOKUP(Table2[[#This Row],[3_Elephant_ID]],'[1]Attributes(OUTDATED)'!$A$2:$N$19,12,FALSE)</f>
        <v>286</v>
      </c>
      <c r="AF351" s="13">
        <f>VLOOKUP(Table2[[#This Row],[3_Elephant_ID]],'[1]Attributes(OUTDATED)'!$A$2:$N$19,13,FALSE)</f>
        <v>0.26800000000000002</v>
      </c>
      <c r="AG351" s="13">
        <f>VLOOKUP(Table2[[#This Row],[3_Elephant_ID]],'[1]Attributes(OUTDATED)'!$A$2:$N$19,14,FALSE)</f>
        <v>0.26721028245328138</v>
      </c>
      <c r="AH351" s="13">
        <v>0</v>
      </c>
      <c r="AI351" s="13">
        <v>0</v>
      </c>
      <c r="AJ351" s="13">
        <v>0</v>
      </c>
      <c r="AK351" s="13">
        <v>0</v>
      </c>
      <c r="AL351" s="13">
        <f>VLOOKUP(Table2[[#This Row],[3_Elephant_ID]],'[1]Attributes(OUTDATED)'!$A$2:$P$19,16,FALSE)</f>
        <v>2</v>
      </c>
      <c r="AM351" s="13">
        <f>VLOOKUP(Table2[[#This Row],[3_Elephant_ID]],'[1]Attributes(OUTDATED)'!$A$2:$S$19,17,FALSE)</f>
        <v>12</v>
      </c>
      <c r="AN351" s="13">
        <f>VLOOKUP(Table2[[#This Row],[3_Elephant_ID]],'[1]Attributes(OUTDATED)'!$A$2:$S$19,18,FALSE)</f>
        <v>5</v>
      </c>
    </row>
    <row r="352" spans="1:40" ht="28" x14ac:dyDescent="0.15">
      <c r="A352" s="3">
        <v>369</v>
      </c>
      <c r="B352" s="6">
        <v>1103241152</v>
      </c>
      <c r="C352" s="7">
        <v>11</v>
      </c>
      <c r="D352" s="7">
        <v>3</v>
      </c>
      <c r="E352" s="7">
        <v>2024</v>
      </c>
      <c r="F352" s="5">
        <v>45362</v>
      </c>
      <c r="G352" s="6" t="s">
        <v>13</v>
      </c>
      <c r="H352" s="17">
        <v>0.23213754646840148</v>
      </c>
      <c r="I352" s="20">
        <f>ROUNDUP((Table2[[#This Row],[fGCM_Conc]]*10000),0)</f>
        <v>2322</v>
      </c>
      <c r="J352" s="3" t="str">
        <f>VLOOKUP(G352,'[1]Attributes(OUTDATED)'!$A$2:$C$19,2,FALSE)</f>
        <v>F</v>
      </c>
      <c r="K352" s="3" t="str">
        <f>VLOOKUP(G352,'[1]Attributes(OUTDATED)'!$A$2:$C$19,3,FALSE)</f>
        <v>A</v>
      </c>
      <c r="L352" s="3">
        <f>VLOOKUP(G352,'[1]Attributes(OUTDATED)'!$A$2:$H$19,8,FALSE)</f>
        <v>963</v>
      </c>
      <c r="M352" s="3" t="str">
        <f>K352&amp;J352</f>
        <v>AF</v>
      </c>
      <c r="N352" s="3" t="e">
        <f>VLOOKUP(G352,#REF!,2,FALSE)</f>
        <v>#REF!</v>
      </c>
      <c r="O352" s="11">
        <v>45360</v>
      </c>
      <c r="P352" s="13">
        <v>32.799999999999997</v>
      </c>
      <c r="Q352" s="13">
        <v>22</v>
      </c>
      <c r="R352" s="13">
        <v>10.9</v>
      </c>
      <c r="S352" s="13">
        <f>Table2[[#This Row],[2_Temp_H]]-Table2[[#This Row],[2_Temp_L]]</f>
        <v>21.9</v>
      </c>
      <c r="T352" s="13">
        <v>19</v>
      </c>
      <c r="U352" s="13">
        <v>2.8</v>
      </c>
      <c r="V352" s="13">
        <v>1013.88</v>
      </c>
      <c r="W352" s="13">
        <v>1008.81</v>
      </c>
      <c r="X352" s="13">
        <v>0</v>
      </c>
      <c r="Y352" s="13" t="s">
        <v>148</v>
      </c>
      <c r="Z352" s="16" t="s">
        <v>171</v>
      </c>
      <c r="AA352" s="13" t="s">
        <v>137</v>
      </c>
      <c r="AB352" s="13" t="s">
        <v>143</v>
      </c>
      <c r="AC352" s="13" t="s">
        <v>145</v>
      </c>
      <c r="AD352" s="13" t="s">
        <v>137</v>
      </c>
      <c r="AE352" s="13">
        <f>VLOOKUP(Table2[[#This Row],[3_Elephant_ID]],'[1]Attributes(OUTDATED)'!$A$2:$N$19,12,FALSE)</f>
        <v>289</v>
      </c>
      <c r="AF352" s="13">
        <f>VLOOKUP(Table2[[#This Row],[3_Elephant_ID]],'[1]Attributes(OUTDATED)'!$A$2:$N$19,13,FALSE)</f>
        <v>0.32400000000000001</v>
      </c>
      <c r="AG352" s="13">
        <f>VLOOKUP(Table2[[#This Row],[3_Elephant_ID]],'[1]Attributes(OUTDATED)'!$A$2:$N$19,14,FALSE)</f>
        <v>0.32380809109629533</v>
      </c>
      <c r="AH352" s="13">
        <v>0</v>
      </c>
      <c r="AI352" s="13">
        <v>0</v>
      </c>
      <c r="AJ352" s="13">
        <v>0</v>
      </c>
      <c r="AK352" s="13">
        <v>0</v>
      </c>
      <c r="AL352" s="13">
        <f>VLOOKUP(Table2[[#This Row],[3_Elephant_ID]],'[1]Attributes(OUTDATED)'!$A$2:$P$19,16,FALSE)</f>
        <v>2</v>
      </c>
      <c r="AM352" s="13">
        <f>VLOOKUP(Table2[[#This Row],[3_Elephant_ID]],'[1]Attributes(OUTDATED)'!$A$2:$S$19,17,FALSE)</f>
        <v>9</v>
      </c>
      <c r="AN352" s="13">
        <f>VLOOKUP(Table2[[#This Row],[3_Elephant_ID]],'[1]Attributes(OUTDATED)'!$A$2:$S$19,18,FALSE)</f>
        <v>9</v>
      </c>
    </row>
    <row r="353" spans="1:40" ht="28" x14ac:dyDescent="0.15">
      <c r="A353" s="3">
        <v>365</v>
      </c>
      <c r="B353" s="6" t="s">
        <v>125</v>
      </c>
      <c r="C353" s="7">
        <v>13</v>
      </c>
      <c r="D353" s="7">
        <v>3</v>
      </c>
      <c r="E353" s="7">
        <v>2024</v>
      </c>
      <c r="F353" s="5">
        <v>45364</v>
      </c>
      <c r="G353" s="6" t="s">
        <v>4</v>
      </c>
      <c r="H353" s="17">
        <v>0.3635019455252918</v>
      </c>
      <c r="I353" s="20">
        <f>ROUNDUP((Table2[[#This Row],[fGCM_Conc]]*10000),0)</f>
        <v>3636</v>
      </c>
      <c r="J353" s="3" t="str">
        <f>VLOOKUP(G353,'[1]Attributes(OUTDATED)'!$A$2:$C$19,2,FALSE)</f>
        <v>M</v>
      </c>
      <c r="K353" s="3" t="str">
        <f>VLOOKUP(G353,'[1]Attributes(OUTDATED)'!$A$2:$C$19,3,FALSE)</f>
        <v>J</v>
      </c>
      <c r="L353" s="3">
        <f>VLOOKUP(G353,'[1]Attributes(OUTDATED)'!$A$2:$H$19,8,FALSE)</f>
        <v>1055</v>
      </c>
      <c r="M353" s="3" t="str">
        <f>K353&amp;J353</f>
        <v>JM</v>
      </c>
      <c r="N353" s="3" t="e">
        <f>VLOOKUP(G353,#REF!,2,FALSE)</f>
        <v>#REF!</v>
      </c>
      <c r="O353" s="11">
        <v>45362</v>
      </c>
      <c r="P353" s="13">
        <v>37.1</v>
      </c>
      <c r="Q353" s="13">
        <v>24.3</v>
      </c>
      <c r="R353" s="13">
        <v>12.1</v>
      </c>
      <c r="S353" s="13">
        <f>Table2[[#This Row],[2_Temp_H]]-Table2[[#This Row],[2_Temp_L]]</f>
        <v>25</v>
      </c>
      <c r="T353" s="13">
        <v>21.9</v>
      </c>
      <c r="U353" s="13">
        <v>3.5</v>
      </c>
      <c r="V353" s="13">
        <v>1014.9</v>
      </c>
      <c r="W353" s="13">
        <v>1008.81</v>
      </c>
      <c r="X353" s="13">
        <v>0</v>
      </c>
      <c r="Y353" s="13" t="s">
        <v>148</v>
      </c>
      <c r="Z353" s="16" t="s">
        <v>171</v>
      </c>
      <c r="AA353" s="13" t="s">
        <v>137</v>
      </c>
      <c r="AB353" s="13" t="s">
        <v>143</v>
      </c>
      <c r="AC353" s="13" t="s">
        <v>145</v>
      </c>
      <c r="AD353" s="13" t="s">
        <v>137</v>
      </c>
      <c r="AE353" s="13">
        <f>VLOOKUP(Table2[[#This Row],[3_Elephant_ID]],'[1]Attributes(OUTDATED)'!$A$2:$N$19,12,FALSE)</f>
        <v>181</v>
      </c>
      <c r="AF353" s="13">
        <f>VLOOKUP(Table2[[#This Row],[3_Elephant_ID]],'[1]Attributes(OUTDATED)'!$A$2:$N$19,13,FALSE)</f>
        <v>7.3999999999999996E-2</v>
      </c>
      <c r="AG353" s="13">
        <f>VLOOKUP(Table2[[#This Row],[3_Elephant_ID]],'[1]Attributes(OUTDATED)'!$A$2:$N$19,14,FALSE)</f>
        <v>7.3914663535330896E-2</v>
      </c>
      <c r="AH353" s="13">
        <v>0</v>
      </c>
      <c r="AI353" s="13">
        <v>0</v>
      </c>
      <c r="AJ353" s="13">
        <v>0</v>
      </c>
      <c r="AK353" s="13">
        <v>0</v>
      </c>
      <c r="AL353" s="13">
        <f>VLOOKUP(Table2[[#This Row],[3_Elephant_ID]],'[1]Attributes(OUTDATED)'!$A$2:$P$19,16,FALSE)</f>
        <v>1</v>
      </c>
      <c r="AM353" s="13">
        <f>VLOOKUP(Table2[[#This Row],[3_Elephant_ID]],'[1]Attributes(OUTDATED)'!$A$2:$S$19,17,FALSE)</f>
        <v>7</v>
      </c>
      <c r="AN353" s="13">
        <f>VLOOKUP(Table2[[#This Row],[3_Elephant_ID]],'[1]Attributes(OUTDATED)'!$A$2:$S$19,18,FALSE)</f>
        <v>9</v>
      </c>
    </row>
    <row r="354" spans="1:40" ht="28" x14ac:dyDescent="0.15">
      <c r="A354" s="3">
        <v>367</v>
      </c>
      <c r="B354" s="6">
        <v>1303241212</v>
      </c>
      <c r="C354" s="7">
        <v>13</v>
      </c>
      <c r="D354" s="7">
        <v>3</v>
      </c>
      <c r="E354" s="7">
        <v>2024</v>
      </c>
      <c r="F354" s="5">
        <v>45364</v>
      </c>
      <c r="G354" s="6" t="s">
        <v>15</v>
      </c>
      <c r="H354" s="17">
        <v>0.33097142857142858</v>
      </c>
      <c r="I354" s="20">
        <f>ROUNDUP((Table2[[#This Row],[fGCM_Conc]]*10000),0)</f>
        <v>3310</v>
      </c>
      <c r="J354" s="3" t="str">
        <f>VLOOKUP(G354,'[1]Attributes(OUTDATED)'!$A$2:$C$19,2,FALSE)</f>
        <v>M</v>
      </c>
      <c r="K354" s="3" t="str">
        <f>VLOOKUP(G354,'[1]Attributes(OUTDATED)'!$A$2:$C$19,3,FALSE)</f>
        <v>J</v>
      </c>
      <c r="L354" s="3">
        <f>VLOOKUP(G354,'[1]Attributes(OUTDATED)'!$A$2:$H$19,8,FALSE)</f>
        <v>828</v>
      </c>
      <c r="M354" s="3" t="str">
        <f>K354&amp;J354</f>
        <v>JM</v>
      </c>
      <c r="N354" s="3" t="e">
        <f>VLOOKUP(G354,#REF!,2,FALSE)</f>
        <v>#REF!</v>
      </c>
      <c r="O354" s="11">
        <v>45362</v>
      </c>
      <c r="P354" s="13">
        <v>37.1</v>
      </c>
      <c r="Q354" s="13">
        <v>24.3</v>
      </c>
      <c r="R354" s="13">
        <v>12.1</v>
      </c>
      <c r="S354" s="13">
        <f>Table2[[#This Row],[2_Temp_H]]-Table2[[#This Row],[2_Temp_L]]</f>
        <v>25</v>
      </c>
      <c r="T354" s="13">
        <v>21.9</v>
      </c>
      <c r="U354" s="13">
        <v>3.5</v>
      </c>
      <c r="V354" s="13">
        <v>1014.9</v>
      </c>
      <c r="W354" s="13">
        <v>1008.81</v>
      </c>
      <c r="X354" s="13">
        <v>0</v>
      </c>
      <c r="Y354" s="13" t="s">
        <v>148</v>
      </c>
      <c r="Z354" s="16" t="s">
        <v>171</v>
      </c>
      <c r="AA354" s="13" t="s">
        <v>137</v>
      </c>
      <c r="AB354" s="13" t="s">
        <v>143</v>
      </c>
      <c r="AC354" s="13" t="s">
        <v>145</v>
      </c>
      <c r="AD354" s="13" t="s">
        <v>137</v>
      </c>
      <c r="AE354" s="13">
        <f>VLOOKUP(Table2[[#This Row],[3_Elephant_ID]],'[1]Attributes(OUTDATED)'!$A$2:$N$19,12,FALSE)</f>
        <v>219</v>
      </c>
      <c r="AF354" s="13">
        <f>VLOOKUP(Table2[[#This Row],[3_Elephant_ID]],'[1]Attributes(OUTDATED)'!$A$2:$N$19,13,FALSE)</f>
        <v>0.32300000000000001</v>
      </c>
      <c r="AG354" s="13">
        <f>VLOOKUP(Table2[[#This Row],[3_Elephant_ID]],'[1]Attributes(OUTDATED)'!$A$2:$N$19,14,FALSE)</f>
        <v>0.32257531484312868</v>
      </c>
      <c r="AH354" s="13">
        <v>0</v>
      </c>
      <c r="AI354" s="13">
        <v>0</v>
      </c>
      <c r="AJ354" s="13">
        <v>0</v>
      </c>
      <c r="AK354" s="13">
        <v>0</v>
      </c>
      <c r="AL354" s="13">
        <f>VLOOKUP(Table2[[#This Row],[3_Elephant_ID]],'[1]Attributes(OUTDATED)'!$A$2:$P$19,16,FALSE)</f>
        <v>2</v>
      </c>
      <c r="AM354" s="13">
        <f>VLOOKUP(Table2[[#This Row],[3_Elephant_ID]],'[1]Attributes(OUTDATED)'!$A$2:$S$19,17,FALSE)</f>
        <v>1</v>
      </c>
      <c r="AN354" s="13">
        <f>VLOOKUP(Table2[[#This Row],[3_Elephant_ID]],'[1]Attributes(OUTDATED)'!$A$2:$S$19,18,FALSE)</f>
        <v>6</v>
      </c>
    </row>
    <row r="355" spans="1:40" ht="28" x14ac:dyDescent="0.15">
      <c r="A355" s="3">
        <v>368</v>
      </c>
      <c r="B355" s="6">
        <v>1303240923</v>
      </c>
      <c r="C355" s="7">
        <v>13</v>
      </c>
      <c r="D355" s="7">
        <v>3</v>
      </c>
      <c r="E355" s="7">
        <v>2024</v>
      </c>
      <c r="F355" s="5">
        <v>45364</v>
      </c>
      <c r="G355" s="6" t="s">
        <v>11</v>
      </c>
      <c r="H355" s="17">
        <v>0.3130857142857143</v>
      </c>
      <c r="I355" s="20">
        <f>ROUNDUP((Table2[[#This Row],[fGCM_Conc]]*10000),0)</f>
        <v>3131</v>
      </c>
      <c r="J355" s="3" t="str">
        <f>VLOOKUP(G355,'[1]Attributes(OUTDATED)'!$A$2:$C$19,2,FALSE)</f>
        <v>M</v>
      </c>
      <c r="K355" s="3" t="str">
        <f>VLOOKUP(G355,'[1]Attributes(OUTDATED)'!$A$2:$C$19,3,FALSE)</f>
        <v>A</v>
      </c>
      <c r="L355" s="3">
        <f>VLOOKUP(G355,'[1]Attributes(OUTDATED)'!$A$2:$H$19,8,FALSE)</f>
        <v>1223</v>
      </c>
      <c r="M355" s="3" t="str">
        <f>K355&amp;J355</f>
        <v>AM</v>
      </c>
      <c r="N355" s="3" t="e">
        <f>VLOOKUP(G355,#REF!,2,FALSE)</f>
        <v>#REF!</v>
      </c>
      <c r="O355" s="11">
        <v>45362</v>
      </c>
      <c r="P355" s="13">
        <v>37.1</v>
      </c>
      <c r="Q355" s="13">
        <v>24.3</v>
      </c>
      <c r="R355" s="13">
        <v>12.1</v>
      </c>
      <c r="S355" s="13">
        <f>Table2[[#This Row],[2_Temp_H]]-Table2[[#This Row],[2_Temp_L]]</f>
        <v>25</v>
      </c>
      <c r="T355" s="13">
        <v>21.9</v>
      </c>
      <c r="U355" s="13">
        <v>3.5</v>
      </c>
      <c r="V355" s="13">
        <v>1014.9</v>
      </c>
      <c r="W355" s="13">
        <v>1008.81</v>
      </c>
      <c r="X355" s="13">
        <v>0</v>
      </c>
      <c r="Y355" s="13" t="s">
        <v>148</v>
      </c>
      <c r="Z355" s="16" t="s">
        <v>171</v>
      </c>
      <c r="AA355" s="13" t="s">
        <v>137</v>
      </c>
      <c r="AB355" s="13" t="s">
        <v>143</v>
      </c>
      <c r="AC355" s="13" t="s">
        <v>145</v>
      </c>
      <c r="AD355" s="13" t="s">
        <v>137</v>
      </c>
      <c r="AE355" s="13">
        <f>VLOOKUP(Table2[[#This Row],[3_Elephant_ID]],'[1]Attributes(OUTDATED)'!$A$2:$N$19,12,FALSE)</f>
        <v>404</v>
      </c>
      <c r="AF355" s="13">
        <f>VLOOKUP(Table2[[#This Row],[3_Elephant_ID]],'[1]Attributes(OUTDATED)'!$A$2:$N$19,13,FALSE)</f>
        <v>0.91700000000000004</v>
      </c>
      <c r="AG355" s="13">
        <f>VLOOKUP(Table2[[#This Row],[3_Elephant_ID]],'[1]Attributes(OUTDATED)'!$A$2:$N$19,14,FALSE)</f>
        <v>0.91664628583929353</v>
      </c>
      <c r="AH355" s="13">
        <v>0</v>
      </c>
      <c r="AI355" s="13">
        <v>0</v>
      </c>
      <c r="AJ355" s="13">
        <v>0</v>
      </c>
      <c r="AK355" s="13">
        <v>0</v>
      </c>
      <c r="AL355" s="13">
        <f>VLOOKUP(Table2[[#This Row],[3_Elephant_ID]],'[1]Attributes(OUTDATED)'!$A$2:$P$19,16,FALSE)</f>
        <v>1</v>
      </c>
      <c r="AM355" s="13">
        <f>VLOOKUP(Table2[[#This Row],[3_Elephant_ID]],'[1]Attributes(OUTDATED)'!$A$2:$S$19,17,FALSE)</f>
        <v>14</v>
      </c>
      <c r="AN355" s="13">
        <f>VLOOKUP(Table2[[#This Row],[3_Elephant_ID]],'[1]Attributes(OUTDATED)'!$A$2:$S$19,18,FALSE)</f>
        <v>17</v>
      </c>
    </row>
    <row r="356" spans="1:40" ht="28" x14ac:dyDescent="0.15">
      <c r="A356" s="3">
        <v>366</v>
      </c>
      <c r="B356" s="6">
        <v>1303241231</v>
      </c>
      <c r="C356" s="7">
        <v>13</v>
      </c>
      <c r="D356" s="7">
        <v>3</v>
      </c>
      <c r="E356" s="7">
        <v>2024</v>
      </c>
      <c r="F356" s="5">
        <v>45364</v>
      </c>
      <c r="G356" s="6" t="s">
        <v>4</v>
      </c>
      <c r="H356" s="17">
        <v>0.23265654648956358</v>
      </c>
      <c r="I356" s="20">
        <f>ROUNDUP((Table2[[#This Row],[fGCM_Conc]]*10000),0)</f>
        <v>2327</v>
      </c>
      <c r="J356" s="3" t="str">
        <f>VLOOKUP(G356,'[1]Attributes(OUTDATED)'!$A$2:$C$19,2,FALSE)</f>
        <v>M</v>
      </c>
      <c r="K356" s="3" t="str">
        <f>VLOOKUP(G356,'[1]Attributes(OUTDATED)'!$A$2:$C$19,3,FALSE)</f>
        <v>J</v>
      </c>
      <c r="L356" s="3">
        <f>VLOOKUP(G356,'[1]Attributes(OUTDATED)'!$A$2:$H$19,8,FALSE)</f>
        <v>1055</v>
      </c>
      <c r="M356" s="3" t="str">
        <f>K356&amp;J356</f>
        <v>JM</v>
      </c>
      <c r="N356" s="3" t="e">
        <f>VLOOKUP(G356,#REF!,2,FALSE)</f>
        <v>#REF!</v>
      </c>
      <c r="O356" s="11">
        <v>45362</v>
      </c>
      <c r="P356" s="13">
        <v>37.1</v>
      </c>
      <c r="Q356" s="13">
        <v>24.3</v>
      </c>
      <c r="R356" s="13">
        <v>12.1</v>
      </c>
      <c r="S356" s="13">
        <f>Table2[[#This Row],[2_Temp_H]]-Table2[[#This Row],[2_Temp_L]]</f>
        <v>25</v>
      </c>
      <c r="T356" s="13">
        <v>21.9</v>
      </c>
      <c r="U356" s="13">
        <v>3.5</v>
      </c>
      <c r="V356" s="13">
        <v>1014.9</v>
      </c>
      <c r="W356" s="13">
        <v>1008.81</v>
      </c>
      <c r="X356" s="13">
        <v>0</v>
      </c>
      <c r="Y356" s="13" t="s">
        <v>148</v>
      </c>
      <c r="Z356" s="16" t="s">
        <v>171</v>
      </c>
      <c r="AA356" s="13" t="s">
        <v>137</v>
      </c>
      <c r="AB356" s="13" t="s">
        <v>143</v>
      </c>
      <c r="AC356" s="13" t="s">
        <v>145</v>
      </c>
      <c r="AD356" s="13" t="s">
        <v>137</v>
      </c>
      <c r="AE356" s="13">
        <f>VLOOKUP(Table2[[#This Row],[3_Elephant_ID]],'[1]Attributes(OUTDATED)'!$A$2:$N$19,12,FALSE)</f>
        <v>181</v>
      </c>
      <c r="AF356" s="13">
        <f>VLOOKUP(Table2[[#This Row],[3_Elephant_ID]],'[1]Attributes(OUTDATED)'!$A$2:$N$19,13,FALSE)</f>
        <v>7.3999999999999996E-2</v>
      </c>
      <c r="AG356" s="13">
        <f>VLOOKUP(Table2[[#This Row],[3_Elephant_ID]],'[1]Attributes(OUTDATED)'!$A$2:$N$19,14,FALSE)</f>
        <v>7.3914663535330896E-2</v>
      </c>
      <c r="AH356" s="13">
        <v>0</v>
      </c>
      <c r="AI356" s="13">
        <v>0</v>
      </c>
      <c r="AJ356" s="13">
        <v>0</v>
      </c>
      <c r="AK356" s="13">
        <v>0</v>
      </c>
      <c r="AL356" s="13">
        <f>VLOOKUP(Table2[[#This Row],[3_Elephant_ID]],'[1]Attributes(OUTDATED)'!$A$2:$P$19,16,FALSE)</f>
        <v>1</v>
      </c>
      <c r="AM356" s="13">
        <f>VLOOKUP(Table2[[#This Row],[3_Elephant_ID]],'[1]Attributes(OUTDATED)'!$A$2:$S$19,17,FALSE)</f>
        <v>7</v>
      </c>
      <c r="AN356" s="13">
        <f>VLOOKUP(Table2[[#This Row],[3_Elephant_ID]],'[1]Attributes(OUTDATED)'!$A$2:$S$19,18,FALSE)</f>
        <v>9</v>
      </c>
    </row>
    <row r="357" spans="1:40" ht="28" x14ac:dyDescent="0.15">
      <c r="A357" s="3">
        <v>362</v>
      </c>
      <c r="B357" s="6">
        <v>2003241009</v>
      </c>
      <c r="C357" s="7">
        <v>20</v>
      </c>
      <c r="D357" s="7">
        <v>3</v>
      </c>
      <c r="E357" s="7">
        <v>2024</v>
      </c>
      <c r="F357" s="5">
        <v>45371</v>
      </c>
      <c r="G357" s="6" t="s">
        <v>10</v>
      </c>
      <c r="H357" s="17">
        <v>0.81441860465116267</v>
      </c>
      <c r="I357" s="20">
        <f>ROUNDUP((Table2[[#This Row],[fGCM_Conc]]*10000),0)</f>
        <v>8145</v>
      </c>
      <c r="J357" s="3" t="str">
        <f>VLOOKUP(G357,'[1]Attributes(OUTDATED)'!$A$2:$C$19,2,FALSE)</f>
        <v>F</v>
      </c>
      <c r="K357" s="3" t="str">
        <f>VLOOKUP(G357,'[1]Attributes(OUTDATED)'!$A$2:$C$19,3,FALSE)</f>
        <v>A</v>
      </c>
      <c r="L357" s="3">
        <f>VLOOKUP(G357,'[1]Attributes(OUTDATED)'!$A$2:$H$19,8,FALSE)</f>
        <v>1146</v>
      </c>
      <c r="M357" s="3" t="str">
        <f>K357&amp;J357</f>
        <v>AF</v>
      </c>
      <c r="N357" s="3" t="e">
        <f>VLOOKUP(G357,#REF!,2,FALSE)</f>
        <v>#REF!</v>
      </c>
      <c r="O357" s="11">
        <v>45369</v>
      </c>
      <c r="P357" s="13">
        <v>31.3</v>
      </c>
      <c r="Q357" s="13">
        <v>19</v>
      </c>
      <c r="R357" s="13">
        <v>8.1999999999999993</v>
      </c>
      <c r="S357" s="13">
        <f>Table2[[#This Row],[2_Temp_H]]-Table2[[#This Row],[2_Temp_L]]</f>
        <v>23.1</v>
      </c>
      <c r="T357" s="13">
        <v>17.5</v>
      </c>
      <c r="U357" s="13">
        <v>2.6</v>
      </c>
      <c r="V357" s="13">
        <v>1014.9</v>
      </c>
      <c r="W357" s="13">
        <v>1007.79</v>
      </c>
      <c r="X357" s="13">
        <v>0</v>
      </c>
      <c r="Y357" s="13" t="s">
        <v>148</v>
      </c>
      <c r="Z357" s="13" t="s">
        <v>139</v>
      </c>
      <c r="AA357" s="13" t="s">
        <v>26</v>
      </c>
      <c r="AB357" s="13" t="s">
        <v>143</v>
      </c>
      <c r="AC357" s="13" t="s">
        <v>145</v>
      </c>
      <c r="AD357" s="13" t="s">
        <v>137</v>
      </c>
      <c r="AE357" s="13">
        <f>VLOOKUP(Table2[[#This Row],[3_Elephant_ID]],'[1]Attributes(OUTDATED)'!$A$2:$N$19,12,FALSE)</f>
        <v>424</v>
      </c>
      <c r="AF357" s="13">
        <f>VLOOKUP(Table2[[#This Row],[3_Elephant_ID]],'[1]Attributes(OUTDATED)'!$A$2:$N$19,13,FALSE)</f>
        <v>0.10299999999999999</v>
      </c>
      <c r="AG357" s="13">
        <f>VLOOKUP(Table2[[#This Row],[3_Elephant_ID]],'[1]Attributes(OUTDATED)'!$A$2:$N$19,14,FALSE)</f>
        <v>0.10282190709599449</v>
      </c>
      <c r="AH357" s="13">
        <v>0</v>
      </c>
      <c r="AI357" s="13">
        <v>0</v>
      </c>
      <c r="AJ357" s="13">
        <v>0</v>
      </c>
      <c r="AK357" s="13">
        <v>0</v>
      </c>
      <c r="AL357" s="13">
        <f>VLOOKUP(Table2[[#This Row],[3_Elephant_ID]],'[1]Attributes(OUTDATED)'!$A$2:$P$19,16,FALSE)</f>
        <v>1</v>
      </c>
      <c r="AM357" s="13">
        <f>VLOOKUP(Table2[[#This Row],[3_Elephant_ID]],'[1]Attributes(OUTDATED)'!$A$2:$S$19,17,FALSE)</f>
        <v>9</v>
      </c>
      <c r="AN357" s="13">
        <f>VLOOKUP(Table2[[#This Row],[3_Elephant_ID]],'[1]Attributes(OUTDATED)'!$A$2:$S$19,18,FALSE)</f>
        <v>8</v>
      </c>
    </row>
    <row r="358" spans="1:40" ht="28" x14ac:dyDescent="0.15">
      <c r="A358" s="3">
        <v>361</v>
      </c>
      <c r="B358" s="6">
        <v>2003241109</v>
      </c>
      <c r="C358" s="7">
        <v>20</v>
      </c>
      <c r="D358" s="7">
        <v>3</v>
      </c>
      <c r="E358" s="7">
        <v>2024</v>
      </c>
      <c r="F358" s="5">
        <v>45371</v>
      </c>
      <c r="G358" s="6" t="s">
        <v>16</v>
      </c>
      <c r="H358" s="17">
        <v>0.52270793036750474</v>
      </c>
      <c r="I358" s="20">
        <f>ROUNDUP((Table2[[#This Row],[fGCM_Conc]]*10000),0)</f>
        <v>5228</v>
      </c>
      <c r="J358" s="3" t="str">
        <f>VLOOKUP(G358,'[1]Attributes(OUTDATED)'!$A$2:$C$19,2,FALSE)</f>
        <v>F</v>
      </c>
      <c r="K358" s="3" t="str">
        <f>VLOOKUP(G358,'[1]Attributes(OUTDATED)'!$A$2:$C$19,3,FALSE)</f>
        <v>A</v>
      </c>
      <c r="L358" s="3">
        <f>VLOOKUP(G358,'[1]Attributes(OUTDATED)'!$A$2:$H$19,8,FALSE)</f>
        <v>1346</v>
      </c>
      <c r="M358" s="3" t="str">
        <f>K358&amp;J358</f>
        <v>AF</v>
      </c>
      <c r="N358" s="3" t="e">
        <f>VLOOKUP(G358,#REF!,2,FALSE)</f>
        <v>#REF!</v>
      </c>
      <c r="O358" s="11">
        <v>45369</v>
      </c>
      <c r="P358" s="13">
        <v>31.3</v>
      </c>
      <c r="Q358" s="13">
        <v>19</v>
      </c>
      <c r="R358" s="13">
        <v>8.1999999999999993</v>
      </c>
      <c r="S358" s="13">
        <f>Table2[[#This Row],[2_Temp_H]]-Table2[[#This Row],[2_Temp_L]]</f>
        <v>23.1</v>
      </c>
      <c r="T358" s="13">
        <v>17.5</v>
      </c>
      <c r="U358" s="13">
        <v>2.6</v>
      </c>
      <c r="V358" s="13">
        <v>1014.9</v>
      </c>
      <c r="W358" s="13">
        <v>1007.79</v>
      </c>
      <c r="X358" s="13">
        <v>0</v>
      </c>
      <c r="Y358" s="13" t="s">
        <v>148</v>
      </c>
      <c r="Z358" s="13" t="s">
        <v>139</v>
      </c>
      <c r="AA358" s="13" t="s">
        <v>26</v>
      </c>
      <c r="AB358" s="13" t="s">
        <v>143</v>
      </c>
      <c r="AC358" s="13" t="s">
        <v>145</v>
      </c>
      <c r="AD358" s="13" t="s">
        <v>137</v>
      </c>
      <c r="AE358" s="13">
        <f>VLOOKUP(Table2[[#This Row],[3_Elephant_ID]],'[1]Attributes(OUTDATED)'!$A$2:$N$19,12,FALSE)</f>
        <v>474</v>
      </c>
      <c r="AF358" s="13">
        <f>VLOOKUP(Table2[[#This Row],[3_Elephant_ID]],'[1]Attributes(OUTDATED)'!$A$2:$N$19,13,FALSE)</f>
        <v>0.121</v>
      </c>
      <c r="AG358" s="13">
        <f>VLOOKUP(Table2[[#This Row],[3_Elephant_ID]],'[1]Attributes(OUTDATED)'!$A$2:$N$19,14,FALSE)</f>
        <v>0.1206993463154281</v>
      </c>
      <c r="AH358" s="13">
        <v>0</v>
      </c>
      <c r="AI358" s="13">
        <v>0</v>
      </c>
      <c r="AJ358" s="13">
        <v>0</v>
      </c>
      <c r="AK358" s="13">
        <v>0</v>
      </c>
      <c r="AL358" s="13">
        <f>VLOOKUP(Table2[[#This Row],[3_Elephant_ID]],'[1]Attributes(OUTDATED)'!$A$2:$P$19,16,FALSE)</f>
        <v>1</v>
      </c>
      <c r="AM358" s="13">
        <f>VLOOKUP(Table2[[#This Row],[3_Elephant_ID]],'[1]Attributes(OUTDATED)'!$A$2:$S$19,17,FALSE)</f>
        <v>16</v>
      </c>
      <c r="AN358" s="13">
        <f>VLOOKUP(Table2[[#This Row],[3_Elephant_ID]],'[1]Attributes(OUTDATED)'!$A$2:$S$19,18,FALSE)</f>
        <v>1</v>
      </c>
    </row>
    <row r="359" spans="1:40" ht="28" x14ac:dyDescent="0.15">
      <c r="A359" s="3">
        <v>358</v>
      </c>
      <c r="B359" s="6">
        <v>2003241218</v>
      </c>
      <c r="C359" s="7">
        <v>20</v>
      </c>
      <c r="D359" s="7">
        <v>3</v>
      </c>
      <c r="E359" s="7">
        <v>2024</v>
      </c>
      <c r="F359" s="5">
        <v>45371</v>
      </c>
      <c r="G359" s="6" t="s">
        <v>14</v>
      </c>
      <c r="H359" s="17">
        <v>0.49967307692307694</v>
      </c>
      <c r="I359" s="20">
        <f>ROUNDUP((Table2[[#This Row],[fGCM_Conc]]*10000),0)</f>
        <v>4997</v>
      </c>
      <c r="J359" s="3" t="str">
        <f>VLOOKUP(G359,'[1]Attributes(OUTDATED)'!$A$2:$C$19,2,FALSE)</f>
        <v>F</v>
      </c>
      <c r="K359" s="3" t="str">
        <f>VLOOKUP(G359,'[1]Attributes(OUTDATED)'!$A$2:$C$19,3,FALSE)</f>
        <v>J</v>
      </c>
      <c r="L359" s="3">
        <f>VLOOKUP(G359,'[1]Attributes(OUTDATED)'!$A$2:$H$19,8,FALSE)</f>
        <v>879</v>
      </c>
      <c r="M359" s="3" t="str">
        <f>K359&amp;J359</f>
        <v>JF</v>
      </c>
      <c r="N359" s="3" t="e">
        <f>VLOOKUP(G359,#REF!,2,FALSE)</f>
        <v>#REF!</v>
      </c>
      <c r="O359" s="11">
        <v>45369</v>
      </c>
      <c r="P359" s="13">
        <v>31.3</v>
      </c>
      <c r="Q359" s="13">
        <v>19</v>
      </c>
      <c r="R359" s="13">
        <v>8.1999999999999993</v>
      </c>
      <c r="S359" s="13">
        <f>Table2[[#This Row],[2_Temp_H]]-Table2[[#This Row],[2_Temp_L]]</f>
        <v>23.1</v>
      </c>
      <c r="T359" s="13">
        <v>17.5</v>
      </c>
      <c r="U359" s="13">
        <v>2.6</v>
      </c>
      <c r="V359" s="13">
        <v>1014.9</v>
      </c>
      <c r="W359" s="13">
        <v>1007.79</v>
      </c>
      <c r="X359" s="13">
        <v>0</v>
      </c>
      <c r="Y359" s="13" t="s">
        <v>148</v>
      </c>
      <c r="Z359" s="13" t="s">
        <v>139</v>
      </c>
      <c r="AA359" s="13" t="s">
        <v>26</v>
      </c>
      <c r="AB359" s="13" t="s">
        <v>143</v>
      </c>
      <c r="AC359" s="13" t="s">
        <v>145</v>
      </c>
      <c r="AD359" s="13" t="s">
        <v>137</v>
      </c>
      <c r="AE359" s="13">
        <f>VLOOKUP(Table2[[#This Row],[3_Elephant_ID]],'[1]Attributes(OUTDATED)'!$A$2:$N$19,12,FALSE)</f>
        <v>269</v>
      </c>
      <c r="AF359" s="13">
        <f>VLOOKUP(Table2[[#This Row],[3_Elephant_ID]],'[1]Attributes(OUTDATED)'!$A$2:$N$19,13,FALSE)</f>
        <v>0.65800000000000003</v>
      </c>
      <c r="AG359" s="13">
        <f>VLOOKUP(Table2[[#This Row],[3_Elephant_ID]],'[1]Attributes(OUTDATED)'!$A$2:$N$19,14,FALSE)</f>
        <v>0.65767064449315993</v>
      </c>
      <c r="AH359" s="13">
        <v>0</v>
      </c>
      <c r="AI359" s="13">
        <v>0</v>
      </c>
      <c r="AJ359" s="13">
        <v>0</v>
      </c>
      <c r="AK359" s="13">
        <v>0</v>
      </c>
      <c r="AL359" s="13">
        <f>VLOOKUP(Table2[[#This Row],[3_Elephant_ID]],'[1]Attributes(OUTDATED)'!$A$2:$P$19,16,FALSE)</f>
        <v>1</v>
      </c>
      <c r="AM359" s="13">
        <f>VLOOKUP(Table2[[#This Row],[3_Elephant_ID]],'[1]Attributes(OUTDATED)'!$A$2:$S$19,17,FALSE)</f>
        <v>3</v>
      </c>
      <c r="AN359" s="13">
        <f>VLOOKUP(Table2[[#This Row],[3_Elephant_ID]],'[1]Attributes(OUTDATED)'!$A$2:$S$19,18,FALSE)</f>
        <v>9</v>
      </c>
    </row>
    <row r="360" spans="1:40" ht="28" x14ac:dyDescent="0.15">
      <c r="A360" s="3">
        <v>360</v>
      </c>
      <c r="B360" s="6">
        <v>2003241118</v>
      </c>
      <c r="C360" s="7">
        <v>20</v>
      </c>
      <c r="D360" s="7">
        <v>3</v>
      </c>
      <c r="E360" s="7">
        <v>2024</v>
      </c>
      <c r="F360" s="5">
        <v>45371</v>
      </c>
      <c r="G360" s="6" t="s">
        <v>12</v>
      </c>
      <c r="H360" s="17">
        <v>0.44244360902255653</v>
      </c>
      <c r="I360" s="20">
        <f>ROUNDUP((Table2[[#This Row],[fGCM_Conc]]*10000),0)</f>
        <v>4425</v>
      </c>
      <c r="J360" s="3" t="str">
        <f>VLOOKUP(G360,'[1]Attributes(OUTDATED)'!$A$2:$C$19,2,FALSE)</f>
        <v>M</v>
      </c>
      <c r="K360" s="3" t="str">
        <f>VLOOKUP(G360,'[1]Attributes(OUTDATED)'!$A$2:$C$19,3,FALSE)</f>
        <v>A</v>
      </c>
      <c r="L360" s="3">
        <f>VLOOKUP(G360,'[1]Attributes(OUTDATED)'!$A$2:$H$19,8,FALSE)</f>
        <v>1509</v>
      </c>
      <c r="M360" s="3" t="str">
        <f>K360&amp;J360</f>
        <v>AM</v>
      </c>
      <c r="N360" s="3" t="e">
        <f>VLOOKUP(G360,#REF!,2,FALSE)</f>
        <v>#REF!</v>
      </c>
      <c r="O360" s="11">
        <v>45369</v>
      </c>
      <c r="P360" s="13">
        <v>31.3</v>
      </c>
      <c r="Q360" s="13">
        <v>19</v>
      </c>
      <c r="R360" s="13">
        <v>8.1999999999999993</v>
      </c>
      <c r="S360" s="13">
        <f>Table2[[#This Row],[2_Temp_H]]-Table2[[#This Row],[2_Temp_L]]</f>
        <v>23.1</v>
      </c>
      <c r="T360" s="13">
        <v>17.5</v>
      </c>
      <c r="U360" s="13">
        <v>2.6</v>
      </c>
      <c r="V360" s="13">
        <v>1014.9</v>
      </c>
      <c r="W360" s="13">
        <v>1007.79</v>
      </c>
      <c r="X360" s="13">
        <v>0</v>
      </c>
      <c r="Y360" s="13" t="s">
        <v>148</v>
      </c>
      <c r="Z360" s="13" t="s">
        <v>139</v>
      </c>
      <c r="AA360" s="13" t="s">
        <v>26</v>
      </c>
      <c r="AB360" s="13" t="s">
        <v>143</v>
      </c>
      <c r="AC360" s="13" t="s">
        <v>145</v>
      </c>
      <c r="AD360" s="13" t="s">
        <v>137</v>
      </c>
      <c r="AE360" s="13">
        <f>VLOOKUP(Table2[[#This Row],[3_Elephant_ID]],'[1]Attributes(OUTDATED)'!$A$2:$N$19,12,FALSE)</f>
        <v>450</v>
      </c>
      <c r="AF360" s="13">
        <f>VLOOKUP(Table2[[#This Row],[3_Elephant_ID]],'[1]Attributes(OUTDATED)'!$A$2:$N$19,13,FALSE)</f>
        <v>0.375</v>
      </c>
      <c r="AG360" s="13">
        <f>VLOOKUP(Table2[[#This Row],[3_Elephant_ID]],'[1]Attributes(OUTDATED)'!$A$2:$N$19,14,FALSE)</f>
        <v>0.37414375430996583</v>
      </c>
      <c r="AH360" s="13">
        <v>0</v>
      </c>
      <c r="AI360" s="13">
        <v>0</v>
      </c>
      <c r="AJ360" s="13">
        <v>0</v>
      </c>
      <c r="AK360" s="13">
        <v>0</v>
      </c>
      <c r="AL360" s="13">
        <f>VLOOKUP(Table2[[#This Row],[3_Elephant_ID]],'[1]Attributes(OUTDATED)'!$A$2:$P$19,16,FALSE)</f>
        <v>1</v>
      </c>
      <c r="AM360" s="13">
        <f>VLOOKUP(Table2[[#This Row],[3_Elephant_ID]],'[1]Attributes(OUTDATED)'!$A$2:$S$19,17,FALSE)</f>
        <v>48</v>
      </c>
      <c r="AN360" s="13">
        <f>VLOOKUP(Table2[[#This Row],[3_Elephant_ID]],'[1]Attributes(OUTDATED)'!$A$2:$S$19,18,FALSE)</f>
        <v>3</v>
      </c>
    </row>
    <row r="361" spans="1:40" ht="28" x14ac:dyDescent="0.15">
      <c r="A361" s="3">
        <v>363</v>
      </c>
      <c r="B361" s="6">
        <v>2003241008</v>
      </c>
      <c r="C361" s="7">
        <v>20</v>
      </c>
      <c r="D361" s="7">
        <v>3</v>
      </c>
      <c r="E361" s="7">
        <v>2024</v>
      </c>
      <c r="F361" s="5">
        <v>45371</v>
      </c>
      <c r="G361" s="6" t="s">
        <v>12</v>
      </c>
      <c r="H361" s="17">
        <v>0.37202247191011228</v>
      </c>
      <c r="I361" s="20">
        <f>ROUNDUP((Table2[[#This Row],[fGCM_Conc]]*10000),0)</f>
        <v>3721</v>
      </c>
      <c r="J361" s="3" t="str">
        <f>VLOOKUP(G361,'[1]Attributes(OUTDATED)'!$A$2:$C$19,2,FALSE)</f>
        <v>M</v>
      </c>
      <c r="K361" s="3" t="str">
        <f>VLOOKUP(G361,'[1]Attributes(OUTDATED)'!$A$2:$C$19,3,FALSE)</f>
        <v>A</v>
      </c>
      <c r="L361" s="3">
        <f>VLOOKUP(G361,'[1]Attributes(OUTDATED)'!$A$2:$H$19,8,FALSE)</f>
        <v>1509</v>
      </c>
      <c r="M361" s="3" t="str">
        <f>K361&amp;J361</f>
        <v>AM</v>
      </c>
      <c r="N361" s="3" t="e">
        <f>VLOOKUP(G361,#REF!,2,FALSE)</f>
        <v>#REF!</v>
      </c>
      <c r="O361" s="11">
        <v>45369</v>
      </c>
      <c r="P361" s="13">
        <v>31.3</v>
      </c>
      <c r="Q361" s="13">
        <v>19</v>
      </c>
      <c r="R361" s="13">
        <v>8.1999999999999993</v>
      </c>
      <c r="S361" s="13">
        <f>Table2[[#This Row],[2_Temp_H]]-Table2[[#This Row],[2_Temp_L]]</f>
        <v>23.1</v>
      </c>
      <c r="T361" s="13">
        <v>17.5</v>
      </c>
      <c r="U361" s="13">
        <v>2.6</v>
      </c>
      <c r="V361" s="13">
        <v>1014.9</v>
      </c>
      <c r="W361" s="13">
        <v>1007.79</v>
      </c>
      <c r="X361" s="13">
        <v>0</v>
      </c>
      <c r="Y361" s="13" t="s">
        <v>148</v>
      </c>
      <c r="Z361" s="13" t="s">
        <v>139</v>
      </c>
      <c r="AA361" s="13" t="s">
        <v>26</v>
      </c>
      <c r="AB361" s="13" t="s">
        <v>143</v>
      </c>
      <c r="AC361" s="13" t="s">
        <v>145</v>
      </c>
      <c r="AD361" s="13" t="s">
        <v>137</v>
      </c>
      <c r="AE361" s="13">
        <f>VLOOKUP(Table2[[#This Row],[3_Elephant_ID]],'[1]Attributes(OUTDATED)'!$A$2:$N$19,12,FALSE)</f>
        <v>450</v>
      </c>
      <c r="AF361" s="13">
        <f>VLOOKUP(Table2[[#This Row],[3_Elephant_ID]],'[1]Attributes(OUTDATED)'!$A$2:$N$19,13,FALSE)</f>
        <v>0.375</v>
      </c>
      <c r="AG361" s="13">
        <f>VLOOKUP(Table2[[#This Row],[3_Elephant_ID]],'[1]Attributes(OUTDATED)'!$A$2:$N$19,14,FALSE)</f>
        <v>0.37414375430996583</v>
      </c>
      <c r="AH361" s="13">
        <v>0</v>
      </c>
      <c r="AI361" s="13">
        <v>0</v>
      </c>
      <c r="AJ361" s="13">
        <v>0</v>
      </c>
      <c r="AK361" s="13">
        <v>0</v>
      </c>
      <c r="AL361" s="13">
        <f>VLOOKUP(Table2[[#This Row],[3_Elephant_ID]],'[1]Attributes(OUTDATED)'!$A$2:$P$19,16,FALSE)</f>
        <v>1</v>
      </c>
      <c r="AM361" s="13">
        <f>VLOOKUP(Table2[[#This Row],[3_Elephant_ID]],'[1]Attributes(OUTDATED)'!$A$2:$S$19,17,FALSE)</f>
        <v>48</v>
      </c>
      <c r="AN361" s="13">
        <f>VLOOKUP(Table2[[#This Row],[3_Elephant_ID]],'[1]Attributes(OUTDATED)'!$A$2:$S$19,18,FALSE)</f>
        <v>3</v>
      </c>
    </row>
    <row r="362" spans="1:40" ht="28" x14ac:dyDescent="0.15">
      <c r="A362" s="3">
        <v>359</v>
      </c>
      <c r="B362" s="6">
        <v>2003241210</v>
      </c>
      <c r="C362" s="7">
        <v>20</v>
      </c>
      <c r="D362" s="7">
        <v>3</v>
      </c>
      <c r="E362" s="7">
        <v>2024</v>
      </c>
      <c r="F362" s="5">
        <v>45371</v>
      </c>
      <c r="G362" s="6" t="s">
        <v>1</v>
      </c>
      <c r="H362" s="17">
        <v>0.33661682242990654</v>
      </c>
      <c r="I362" s="20">
        <f>ROUNDUP((Table2[[#This Row],[fGCM_Conc]]*10000),0)</f>
        <v>3367</v>
      </c>
      <c r="J362" s="3" t="str">
        <f>VLOOKUP(G362,'[1]Attributes(OUTDATED)'!$A$2:$C$19,2,FALSE)</f>
        <v>F</v>
      </c>
      <c r="K362" s="3" t="str">
        <f>VLOOKUP(G362,'[1]Attributes(OUTDATED)'!$A$2:$C$19,3,FALSE)</f>
        <v>A</v>
      </c>
      <c r="L362" s="3">
        <f>VLOOKUP(G362,'[1]Attributes(OUTDATED)'!$A$2:$H$19,8,FALSE)</f>
        <v>929</v>
      </c>
      <c r="M362" s="3" t="str">
        <f>K362&amp;J362</f>
        <v>AF</v>
      </c>
      <c r="N362" s="3" t="e">
        <f>VLOOKUP(G362,#REF!,2,FALSE)</f>
        <v>#REF!</v>
      </c>
      <c r="O362" s="11">
        <v>45369</v>
      </c>
      <c r="P362" s="13">
        <v>31.3</v>
      </c>
      <c r="Q362" s="13">
        <v>19</v>
      </c>
      <c r="R362" s="13">
        <v>8.1999999999999993</v>
      </c>
      <c r="S362" s="13">
        <f>Table2[[#This Row],[2_Temp_H]]-Table2[[#This Row],[2_Temp_L]]</f>
        <v>23.1</v>
      </c>
      <c r="T362" s="13">
        <v>17.5</v>
      </c>
      <c r="U362" s="13">
        <v>2.6</v>
      </c>
      <c r="V362" s="13">
        <v>1014.9</v>
      </c>
      <c r="W362" s="13">
        <v>1007.79</v>
      </c>
      <c r="X362" s="13">
        <v>0</v>
      </c>
      <c r="Y362" s="13" t="s">
        <v>148</v>
      </c>
      <c r="Z362" s="13" t="s">
        <v>139</v>
      </c>
      <c r="AA362" s="13" t="s">
        <v>26</v>
      </c>
      <c r="AB362" s="13" t="s">
        <v>143</v>
      </c>
      <c r="AC362" s="13" t="s">
        <v>145</v>
      </c>
      <c r="AD362" s="13" t="s">
        <v>137</v>
      </c>
      <c r="AE362" s="13">
        <f>VLOOKUP(Table2[[#This Row],[3_Elephant_ID]],'[1]Attributes(OUTDATED)'!$A$2:$N$19,12,FALSE)</f>
        <v>321</v>
      </c>
      <c r="AF362" s="13">
        <f>VLOOKUP(Table2[[#This Row],[3_Elephant_ID]],'[1]Attributes(OUTDATED)'!$A$2:$N$19,13,FALSE)</f>
        <v>0.17599999999999999</v>
      </c>
      <c r="AG362" s="13">
        <f>VLOOKUP(Table2[[#This Row],[3_Elephant_ID]],'[1]Attributes(OUTDATED)'!$A$2:$N$19,14,FALSE)</f>
        <v>0.17530262753188491</v>
      </c>
      <c r="AH362" s="13">
        <v>0</v>
      </c>
      <c r="AI362" s="13">
        <v>0</v>
      </c>
      <c r="AJ362" s="13">
        <v>0</v>
      </c>
      <c r="AK362" s="13">
        <v>0</v>
      </c>
      <c r="AL362" s="13">
        <f>VLOOKUP(Table2[[#This Row],[3_Elephant_ID]],'[1]Attributes(OUTDATED)'!$A$2:$P$19,16,FALSE)</f>
        <v>1</v>
      </c>
      <c r="AM362" s="13">
        <f>VLOOKUP(Table2[[#This Row],[3_Elephant_ID]],'[1]Attributes(OUTDATED)'!$A$2:$S$19,17,FALSE)</f>
        <v>6</v>
      </c>
      <c r="AN362" s="13">
        <f>VLOOKUP(Table2[[#This Row],[3_Elephant_ID]],'[1]Attributes(OUTDATED)'!$A$2:$S$19,18,FALSE)</f>
        <v>8</v>
      </c>
    </row>
    <row r="363" spans="1:40" ht="28" x14ac:dyDescent="0.15">
      <c r="A363" s="3">
        <v>357</v>
      </c>
      <c r="B363" s="6">
        <v>2003241233</v>
      </c>
      <c r="C363" s="7">
        <v>20</v>
      </c>
      <c r="D363" s="7">
        <v>3</v>
      </c>
      <c r="E363" s="7">
        <v>2024</v>
      </c>
      <c r="F363" s="5">
        <v>45371</v>
      </c>
      <c r="G363" s="6" t="s">
        <v>3</v>
      </c>
      <c r="H363" s="17">
        <v>0.32576923076923081</v>
      </c>
      <c r="I363" s="20">
        <f>ROUNDUP((Table2[[#This Row],[fGCM_Conc]]*10000),0)</f>
        <v>3258</v>
      </c>
      <c r="J363" s="3" t="str">
        <f>VLOOKUP(G363,'[1]Attributes(OUTDATED)'!$A$2:$C$19,2,FALSE)</f>
        <v>M</v>
      </c>
      <c r="K363" s="3" t="str">
        <f>VLOOKUP(G363,'[1]Attributes(OUTDATED)'!$A$2:$C$19,3,FALSE)</f>
        <v>J</v>
      </c>
      <c r="L363" s="3">
        <f>VLOOKUP(G363,'[1]Attributes(OUTDATED)'!$A$2:$H$19,8,FALSE)</f>
        <v>1031</v>
      </c>
      <c r="M363" s="3" t="str">
        <f>K363&amp;J363</f>
        <v>JM</v>
      </c>
      <c r="N363" s="3" t="e">
        <f>VLOOKUP(G363,#REF!,2,FALSE)</f>
        <v>#REF!</v>
      </c>
      <c r="O363" s="11">
        <v>45369</v>
      </c>
      <c r="P363" s="13">
        <v>31.3</v>
      </c>
      <c r="Q363" s="13">
        <v>19</v>
      </c>
      <c r="R363" s="13">
        <v>8.1999999999999993</v>
      </c>
      <c r="S363" s="13">
        <f>Table2[[#This Row],[2_Temp_H]]-Table2[[#This Row],[2_Temp_L]]</f>
        <v>23.1</v>
      </c>
      <c r="T363" s="13">
        <v>17.5</v>
      </c>
      <c r="U363" s="13">
        <v>2.6</v>
      </c>
      <c r="V363" s="13">
        <v>1014.9</v>
      </c>
      <c r="W363" s="13">
        <v>1007.79</v>
      </c>
      <c r="X363" s="13">
        <v>0</v>
      </c>
      <c r="Y363" s="13" t="s">
        <v>148</v>
      </c>
      <c r="Z363" s="13" t="s">
        <v>139</v>
      </c>
      <c r="AA363" s="13" t="s">
        <v>26</v>
      </c>
      <c r="AB363" s="13" t="s">
        <v>143</v>
      </c>
      <c r="AC363" s="13" t="s">
        <v>145</v>
      </c>
      <c r="AD363" s="13" t="s">
        <v>137</v>
      </c>
      <c r="AE363" s="13">
        <f>VLOOKUP(Table2[[#This Row],[3_Elephant_ID]],'[1]Attributes(OUTDATED)'!$A$2:$N$19,12,FALSE)</f>
        <v>234</v>
      </c>
      <c r="AF363" s="13">
        <f>VLOOKUP(Table2[[#This Row],[3_Elephant_ID]],'[1]Attributes(OUTDATED)'!$A$2:$N$19,13,FALSE)</f>
        <v>0.16500000000000001</v>
      </c>
      <c r="AG363" s="13">
        <f>VLOOKUP(Table2[[#This Row],[3_Elephant_ID]],'[1]Attributes(OUTDATED)'!$A$2:$N$19,14,FALSE)</f>
        <v>0.16420161303383449</v>
      </c>
      <c r="AH363" s="13">
        <v>0</v>
      </c>
      <c r="AI363" s="13">
        <v>0</v>
      </c>
      <c r="AJ363" s="13">
        <v>0</v>
      </c>
      <c r="AK363" s="13">
        <v>0</v>
      </c>
      <c r="AL363" s="13">
        <f>VLOOKUP(Table2[[#This Row],[3_Elephant_ID]],'[1]Attributes(OUTDATED)'!$A$2:$P$19,16,FALSE)</f>
        <v>1</v>
      </c>
      <c r="AM363" s="13">
        <f>VLOOKUP(Table2[[#This Row],[3_Elephant_ID]],'[1]Attributes(OUTDATED)'!$A$2:$S$19,17,FALSE)</f>
        <v>9</v>
      </c>
      <c r="AN363" s="13">
        <f>VLOOKUP(Table2[[#This Row],[3_Elephant_ID]],'[1]Attributes(OUTDATED)'!$A$2:$S$19,18,FALSE)</f>
        <v>9</v>
      </c>
    </row>
    <row r="364" spans="1:40" ht="28" x14ac:dyDescent="0.15">
      <c r="A364" s="3">
        <v>364</v>
      </c>
      <c r="B364" s="6">
        <v>2003241007</v>
      </c>
      <c r="C364" s="7">
        <v>20</v>
      </c>
      <c r="D364" s="7">
        <v>3</v>
      </c>
      <c r="E364" s="7">
        <v>2024</v>
      </c>
      <c r="F364" s="5">
        <v>45371</v>
      </c>
      <c r="G364" s="6" t="s">
        <v>7</v>
      </c>
      <c r="H364" s="17">
        <v>0.30555343511450378</v>
      </c>
      <c r="I364" s="20">
        <f>ROUNDUP((Table2[[#This Row],[fGCM_Conc]]*10000),0)</f>
        <v>3056</v>
      </c>
      <c r="J364" s="3" t="str">
        <f>VLOOKUP(G364,'[1]Attributes(OUTDATED)'!$A$2:$C$19,2,FALSE)</f>
        <v>F</v>
      </c>
      <c r="K364" s="3" t="str">
        <f>VLOOKUP(G364,'[1]Attributes(OUTDATED)'!$A$2:$C$19,3,FALSE)</f>
        <v>J</v>
      </c>
      <c r="L364" s="3">
        <f>VLOOKUP(G364,'[1]Attributes(OUTDATED)'!$A$2:$H$19,8,FALSE)</f>
        <v>711</v>
      </c>
      <c r="M364" s="3" t="str">
        <f>K364&amp;J364</f>
        <v>JF</v>
      </c>
      <c r="N364" s="3" t="e">
        <f>VLOOKUP(G364,#REF!,2,FALSE)</f>
        <v>#REF!</v>
      </c>
      <c r="O364" s="11">
        <v>45369</v>
      </c>
      <c r="P364" s="13">
        <v>31.3</v>
      </c>
      <c r="Q364" s="13">
        <v>19</v>
      </c>
      <c r="R364" s="13">
        <v>8.1999999999999993</v>
      </c>
      <c r="S364" s="13">
        <f>Table2[[#This Row],[2_Temp_H]]-Table2[[#This Row],[2_Temp_L]]</f>
        <v>23.1</v>
      </c>
      <c r="T364" s="13">
        <v>17.5</v>
      </c>
      <c r="U364" s="13">
        <v>2.6</v>
      </c>
      <c r="V364" s="13">
        <v>1014.9</v>
      </c>
      <c r="W364" s="13">
        <v>1007.79</v>
      </c>
      <c r="X364" s="13">
        <v>0</v>
      </c>
      <c r="Y364" s="13" t="s">
        <v>148</v>
      </c>
      <c r="Z364" s="13" t="s">
        <v>139</v>
      </c>
      <c r="AA364" s="13" t="s">
        <v>26</v>
      </c>
      <c r="AB364" s="13" t="s">
        <v>143</v>
      </c>
      <c r="AC364" s="13" t="s">
        <v>145</v>
      </c>
      <c r="AD364" s="13" t="s">
        <v>137</v>
      </c>
      <c r="AE364" s="13">
        <f>VLOOKUP(Table2[[#This Row],[3_Elephant_ID]],'[1]Attributes(OUTDATED)'!$A$2:$N$19,12,FALSE)</f>
        <v>398</v>
      </c>
      <c r="AF364" s="13">
        <f>VLOOKUP(Table2[[#This Row],[3_Elephant_ID]],'[1]Attributes(OUTDATED)'!$A$2:$N$19,13,FALSE)</f>
        <v>0.47899999999999998</v>
      </c>
      <c r="AG364" s="13">
        <f>VLOOKUP(Table2[[#This Row],[3_Elephant_ID]],'[1]Attributes(OUTDATED)'!$A$2:$N$19,14,FALSE)</f>
        <v>0.47820662037086947</v>
      </c>
      <c r="AH364" s="13">
        <v>0</v>
      </c>
      <c r="AI364" s="13">
        <v>0</v>
      </c>
      <c r="AJ364" s="13">
        <v>0</v>
      </c>
      <c r="AK364" s="13">
        <v>0</v>
      </c>
      <c r="AL364" s="13">
        <f>VLOOKUP(Table2[[#This Row],[3_Elephant_ID]],'[1]Attributes(OUTDATED)'!$A$2:$P$19,16,FALSE)</f>
        <v>1</v>
      </c>
      <c r="AM364" s="13">
        <f>VLOOKUP(Table2[[#This Row],[3_Elephant_ID]],'[1]Attributes(OUTDATED)'!$A$2:$S$19,17,FALSE)</f>
        <v>0</v>
      </c>
      <c r="AN364" s="13">
        <f>VLOOKUP(Table2[[#This Row],[3_Elephant_ID]],'[1]Attributes(OUTDATED)'!$A$2:$S$19,18,FALSE)</f>
        <v>12</v>
      </c>
    </row>
    <row r="365" spans="1:40" ht="28" x14ac:dyDescent="0.15">
      <c r="A365" s="3">
        <v>356</v>
      </c>
      <c r="B365" s="6">
        <v>2903240904</v>
      </c>
      <c r="C365" s="7">
        <v>29</v>
      </c>
      <c r="D365" s="7">
        <v>3</v>
      </c>
      <c r="E365" s="7">
        <v>2024</v>
      </c>
      <c r="F365" s="5">
        <v>45380</v>
      </c>
      <c r="G365" s="6" t="s">
        <v>10</v>
      </c>
      <c r="H365" s="17">
        <v>0.57028735632183913</v>
      </c>
      <c r="I365" s="20">
        <f>ROUNDUP((Table2[[#This Row],[fGCM_Conc]]*10000),0)</f>
        <v>5703</v>
      </c>
      <c r="J365" s="3" t="str">
        <f>VLOOKUP(G365,'[1]Attributes(OUTDATED)'!$A$2:$C$19,2,FALSE)</f>
        <v>F</v>
      </c>
      <c r="K365" s="3" t="str">
        <f>VLOOKUP(G365,'[1]Attributes(OUTDATED)'!$A$2:$C$19,3,FALSE)</f>
        <v>A</v>
      </c>
      <c r="L365" s="3">
        <f>VLOOKUP(G365,'[1]Attributes(OUTDATED)'!$A$2:$H$19,8,FALSE)</f>
        <v>1146</v>
      </c>
      <c r="M365" s="3" t="str">
        <f>K365&amp;J365</f>
        <v>AF</v>
      </c>
      <c r="N365" s="3" t="e">
        <f>VLOOKUP(G365,#REF!,2,FALSE)</f>
        <v>#REF!</v>
      </c>
      <c r="O365" s="11">
        <v>45378</v>
      </c>
      <c r="P365" s="13">
        <v>23.6</v>
      </c>
      <c r="Q365" s="13">
        <v>17.899999999999999</v>
      </c>
      <c r="R365" s="13">
        <v>15.4</v>
      </c>
      <c r="S365" s="13">
        <f>Table2[[#This Row],[2_Temp_H]]-Table2[[#This Row],[2_Temp_L]]</f>
        <v>8.2000000000000011</v>
      </c>
      <c r="T365" s="13">
        <v>26.2</v>
      </c>
      <c r="U365" s="13">
        <v>2.7</v>
      </c>
      <c r="V365" s="13">
        <v>1016.93</v>
      </c>
      <c r="W365" s="13">
        <v>1012.87</v>
      </c>
      <c r="X365" s="13">
        <v>5.59</v>
      </c>
      <c r="Y365" s="13" t="s">
        <v>148</v>
      </c>
      <c r="Z365" s="16" t="s">
        <v>171</v>
      </c>
      <c r="AA365" s="13" t="s">
        <v>137</v>
      </c>
      <c r="AB365" s="13" t="s">
        <v>143</v>
      </c>
      <c r="AC365" s="13" t="s">
        <v>145</v>
      </c>
      <c r="AD365" s="13" t="s">
        <v>137</v>
      </c>
      <c r="AE365" s="13">
        <f>VLOOKUP(Table2[[#This Row],[3_Elephant_ID]],'[1]Attributes(OUTDATED)'!$A$2:$N$19,12,FALSE)</f>
        <v>424</v>
      </c>
      <c r="AF365" s="13">
        <f>VLOOKUP(Table2[[#This Row],[3_Elephant_ID]],'[1]Attributes(OUTDATED)'!$A$2:$N$19,13,FALSE)</f>
        <v>0.10299999999999999</v>
      </c>
      <c r="AG365" s="13">
        <f>VLOOKUP(Table2[[#This Row],[3_Elephant_ID]],'[1]Attributes(OUTDATED)'!$A$2:$N$19,14,FALSE)</f>
        <v>0.10282190709599449</v>
      </c>
      <c r="AH365" s="13">
        <v>0</v>
      </c>
      <c r="AI365" s="13">
        <v>0</v>
      </c>
      <c r="AJ365" s="13">
        <v>0</v>
      </c>
      <c r="AK365" s="13">
        <v>0</v>
      </c>
      <c r="AL365" s="13">
        <f>VLOOKUP(Table2[[#This Row],[3_Elephant_ID]],'[1]Attributes(OUTDATED)'!$A$2:$P$19,16,FALSE)</f>
        <v>1</v>
      </c>
      <c r="AM365" s="13">
        <f>VLOOKUP(Table2[[#This Row],[3_Elephant_ID]],'[1]Attributes(OUTDATED)'!$A$2:$S$19,17,FALSE)</f>
        <v>9</v>
      </c>
      <c r="AN365" s="13">
        <f>VLOOKUP(Table2[[#This Row],[3_Elephant_ID]],'[1]Attributes(OUTDATED)'!$A$2:$S$19,18,FALSE)</f>
        <v>8</v>
      </c>
    </row>
    <row r="366" spans="1:40" ht="28" x14ac:dyDescent="0.15">
      <c r="A366" s="3">
        <v>355</v>
      </c>
      <c r="B366" s="6">
        <v>3003241506</v>
      </c>
      <c r="C366" s="7">
        <v>30</v>
      </c>
      <c r="D366" s="7">
        <v>3</v>
      </c>
      <c r="E366" s="7">
        <v>2024</v>
      </c>
      <c r="F366" s="5">
        <v>45381</v>
      </c>
      <c r="G366" s="6" t="s">
        <v>16</v>
      </c>
      <c r="H366" s="17">
        <v>0.5099999999999999</v>
      </c>
      <c r="I366" s="20">
        <f>ROUNDUP((Table2[[#This Row],[fGCM_Conc]]*10000),0)</f>
        <v>5100</v>
      </c>
      <c r="J366" s="3" t="str">
        <f>VLOOKUP(G366,'[1]Attributes(OUTDATED)'!$A$2:$C$19,2,FALSE)</f>
        <v>F</v>
      </c>
      <c r="K366" s="3" t="str">
        <f>VLOOKUP(G366,'[1]Attributes(OUTDATED)'!$A$2:$C$19,3,FALSE)</f>
        <v>A</v>
      </c>
      <c r="L366" s="3">
        <f>VLOOKUP(G366,'[1]Attributes(OUTDATED)'!$A$2:$H$19,8,FALSE)</f>
        <v>1346</v>
      </c>
      <c r="M366" s="3" t="str">
        <f>K366&amp;J366</f>
        <v>AF</v>
      </c>
      <c r="N366" s="3" t="e">
        <f>VLOOKUP(G366,#REF!,2,FALSE)</f>
        <v>#REF!</v>
      </c>
      <c r="O366" s="11">
        <v>45379</v>
      </c>
      <c r="P366" s="13">
        <v>25.5</v>
      </c>
      <c r="Q366" s="13">
        <v>19.2</v>
      </c>
      <c r="R366" s="13">
        <v>15</v>
      </c>
      <c r="S366" s="13">
        <f>Table2[[#This Row],[2_Temp_H]]-Table2[[#This Row],[2_Temp_L]]</f>
        <v>10.5</v>
      </c>
      <c r="T366" s="13">
        <v>20.399999999999999</v>
      </c>
      <c r="U366" s="13">
        <v>3.4</v>
      </c>
      <c r="V366" s="13">
        <v>1015.92</v>
      </c>
      <c r="W366" s="13">
        <v>1011.85</v>
      </c>
      <c r="X366" s="13">
        <v>0</v>
      </c>
      <c r="Y366" s="13" t="s">
        <v>148</v>
      </c>
      <c r="Z366" s="16" t="s">
        <v>171</v>
      </c>
      <c r="AA366" s="13" t="s">
        <v>137</v>
      </c>
      <c r="AB366" s="13" t="s">
        <v>143</v>
      </c>
      <c r="AC366" s="13" t="s">
        <v>145</v>
      </c>
      <c r="AD366" s="13" t="s">
        <v>137</v>
      </c>
      <c r="AE366" s="13">
        <f>VLOOKUP(Table2[[#This Row],[3_Elephant_ID]],'[1]Attributes(OUTDATED)'!$A$2:$N$19,12,FALSE)</f>
        <v>474</v>
      </c>
      <c r="AF366" s="13">
        <f>VLOOKUP(Table2[[#This Row],[3_Elephant_ID]],'[1]Attributes(OUTDATED)'!$A$2:$N$19,13,FALSE)</f>
        <v>0.121</v>
      </c>
      <c r="AG366" s="13">
        <f>VLOOKUP(Table2[[#This Row],[3_Elephant_ID]],'[1]Attributes(OUTDATED)'!$A$2:$N$19,14,FALSE)</f>
        <v>0.1206993463154281</v>
      </c>
      <c r="AH366" s="13">
        <v>0</v>
      </c>
      <c r="AI366" s="13">
        <v>0</v>
      </c>
      <c r="AJ366" s="13">
        <v>0</v>
      </c>
      <c r="AK366" s="13">
        <v>0</v>
      </c>
      <c r="AL366" s="13">
        <f>VLOOKUP(Table2[[#This Row],[3_Elephant_ID]],'[1]Attributes(OUTDATED)'!$A$2:$P$19,16,FALSE)</f>
        <v>1</v>
      </c>
      <c r="AM366" s="13">
        <f>VLOOKUP(Table2[[#This Row],[3_Elephant_ID]],'[1]Attributes(OUTDATED)'!$A$2:$S$19,17,FALSE)</f>
        <v>16</v>
      </c>
      <c r="AN366" s="13">
        <f>VLOOKUP(Table2[[#This Row],[3_Elephant_ID]],'[1]Attributes(OUTDATED)'!$A$2:$S$19,18,FALSE)</f>
        <v>1</v>
      </c>
    </row>
    <row r="367" spans="1:40" ht="28" x14ac:dyDescent="0.15">
      <c r="A367" s="3">
        <v>354</v>
      </c>
      <c r="B367" s="6">
        <v>3103240810</v>
      </c>
      <c r="C367" s="7">
        <v>31</v>
      </c>
      <c r="D367" s="7">
        <v>3</v>
      </c>
      <c r="E367" s="7">
        <v>2024</v>
      </c>
      <c r="F367" s="5">
        <v>45382</v>
      </c>
      <c r="G367" s="6" t="s">
        <v>3</v>
      </c>
      <c r="H367" s="17">
        <v>0.7238446601941747</v>
      </c>
      <c r="I367" s="20">
        <f>ROUNDUP((Table2[[#This Row],[fGCM_Conc]]*10000),0)</f>
        <v>7239</v>
      </c>
      <c r="J367" s="3" t="str">
        <f>VLOOKUP(G367,'[1]Attributes(OUTDATED)'!$A$2:$C$19,2,FALSE)</f>
        <v>M</v>
      </c>
      <c r="K367" s="3" t="str">
        <f>VLOOKUP(G367,'[1]Attributes(OUTDATED)'!$A$2:$C$19,3,FALSE)</f>
        <v>J</v>
      </c>
      <c r="L367" s="3">
        <f>VLOOKUP(G367,'[1]Attributes(OUTDATED)'!$A$2:$H$19,8,FALSE)</f>
        <v>1031</v>
      </c>
      <c r="M367" s="3" t="str">
        <f>K367&amp;J367</f>
        <v>JM</v>
      </c>
      <c r="N367" s="3" t="e">
        <f>VLOOKUP(G367,#REF!,2,FALSE)</f>
        <v>#REF!</v>
      </c>
      <c r="O367" s="11">
        <v>45380</v>
      </c>
      <c r="P367" s="13">
        <v>24.5</v>
      </c>
      <c r="Q367" s="13">
        <v>17.899999999999999</v>
      </c>
      <c r="R367" s="13">
        <v>13.2</v>
      </c>
      <c r="S367" s="13">
        <f>Table2[[#This Row],[2_Temp_H]]-Table2[[#This Row],[2_Temp_L]]</f>
        <v>11.3</v>
      </c>
      <c r="T367" s="13">
        <v>15</v>
      </c>
      <c r="U367" s="13">
        <v>2.4</v>
      </c>
      <c r="V367" s="13">
        <v>1015.92</v>
      </c>
      <c r="W367" s="13">
        <v>1012.87</v>
      </c>
      <c r="X367" s="13">
        <v>0</v>
      </c>
      <c r="Y367" s="13" t="s">
        <v>148</v>
      </c>
      <c r="Z367" s="16" t="s">
        <v>171</v>
      </c>
      <c r="AA367" s="13" t="s">
        <v>137</v>
      </c>
      <c r="AB367" s="13" t="s">
        <v>143</v>
      </c>
      <c r="AC367" s="13" t="s">
        <v>145</v>
      </c>
      <c r="AD367" s="13" t="s">
        <v>137</v>
      </c>
      <c r="AE367" s="13">
        <f>VLOOKUP(Table2[[#This Row],[3_Elephant_ID]],'[1]Attributes(OUTDATED)'!$A$2:$N$19,12,FALSE)</f>
        <v>234</v>
      </c>
      <c r="AF367" s="13">
        <f>VLOOKUP(Table2[[#This Row],[3_Elephant_ID]],'[1]Attributes(OUTDATED)'!$A$2:$N$19,13,FALSE)</f>
        <v>0.16500000000000001</v>
      </c>
      <c r="AG367" s="13">
        <f>VLOOKUP(Table2[[#This Row],[3_Elephant_ID]],'[1]Attributes(OUTDATED)'!$A$2:$N$19,14,FALSE)</f>
        <v>0.16420161303383449</v>
      </c>
      <c r="AH367" s="13">
        <v>0</v>
      </c>
      <c r="AI367" s="13">
        <v>0</v>
      </c>
      <c r="AJ367" s="13">
        <v>0</v>
      </c>
      <c r="AK367" s="13">
        <v>0</v>
      </c>
      <c r="AL367" s="13">
        <f>VLOOKUP(Table2[[#This Row],[3_Elephant_ID]],'[1]Attributes(OUTDATED)'!$A$2:$P$19,16,FALSE)</f>
        <v>1</v>
      </c>
      <c r="AM367" s="13">
        <f>VLOOKUP(Table2[[#This Row],[3_Elephant_ID]],'[1]Attributes(OUTDATED)'!$A$2:$S$19,17,FALSE)</f>
        <v>9</v>
      </c>
      <c r="AN367" s="13">
        <f>VLOOKUP(Table2[[#This Row],[3_Elephant_ID]],'[1]Attributes(OUTDATED)'!$A$2:$S$19,18,FALSE)</f>
        <v>9</v>
      </c>
    </row>
    <row r="368" spans="1:40" ht="28" x14ac:dyDescent="0.15">
      <c r="A368" s="3">
        <v>352</v>
      </c>
      <c r="B368" s="6">
        <v>3103240901</v>
      </c>
      <c r="C368" s="7">
        <v>31</v>
      </c>
      <c r="D368" s="7">
        <v>3</v>
      </c>
      <c r="E368" s="7">
        <v>2024</v>
      </c>
      <c r="F368" s="5">
        <v>45382</v>
      </c>
      <c r="G368" s="6" t="s">
        <v>5</v>
      </c>
      <c r="H368" s="17">
        <v>0.67572222222222222</v>
      </c>
      <c r="I368" s="20">
        <f>ROUNDUP((Table2[[#This Row],[fGCM_Conc]]*10000),0)</f>
        <v>6758</v>
      </c>
      <c r="J368" s="3" t="str">
        <f>VLOOKUP(G368,'[1]Attributes(OUTDATED)'!$A$2:$C$19,2,FALSE)</f>
        <v>M</v>
      </c>
      <c r="K368" s="3" t="str">
        <f>VLOOKUP(G368,'[1]Attributes(OUTDATED)'!$A$2:$C$19,3,FALSE)</f>
        <v>J</v>
      </c>
      <c r="L368" s="3">
        <f>VLOOKUP(G368,'[1]Attributes(OUTDATED)'!$A$2:$H$19,8,FALSE)</f>
        <v>940</v>
      </c>
      <c r="M368" s="3" t="str">
        <f>K368&amp;J368</f>
        <v>JM</v>
      </c>
      <c r="N368" s="3" t="e">
        <f>VLOOKUP(G368,#REF!,2,FALSE)</f>
        <v>#REF!</v>
      </c>
      <c r="O368" s="11">
        <v>45380</v>
      </c>
      <c r="P368" s="13">
        <v>24.5</v>
      </c>
      <c r="Q368" s="13">
        <v>17.899999999999999</v>
      </c>
      <c r="R368" s="13">
        <v>13.2</v>
      </c>
      <c r="S368" s="13">
        <f>Table2[[#This Row],[2_Temp_H]]-Table2[[#This Row],[2_Temp_L]]</f>
        <v>11.3</v>
      </c>
      <c r="T368" s="13">
        <v>15</v>
      </c>
      <c r="U368" s="13">
        <v>2.4</v>
      </c>
      <c r="V368" s="13">
        <v>1015.92</v>
      </c>
      <c r="W368" s="13">
        <v>1012.87</v>
      </c>
      <c r="X368" s="13">
        <v>0</v>
      </c>
      <c r="Y368" s="13" t="s">
        <v>148</v>
      </c>
      <c r="Z368" s="16" t="s">
        <v>171</v>
      </c>
      <c r="AA368" s="13" t="s">
        <v>137</v>
      </c>
      <c r="AB368" s="13" t="s">
        <v>143</v>
      </c>
      <c r="AC368" s="13" t="s">
        <v>145</v>
      </c>
      <c r="AD368" s="13" t="s">
        <v>137</v>
      </c>
      <c r="AE368" s="13">
        <f>VLOOKUP(Table2[[#This Row],[3_Elephant_ID]],'[1]Attributes(OUTDATED)'!$A$2:$N$19,12,FALSE)</f>
        <v>361</v>
      </c>
      <c r="AF368" s="13">
        <f>VLOOKUP(Table2[[#This Row],[3_Elephant_ID]],'[1]Attributes(OUTDATED)'!$A$2:$N$19,13,FALSE)</f>
        <v>0.40600000000000003</v>
      </c>
      <c r="AG368" s="13">
        <f>VLOOKUP(Table2[[#This Row],[3_Elephant_ID]],'[1]Attributes(OUTDATED)'!$A$2:$N$19,14,FALSE)</f>
        <v>0.40590323220736402</v>
      </c>
      <c r="AH368" s="13">
        <v>0</v>
      </c>
      <c r="AI368" s="13">
        <v>0</v>
      </c>
      <c r="AJ368" s="13">
        <v>0</v>
      </c>
      <c r="AK368" s="13">
        <v>0</v>
      </c>
      <c r="AL368" s="13">
        <f>VLOOKUP(Table2[[#This Row],[3_Elephant_ID]],'[1]Attributes(OUTDATED)'!$A$2:$P$19,16,FALSE)</f>
        <v>1</v>
      </c>
      <c r="AM368" s="13">
        <f>VLOOKUP(Table2[[#This Row],[3_Elephant_ID]],'[1]Attributes(OUTDATED)'!$A$2:$S$19,17,FALSE)</f>
        <v>2</v>
      </c>
      <c r="AN368" s="13">
        <f>VLOOKUP(Table2[[#This Row],[3_Elephant_ID]],'[1]Attributes(OUTDATED)'!$A$2:$S$19,18,FALSE)</f>
        <v>7</v>
      </c>
    </row>
    <row r="369" spans="1:40" ht="28" x14ac:dyDescent="0.15">
      <c r="A369" s="3">
        <v>351</v>
      </c>
      <c r="B369" s="6">
        <v>3103240947</v>
      </c>
      <c r="C369" s="7">
        <v>31</v>
      </c>
      <c r="D369" s="7">
        <v>3</v>
      </c>
      <c r="E369" s="7">
        <v>2024</v>
      </c>
      <c r="F369" s="5">
        <v>45382</v>
      </c>
      <c r="G369" s="6" t="s">
        <v>10</v>
      </c>
      <c r="H369" s="17">
        <v>0.66444664031620548</v>
      </c>
      <c r="I369" s="20">
        <f>ROUNDUP((Table2[[#This Row],[fGCM_Conc]]*10000),0)</f>
        <v>6645</v>
      </c>
      <c r="J369" s="3" t="str">
        <f>VLOOKUP(G369,'[1]Attributes(OUTDATED)'!$A$2:$C$19,2,FALSE)</f>
        <v>F</v>
      </c>
      <c r="K369" s="3" t="str">
        <f>VLOOKUP(G369,'[1]Attributes(OUTDATED)'!$A$2:$C$19,3,FALSE)</f>
        <v>A</v>
      </c>
      <c r="L369" s="3">
        <f>VLOOKUP(G369,'[1]Attributes(OUTDATED)'!$A$2:$H$19,8,FALSE)</f>
        <v>1146</v>
      </c>
      <c r="M369" s="3" t="str">
        <f>K369&amp;J369</f>
        <v>AF</v>
      </c>
      <c r="N369" s="3" t="e">
        <f>VLOOKUP(G369,#REF!,2,FALSE)</f>
        <v>#REF!</v>
      </c>
      <c r="O369" s="11">
        <v>45380</v>
      </c>
      <c r="P369" s="13">
        <v>24.5</v>
      </c>
      <c r="Q369" s="13">
        <v>17.899999999999999</v>
      </c>
      <c r="R369" s="13">
        <v>13.2</v>
      </c>
      <c r="S369" s="13">
        <f>Table2[[#This Row],[2_Temp_H]]-Table2[[#This Row],[2_Temp_L]]</f>
        <v>11.3</v>
      </c>
      <c r="T369" s="13">
        <v>15</v>
      </c>
      <c r="U369" s="13">
        <v>2.4</v>
      </c>
      <c r="V369" s="13">
        <v>1015.92</v>
      </c>
      <c r="W369" s="13">
        <v>1012.87</v>
      </c>
      <c r="X369" s="13">
        <v>0</v>
      </c>
      <c r="Y369" s="13" t="s">
        <v>148</v>
      </c>
      <c r="Z369" s="16" t="s">
        <v>171</v>
      </c>
      <c r="AA369" s="13" t="s">
        <v>137</v>
      </c>
      <c r="AB369" s="13" t="s">
        <v>143</v>
      </c>
      <c r="AC369" s="13" t="s">
        <v>145</v>
      </c>
      <c r="AD369" s="13" t="s">
        <v>137</v>
      </c>
      <c r="AE369" s="13">
        <f>VLOOKUP(Table2[[#This Row],[3_Elephant_ID]],'[1]Attributes(OUTDATED)'!$A$2:$N$19,12,FALSE)</f>
        <v>424</v>
      </c>
      <c r="AF369" s="13">
        <f>VLOOKUP(Table2[[#This Row],[3_Elephant_ID]],'[1]Attributes(OUTDATED)'!$A$2:$N$19,13,FALSE)</f>
        <v>0.10299999999999999</v>
      </c>
      <c r="AG369" s="13">
        <f>VLOOKUP(Table2[[#This Row],[3_Elephant_ID]],'[1]Attributes(OUTDATED)'!$A$2:$N$19,14,FALSE)</f>
        <v>0.10282190709599449</v>
      </c>
      <c r="AH369" s="13">
        <v>0</v>
      </c>
      <c r="AI369" s="13">
        <v>0</v>
      </c>
      <c r="AJ369" s="13">
        <v>0</v>
      </c>
      <c r="AK369" s="13">
        <v>0</v>
      </c>
      <c r="AL369" s="13">
        <f>VLOOKUP(Table2[[#This Row],[3_Elephant_ID]],'[1]Attributes(OUTDATED)'!$A$2:$P$19,16,FALSE)</f>
        <v>1</v>
      </c>
      <c r="AM369" s="13">
        <f>VLOOKUP(Table2[[#This Row],[3_Elephant_ID]],'[1]Attributes(OUTDATED)'!$A$2:$S$19,17,FALSE)</f>
        <v>9</v>
      </c>
      <c r="AN369" s="13">
        <f>VLOOKUP(Table2[[#This Row],[3_Elephant_ID]],'[1]Attributes(OUTDATED)'!$A$2:$S$19,18,FALSE)</f>
        <v>8</v>
      </c>
    </row>
    <row r="370" spans="1:40" ht="28" x14ac:dyDescent="0.15">
      <c r="A370" s="3">
        <v>349</v>
      </c>
      <c r="B370" s="6">
        <v>3103241306</v>
      </c>
      <c r="C370" s="7">
        <v>31</v>
      </c>
      <c r="D370" s="7">
        <v>3</v>
      </c>
      <c r="E370" s="7">
        <v>2024</v>
      </c>
      <c r="F370" s="5">
        <v>45382</v>
      </c>
      <c r="G370" s="6" t="s">
        <v>17</v>
      </c>
      <c r="H370" s="17">
        <v>0.65411428571428576</v>
      </c>
      <c r="I370" s="20">
        <f>ROUNDUP((Table2[[#This Row],[fGCM_Conc]]*10000),0)</f>
        <v>6542</v>
      </c>
      <c r="J370" s="3" t="str">
        <f>VLOOKUP(G370,'[1]Attributes(OUTDATED)'!$A$2:$C$19,2,FALSE)</f>
        <v>M</v>
      </c>
      <c r="K370" s="3" t="str">
        <f>VLOOKUP(G370,'[1]Attributes(OUTDATED)'!$A$2:$C$19,3,FALSE)</f>
        <v>J</v>
      </c>
      <c r="L370" s="3">
        <f>VLOOKUP(G370,'[1]Attributes(OUTDATED)'!$A$2:$H$19,8,FALSE)</f>
        <v>699</v>
      </c>
      <c r="M370" s="3" t="str">
        <f>K370&amp;J370</f>
        <v>JM</v>
      </c>
      <c r="N370" s="3" t="e">
        <f>VLOOKUP(G370,#REF!,2,FALSE)</f>
        <v>#REF!</v>
      </c>
      <c r="O370" s="11">
        <v>45380</v>
      </c>
      <c r="P370" s="13">
        <v>24.5</v>
      </c>
      <c r="Q370" s="13">
        <v>17.899999999999999</v>
      </c>
      <c r="R370" s="13">
        <v>13.2</v>
      </c>
      <c r="S370" s="13">
        <f>Table2[[#This Row],[2_Temp_H]]-Table2[[#This Row],[2_Temp_L]]</f>
        <v>11.3</v>
      </c>
      <c r="T370" s="13">
        <v>15</v>
      </c>
      <c r="U370" s="13">
        <v>2.4</v>
      </c>
      <c r="V370" s="13">
        <v>1015.92</v>
      </c>
      <c r="W370" s="13">
        <v>1012.87</v>
      </c>
      <c r="X370" s="13">
        <v>0</v>
      </c>
      <c r="Y370" s="13" t="s">
        <v>148</v>
      </c>
      <c r="Z370" s="16" t="s">
        <v>171</v>
      </c>
      <c r="AA370" s="13" t="s">
        <v>137</v>
      </c>
      <c r="AB370" s="13" t="s">
        <v>143</v>
      </c>
      <c r="AC370" s="13" t="s">
        <v>145</v>
      </c>
      <c r="AD370" s="13" t="s">
        <v>137</v>
      </c>
      <c r="AE370" s="13">
        <f>VLOOKUP(Table2[[#This Row],[3_Elephant_ID]],'[1]Attributes(OUTDATED)'!$A$2:$N$19,12,FALSE)</f>
        <v>343</v>
      </c>
      <c r="AF370" s="13">
        <f>VLOOKUP(Table2[[#This Row],[3_Elephant_ID]],'[1]Attributes(OUTDATED)'!$A$2:$N$19,13,FALSE)</f>
        <v>0.81</v>
      </c>
      <c r="AG370" s="13">
        <f>VLOOKUP(Table2[[#This Row],[3_Elephant_ID]],'[1]Attributes(OUTDATED)'!$A$2:$N$19,14,FALSE)</f>
        <v>0.80966774571167055</v>
      </c>
      <c r="AH370" s="13">
        <v>0</v>
      </c>
      <c r="AI370" s="13">
        <v>0</v>
      </c>
      <c r="AJ370" s="13">
        <v>0</v>
      </c>
      <c r="AK370" s="13">
        <v>0</v>
      </c>
      <c r="AL370" s="13">
        <f>VLOOKUP(Table2[[#This Row],[3_Elephant_ID]],'[1]Attributes(OUTDATED)'!$A$2:$P$19,16,FALSE)</f>
        <v>1</v>
      </c>
      <c r="AM370" s="13">
        <f>VLOOKUP(Table2[[#This Row],[3_Elephant_ID]],'[1]Attributes(OUTDATED)'!$A$2:$S$19,17,FALSE)</f>
        <v>0</v>
      </c>
      <c r="AN370" s="13">
        <f>VLOOKUP(Table2[[#This Row],[3_Elephant_ID]],'[1]Attributes(OUTDATED)'!$A$2:$S$19,18,FALSE)</f>
        <v>8</v>
      </c>
    </row>
    <row r="371" spans="1:40" ht="28" x14ac:dyDescent="0.15">
      <c r="A371" s="3">
        <v>350</v>
      </c>
      <c r="B371" s="6">
        <v>3103240957</v>
      </c>
      <c r="C371" s="7">
        <v>31</v>
      </c>
      <c r="D371" s="7">
        <v>3</v>
      </c>
      <c r="E371" s="7">
        <v>2024</v>
      </c>
      <c r="F371" s="5">
        <v>45382</v>
      </c>
      <c r="G371" s="6" t="s">
        <v>2</v>
      </c>
      <c r="H371" s="17">
        <v>0.64457943925233629</v>
      </c>
      <c r="I371" s="20">
        <f>ROUNDUP((Table2[[#This Row],[fGCM_Conc]]*10000),0)</f>
        <v>6446</v>
      </c>
      <c r="J371" s="3" t="str">
        <f>VLOOKUP(G371,'[1]Attributes(OUTDATED)'!$A$2:$C$19,2,FALSE)</f>
        <v>F</v>
      </c>
      <c r="K371" s="3" t="str">
        <f>VLOOKUP(G371,'[1]Attributes(OUTDATED)'!$A$2:$C$19,3,FALSE)</f>
        <v>A</v>
      </c>
      <c r="L371" s="3">
        <f>VLOOKUP(G371,'[1]Attributes(OUTDATED)'!$A$2:$H$19,8,FALSE)</f>
        <v>892</v>
      </c>
      <c r="M371" s="3" t="str">
        <f>K371&amp;J371</f>
        <v>AF</v>
      </c>
      <c r="N371" s="3" t="e">
        <f>VLOOKUP(G371,#REF!,2,FALSE)</f>
        <v>#REF!</v>
      </c>
      <c r="O371" s="11">
        <v>45380</v>
      </c>
      <c r="P371" s="13">
        <v>24.5</v>
      </c>
      <c r="Q371" s="13">
        <v>17.899999999999999</v>
      </c>
      <c r="R371" s="13">
        <v>13.2</v>
      </c>
      <c r="S371" s="13">
        <f>Table2[[#This Row],[2_Temp_H]]-Table2[[#This Row],[2_Temp_L]]</f>
        <v>11.3</v>
      </c>
      <c r="T371" s="13">
        <v>15</v>
      </c>
      <c r="U371" s="13">
        <v>2.4</v>
      </c>
      <c r="V371" s="13">
        <v>1015.92</v>
      </c>
      <c r="W371" s="13">
        <v>1012.87</v>
      </c>
      <c r="X371" s="13">
        <v>0</v>
      </c>
      <c r="Y371" s="13" t="s">
        <v>148</v>
      </c>
      <c r="Z371" s="16" t="s">
        <v>171</v>
      </c>
      <c r="AA371" s="13" t="s">
        <v>137</v>
      </c>
      <c r="AB371" s="13" t="s">
        <v>143</v>
      </c>
      <c r="AC371" s="13" t="s">
        <v>145</v>
      </c>
      <c r="AD371" s="13" t="s">
        <v>137</v>
      </c>
      <c r="AE371" s="13">
        <f>VLOOKUP(Table2[[#This Row],[3_Elephant_ID]],'[1]Attributes(OUTDATED)'!$A$2:$N$19,12,FALSE)</f>
        <v>378</v>
      </c>
      <c r="AF371" s="13">
        <f>VLOOKUP(Table2[[#This Row],[3_Elephant_ID]],'[1]Attributes(OUTDATED)'!$A$2:$N$19,13,FALSE)</f>
        <v>8.6999999999999994E-2</v>
      </c>
      <c r="AG371" s="13">
        <f>VLOOKUP(Table2[[#This Row],[3_Elephant_ID]],'[1]Attributes(OUTDATED)'!$A$2:$N$19,14,FALSE)</f>
        <v>8.6599138783086713E-2</v>
      </c>
      <c r="AH371" s="13">
        <v>0</v>
      </c>
      <c r="AI371" s="13">
        <v>0</v>
      </c>
      <c r="AJ371" s="13">
        <v>0</v>
      </c>
      <c r="AK371" s="13">
        <v>0</v>
      </c>
      <c r="AL371" s="13">
        <f>VLOOKUP(Table2[[#This Row],[3_Elephant_ID]],'[1]Attributes(OUTDATED)'!$A$2:$P$19,16,FALSE)</f>
        <v>1</v>
      </c>
      <c r="AM371" s="13">
        <f>VLOOKUP(Table2[[#This Row],[3_Elephant_ID]],'[1]Attributes(OUTDATED)'!$A$2:$S$19,17,FALSE)</f>
        <v>4</v>
      </c>
      <c r="AN371" s="13">
        <f>VLOOKUP(Table2[[#This Row],[3_Elephant_ID]],'[1]Attributes(OUTDATED)'!$A$2:$S$19,18,FALSE)</f>
        <v>20</v>
      </c>
    </row>
    <row r="372" spans="1:40" ht="28" x14ac:dyDescent="0.15">
      <c r="A372" s="3">
        <v>353</v>
      </c>
      <c r="B372" s="6">
        <v>3103240821</v>
      </c>
      <c r="C372" s="7">
        <v>31</v>
      </c>
      <c r="D372" s="7">
        <v>3</v>
      </c>
      <c r="E372" s="7">
        <v>2024</v>
      </c>
      <c r="F372" s="5">
        <v>45382</v>
      </c>
      <c r="G372" s="6" t="s">
        <v>31</v>
      </c>
      <c r="H372" s="17">
        <v>0.64067039106145263</v>
      </c>
      <c r="I372" s="20">
        <f>ROUNDUP((Table2[[#This Row],[fGCM_Conc]]*10000),0)</f>
        <v>6407</v>
      </c>
      <c r="J372" s="3" t="str">
        <f>VLOOKUP(G372,'[1]Attributes(OUTDATED)'!$A$2:$C$19,2,FALSE)</f>
        <v>F</v>
      </c>
      <c r="K372" s="3" t="str">
        <f>VLOOKUP(G372,'[1]Attributes(OUTDATED)'!$A$2:$C$19,3,FALSE)</f>
        <v>J</v>
      </c>
      <c r="L372" s="3">
        <f>VLOOKUP(G372,'[1]Attributes(OUTDATED)'!$A$2:$H$19,8,FALSE)</f>
        <v>765</v>
      </c>
      <c r="M372" s="3" t="str">
        <f>K372&amp;J372</f>
        <v>JF</v>
      </c>
      <c r="N372" s="3" t="e">
        <f>VLOOKUP(G372,#REF!,2,FALSE)</f>
        <v>#REF!</v>
      </c>
      <c r="O372" s="11">
        <v>45380</v>
      </c>
      <c r="P372" s="13">
        <v>24.5</v>
      </c>
      <c r="Q372" s="13">
        <v>17.899999999999999</v>
      </c>
      <c r="R372" s="13">
        <v>13.2</v>
      </c>
      <c r="S372" s="13">
        <f>Table2[[#This Row],[2_Temp_H]]-Table2[[#This Row],[2_Temp_L]]</f>
        <v>11.3</v>
      </c>
      <c r="T372" s="13">
        <v>15</v>
      </c>
      <c r="U372" s="13">
        <v>2.4</v>
      </c>
      <c r="V372" s="13">
        <v>1015.92</v>
      </c>
      <c r="W372" s="13">
        <v>1012.87</v>
      </c>
      <c r="X372" s="13">
        <v>0</v>
      </c>
      <c r="Y372" s="13" t="s">
        <v>148</v>
      </c>
      <c r="Z372" s="16" t="s">
        <v>171</v>
      </c>
      <c r="AA372" s="13" t="s">
        <v>137</v>
      </c>
      <c r="AB372" s="13" t="s">
        <v>143</v>
      </c>
      <c r="AC372" s="13" t="s">
        <v>145</v>
      </c>
      <c r="AD372" s="13" t="s">
        <v>137</v>
      </c>
      <c r="AE372" s="13">
        <f>VLOOKUP(Table2[[#This Row],[3_Elephant_ID]],'[1]Attributes(OUTDATED)'!$A$2:$N$19,12,FALSE)</f>
        <v>258</v>
      </c>
      <c r="AF372" s="13">
        <f>VLOOKUP(Table2[[#This Row],[3_Elephant_ID]],'[1]Attributes(OUTDATED)'!$A$2:$N$19,13,FALSE)</f>
        <v>0.25700000000000001</v>
      </c>
      <c r="AG372" s="13">
        <f>VLOOKUP(Table2[[#This Row],[3_Elephant_ID]],'[1]Attributes(OUTDATED)'!$A$2:$N$19,14,FALSE)</f>
        <v>0.25665547185998128</v>
      </c>
      <c r="AH372" s="13">
        <v>0</v>
      </c>
      <c r="AI372" s="13">
        <v>0</v>
      </c>
      <c r="AJ372" s="13">
        <v>0</v>
      </c>
      <c r="AK372" s="13">
        <v>0</v>
      </c>
      <c r="AL372" s="13">
        <f>VLOOKUP(Table2[[#This Row],[3_Elephant_ID]],'[1]Attributes(OUTDATED)'!$A$2:$P$19,16,FALSE)</f>
        <v>2</v>
      </c>
      <c r="AM372" s="13">
        <f>VLOOKUP(Table2[[#This Row],[3_Elephant_ID]],'[1]Attributes(OUTDATED)'!$A$2:$S$19,17,FALSE)</f>
        <v>1</v>
      </c>
      <c r="AN372" s="13">
        <f>VLOOKUP(Table2[[#This Row],[3_Elephant_ID]],'[1]Attributes(OUTDATED)'!$A$2:$S$19,18,FALSE)</f>
        <v>10</v>
      </c>
    </row>
    <row r="373" spans="1:40" ht="28" x14ac:dyDescent="0.15">
      <c r="A373" s="3">
        <v>348</v>
      </c>
      <c r="B373" s="6">
        <v>3103241422</v>
      </c>
      <c r="C373" s="7">
        <v>31</v>
      </c>
      <c r="D373" s="7">
        <v>3</v>
      </c>
      <c r="E373" s="7">
        <v>2024</v>
      </c>
      <c r="F373" s="5">
        <v>45382</v>
      </c>
      <c r="G373" s="6" t="s">
        <v>2</v>
      </c>
      <c r="H373" s="17">
        <v>0.42099264705882355</v>
      </c>
      <c r="I373" s="20">
        <f>ROUNDUP((Table2[[#This Row],[fGCM_Conc]]*10000),0)</f>
        <v>4210</v>
      </c>
      <c r="J373" s="3" t="str">
        <f>VLOOKUP(G373,'[1]Attributes(OUTDATED)'!$A$2:$C$19,2,FALSE)</f>
        <v>F</v>
      </c>
      <c r="K373" s="3" t="str">
        <f>VLOOKUP(G373,'[1]Attributes(OUTDATED)'!$A$2:$C$19,3,FALSE)</f>
        <v>A</v>
      </c>
      <c r="L373" s="3">
        <f>VLOOKUP(G373,'[1]Attributes(OUTDATED)'!$A$2:$H$19,8,FALSE)</f>
        <v>892</v>
      </c>
      <c r="M373" s="3" t="str">
        <f>K373&amp;J373</f>
        <v>AF</v>
      </c>
      <c r="N373" s="3" t="e">
        <f>VLOOKUP(G373,#REF!,2,FALSE)</f>
        <v>#REF!</v>
      </c>
      <c r="O373" s="11">
        <v>45380</v>
      </c>
      <c r="P373" s="13">
        <v>24.5</v>
      </c>
      <c r="Q373" s="13">
        <v>17.899999999999999</v>
      </c>
      <c r="R373" s="13">
        <v>13.2</v>
      </c>
      <c r="S373" s="13">
        <f>Table2[[#This Row],[2_Temp_H]]-Table2[[#This Row],[2_Temp_L]]</f>
        <v>11.3</v>
      </c>
      <c r="T373" s="13">
        <v>15</v>
      </c>
      <c r="U373" s="13">
        <v>2.4</v>
      </c>
      <c r="V373" s="13">
        <v>1015.92</v>
      </c>
      <c r="W373" s="13">
        <v>1012.87</v>
      </c>
      <c r="X373" s="13">
        <v>0</v>
      </c>
      <c r="Y373" s="13" t="s">
        <v>148</v>
      </c>
      <c r="Z373" s="16" t="s">
        <v>171</v>
      </c>
      <c r="AA373" s="13" t="s">
        <v>137</v>
      </c>
      <c r="AB373" s="13" t="s">
        <v>143</v>
      </c>
      <c r="AC373" s="13" t="s">
        <v>145</v>
      </c>
      <c r="AD373" s="13" t="s">
        <v>137</v>
      </c>
      <c r="AE373" s="13">
        <f>VLOOKUP(Table2[[#This Row],[3_Elephant_ID]],'[1]Attributes(OUTDATED)'!$A$2:$N$19,12,FALSE)</f>
        <v>378</v>
      </c>
      <c r="AF373" s="13">
        <f>VLOOKUP(Table2[[#This Row],[3_Elephant_ID]],'[1]Attributes(OUTDATED)'!$A$2:$N$19,13,FALSE)</f>
        <v>8.6999999999999994E-2</v>
      </c>
      <c r="AG373" s="13">
        <f>VLOOKUP(Table2[[#This Row],[3_Elephant_ID]],'[1]Attributes(OUTDATED)'!$A$2:$N$19,14,FALSE)</f>
        <v>8.6599138783086713E-2</v>
      </c>
      <c r="AH373" s="13">
        <v>0</v>
      </c>
      <c r="AI373" s="13">
        <v>0</v>
      </c>
      <c r="AJ373" s="13">
        <v>0</v>
      </c>
      <c r="AK373" s="13">
        <v>0</v>
      </c>
      <c r="AL373" s="13">
        <f>VLOOKUP(Table2[[#This Row],[3_Elephant_ID]],'[1]Attributes(OUTDATED)'!$A$2:$P$19,16,FALSE)</f>
        <v>1</v>
      </c>
      <c r="AM373" s="13">
        <f>VLOOKUP(Table2[[#This Row],[3_Elephant_ID]],'[1]Attributes(OUTDATED)'!$A$2:$S$19,17,FALSE)</f>
        <v>4</v>
      </c>
      <c r="AN373" s="13">
        <f>VLOOKUP(Table2[[#This Row],[3_Elephant_ID]],'[1]Attributes(OUTDATED)'!$A$2:$S$19,18,FALSE)</f>
        <v>20</v>
      </c>
    </row>
  </sheetData>
  <sortState xmlns:xlrd2="http://schemas.microsoft.com/office/spreadsheetml/2017/richdata2" ref="A4:N373">
    <sortCondition ref="C1:C373"/>
  </sortState>
  <phoneticPr fontId="2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8B3C-2C8C-1D48-BB9F-335D9CE86B3C}">
  <dimension ref="A1:AG50"/>
  <sheetViews>
    <sheetView topLeftCell="K1" zoomScale="75" workbookViewId="0">
      <selection activeCell="AI10" sqref="AI10"/>
    </sheetView>
  </sheetViews>
  <sheetFormatPr baseColWidth="10" defaultRowHeight="13" x14ac:dyDescent="0.15"/>
  <sheetData>
    <row r="1" spans="1:33" ht="42" x14ac:dyDescent="0.15">
      <c r="A1" s="22" t="s">
        <v>130</v>
      </c>
      <c r="B1" s="22" t="s">
        <v>18</v>
      </c>
      <c r="C1" s="22" t="s">
        <v>150</v>
      </c>
      <c r="D1" s="22" t="s">
        <v>151</v>
      </c>
      <c r="E1" s="22" t="s">
        <v>152</v>
      </c>
      <c r="F1" s="22" t="s">
        <v>149</v>
      </c>
      <c r="G1" s="22" t="s">
        <v>0</v>
      </c>
      <c r="H1" s="22" t="s">
        <v>134</v>
      </c>
      <c r="I1" s="22" t="s">
        <v>131</v>
      </c>
      <c r="J1" s="22" t="s">
        <v>132</v>
      </c>
      <c r="K1" s="22" t="s">
        <v>133</v>
      </c>
      <c r="L1" s="22" t="s">
        <v>135</v>
      </c>
      <c r="M1" s="22" t="s">
        <v>136</v>
      </c>
      <c r="N1" s="22" t="s">
        <v>155</v>
      </c>
      <c r="O1" s="22" t="s">
        <v>156</v>
      </c>
      <c r="P1" s="22" t="s">
        <v>157</v>
      </c>
      <c r="Q1" s="22" t="s">
        <v>158</v>
      </c>
      <c r="R1" s="22" t="s">
        <v>176</v>
      </c>
      <c r="S1" s="22" t="s">
        <v>159</v>
      </c>
      <c r="T1" s="22" t="s">
        <v>160</v>
      </c>
      <c r="U1" s="22" t="s">
        <v>161</v>
      </c>
      <c r="V1" s="22" t="s">
        <v>162</v>
      </c>
      <c r="W1" s="22" t="s">
        <v>163</v>
      </c>
      <c r="X1" s="22" t="s">
        <v>164</v>
      </c>
      <c r="Y1" s="22" t="s">
        <v>165</v>
      </c>
      <c r="Z1" s="22" t="s">
        <v>166</v>
      </c>
      <c r="AA1" s="22" t="s">
        <v>167</v>
      </c>
      <c r="AB1" s="22" t="s">
        <v>168</v>
      </c>
      <c r="AC1" s="22" t="s">
        <v>169</v>
      </c>
      <c r="AD1" s="22" t="s">
        <v>170</v>
      </c>
      <c r="AE1" s="22" t="s">
        <v>172</v>
      </c>
      <c r="AF1" s="22" t="s">
        <v>173</v>
      </c>
      <c r="AG1" s="22" t="s">
        <v>174</v>
      </c>
    </row>
    <row r="2" spans="1:33" ht="28" x14ac:dyDescent="0.15">
      <c r="A2" s="24">
        <v>200</v>
      </c>
      <c r="B2" s="24">
        <v>2807230951</v>
      </c>
      <c r="C2" s="24">
        <v>28</v>
      </c>
      <c r="D2" s="24">
        <v>7</v>
      </c>
      <c r="E2" s="24">
        <v>2023</v>
      </c>
      <c r="F2" s="24">
        <v>45135</v>
      </c>
      <c r="G2" s="24" t="s">
        <v>11</v>
      </c>
      <c r="H2" s="24">
        <v>0.26718749999999991</v>
      </c>
      <c r="I2" s="24" t="s">
        <v>180</v>
      </c>
      <c r="J2" s="24" t="s">
        <v>178</v>
      </c>
      <c r="K2" s="24">
        <v>5</v>
      </c>
      <c r="L2" s="24" t="s">
        <v>184</v>
      </c>
      <c r="M2" s="24">
        <v>27</v>
      </c>
      <c r="N2" s="24">
        <v>45133</v>
      </c>
      <c r="O2" s="24">
        <v>22.6</v>
      </c>
      <c r="P2" s="24">
        <v>17.3</v>
      </c>
      <c r="Q2" s="24">
        <v>9.8000000000000007</v>
      </c>
      <c r="R2" s="24">
        <v>12.8</v>
      </c>
      <c r="S2" s="24">
        <v>42.3</v>
      </c>
      <c r="T2" s="24">
        <v>11.5</v>
      </c>
      <c r="U2" s="24">
        <v>1013.88</v>
      </c>
      <c r="V2" s="24">
        <v>1009.82</v>
      </c>
      <c r="W2" s="24">
        <v>3.56</v>
      </c>
      <c r="X2" s="24" t="s">
        <v>138</v>
      </c>
      <c r="Y2" s="24" t="s">
        <v>147</v>
      </c>
      <c r="Z2" s="24" t="s">
        <v>139</v>
      </c>
      <c r="AA2" s="24" t="s">
        <v>26</v>
      </c>
      <c r="AB2" s="24" t="s">
        <v>144</v>
      </c>
      <c r="AC2" s="24" t="s">
        <v>146</v>
      </c>
      <c r="AD2" s="24" t="s">
        <v>137</v>
      </c>
      <c r="AE2" s="24">
        <v>404</v>
      </c>
      <c r="AF2" s="24">
        <v>0.91664628583929353</v>
      </c>
      <c r="AG2" s="24">
        <v>1</v>
      </c>
    </row>
    <row r="3" spans="1:33" ht="28" x14ac:dyDescent="0.15">
      <c r="A3" s="23">
        <v>201</v>
      </c>
      <c r="B3" s="23">
        <v>2807230955</v>
      </c>
      <c r="C3" s="23">
        <v>28</v>
      </c>
      <c r="D3" s="23">
        <v>7</v>
      </c>
      <c r="E3" s="23">
        <v>2023</v>
      </c>
      <c r="F3" s="23">
        <v>45135</v>
      </c>
      <c r="G3" s="23" t="s">
        <v>1</v>
      </c>
      <c r="H3" s="23">
        <v>0.30298892988929893</v>
      </c>
      <c r="I3" s="23" t="s">
        <v>177</v>
      </c>
      <c r="J3" s="23" t="s">
        <v>178</v>
      </c>
      <c r="K3" s="23">
        <v>6</v>
      </c>
      <c r="L3" s="23" t="s">
        <v>179</v>
      </c>
      <c r="M3" s="23">
        <v>20</v>
      </c>
      <c r="N3" s="23">
        <v>45133</v>
      </c>
      <c r="O3" s="23">
        <v>22.6</v>
      </c>
      <c r="P3" s="23">
        <v>17.3</v>
      </c>
      <c r="Q3" s="23">
        <v>9.8000000000000007</v>
      </c>
      <c r="R3" s="23">
        <v>12.8</v>
      </c>
      <c r="S3" s="23">
        <v>42.3</v>
      </c>
      <c r="T3" s="23">
        <v>11.5</v>
      </c>
      <c r="U3" s="23">
        <v>1013.88</v>
      </c>
      <c r="V3" s="23">
        <v>1009.82</v>
      </c>
      <c r="W3" s="23">
        <v>3.56</v>
      </c>
      <c r="X3" s="23" t="s">
        <v>138</v>
      </c>
      <c r="Y3" s="23" t="s">
        <v>147</v>
      </c>
      <c r="Z3" s="23" t="s">
        <v>139</v>
      </c>
      <c r="AA3" s="23" t="s">
        <v>26</v>
      </c>
      <c r="AB3" s="23" t="s">
        <v>144</v>
      </c>
      <c r="AC3" s="23" t="s">
        <v>146</v>
      </c>
      <c r="AD3" s="23" t="s">
        <v>137</v>
      </c>
      <c r="AE3" s="23">
        <v>321</v>
      </c>
      <c r="AF3" s="23">
        <v>0.17530262753188491</v>
      </c>
      <c r="AG3" s="23">
        <v>0.89473684210526316</v>
      </c>
    </row>
    <row r="4" spans="1:33" ht="28" x14ac:dyDescent="0.15">
      <c r="A4" s="24">
        <v>202</v>
      </c>
      <c r="B4" s="24">
        <v>2807231002</v>
      </c>
      <c r="C4" s="24">
        <v>28</v>
      </c>
      <c r="D4" s="24">
        <v>7</v>
      </c>
      <c r="E4" s="24">
        <v>2023</v>
      </c>
      <c r="F4" s="24">
        <v>45135</v>
      </c>
      <c r="G4" s="24" t="s">
        <v>14</v>
      </c>
      <c r="H4" s="24">
        <v>0.45769961977186313</v>
      </c>
      <c r="I4" s="24" t="s">
        <v>177</v>
      </c>
      <c r="J4" s="24" t="s">
        <v>181</v>
      </c>
      <c r="K4" s="24">
        <v>13</v>
      </c>
      <c r="L4" s="24" t="s">
        <v>183</v>
      </c>
      <c r="M4" s="24">
        <v>12</v>
      </c>
      <c r="N4" s="24">
        <v>45133</v>
      </c>
      <c r="O4" s="24">
        <v>22.6</v>
      </c>
      <c r="P4" s="24">
        <v>17.3</v>
      </c>
      <c r="Q4" s="24">
        <v>9.8000000000000007</v>
      </c>
      <c r="R4" s="24">
        <v>12.8</v>
      </c>
      <c r="S4" s="24">
        <v>42.3</v>
      </c>
      <c r="T4" s="24">
        <v>11.5</v>
      </c>
      <c r="U4" s="24">
        <v>1013.88</v>
      </c>
      <c r="V4" s="24">
        <v>1009.82</v>
      </c>
      <c r="W4" s="24">
        <v>3.56</v>
      </c>
      <c r="X4" s="24" t="s">
        <v>138</v>
      </c>
      <c r="Y4" s="24" t="s">
        <v>147</v>
      </c>
      <c r="Z4" s="24" t="s">
        <v>139</v>
      </c>
      <c r="AA4" s="24" t="s">
        <v>26</v>
      </c>
      <c r="AB4" s="24" t="s">
        <v>144</v>
      </c>
      <c r="AC4" s="24" t="s">
        <v>146</v>
      </c>
      <c r="AD4" s="24" t="s">
        <v>137</v>
      </c>
      <c r="AE4" s="24">
        <v>269</v>
      </c>
      <c r="AF4" s="24">
        <v>0.65767064449315993</v>
      </c>
      <c r="AG4" s="24">
        <v>0.94444444444444442</v>
      </c>
    </row>
    <row r="5" spans="1:33" ht="28" x14ac:dyDescent="0.15">
      <c r="A5" s="23">
        <v>203</v>
      </c>
      <c r="B5" s="23">
        <v>2807230958</v>
      </c>
      <c r="C5" s="23">
        <v>28</v>
      </c>
      <c r="D5" s="23">
        <v>7</v>
      </c>
      <c r="E5" s="23">
        <v>2023</v>
      </c>
      <c r="F5" s="23">
        <v>45135</v>
      </c>
      <c r="G5" s="23" t="s">
        <v>17</v>
      </c>
      <c r="H5" s="23">
        <v>0.25464351005484465</v>
      </c>
      <c r="I5" s="23" t="s">
        <v>180</v>
      </c>
      <c r="J5" s="23" t="s">
        <v>181</v>
      </c>
      <c r="K5" s="23">
        <v>17</v>
      </c>
      <c r="L5" s="23" t="s">
        <v>182</v>
      </c>
      <c r="M5" s="23">
        <v>19</v>
      </c>
      <c r="N5" s="23">
        <v>45133</v>
      </c>
      <c r="O5" s="23">
        <v>22.6</v>
      </c>
      <c r="P5" s="23">
        <v>17.3</v>
      </c>
      <c r="Q5" s="23">
        <v>9.8000000000000007</v>
      </c>
      <c r="R5" s="23">
        <v>12.8</v>
      </c>
      <c r="S5" s="23">
        <v>42.3</v>
      </c>
      <c r="T5" s="23">
        <v>11.5</v>
      </c>
      <c r="U5" s="23">
        <v>1013.88</v>
      </c>
      <c r="V5" s="23">
        <v>1009.82</v>
      </c>
      <c r="W5" s="23">
        <v>3.56</v>
      </c>
      <c r="X5" s="23" t="s">
        <v>138</v>
      </c>
      <c r="Y5" s="23" t="s">
        <v>147</v>
      </c>
      <c r="Z5" s="23" t="s">
        <v>139</v>
      </c>
      <c r="AA5" s="23" t="s">
        <v>26</v>
      </c>
      <c r="AB5" s="23" t="s">
        <v>144</v>
      </c>
      <c r="AC5" s="23" t="s">
        <v>146</v>
      </c>
      <c r="AD5" s="23" t="s">
        <v>137</v>
      </c>
      <c r="AE5" s="23">
        <v>343</v>
      </c>
      <c r="AF5" s="23">
        <v>0.80966774571167055</v>
      </c>
      <c r="AG5" s="23">
        <v>0.94444444444444442</v>
      </c>
    </row>
    <row r="6" spans="1:33" ht="28" x14ac:dyDescent="0.15">
      <c r="A6" s="24">
        <v>204</v>
      </c>
      <c r="B6" s="24">
        <v>2707231706</v>
      </c>
      <c r="C6" s="24">
        <v>27</v>
      </c>
      <c r="D6" s="24">
        <v>7</v>
      </c>
      <c r="E6" s="24">
        <v>2023</v>
      </c>
      <c r="F6" s="24">
        <v>45134</v>
      </c>
      <c r="G6" s="24" t="s">
        <v>2</v>
      </c>
      <c r="H6" s="24">
        <v>0.27848428835489836</v>
      </c>
      <c r="I6" s="24" t="s">
        <v>177</v>
      </c>
      <c r="J6" s="24" t="s">
        <v>178</v>
      </c>
      <c r="K6" s="24">
        <v>12</v>
      </c>
      <c r="L6" s="24" t="s">
        <v>179</v>
      </c>
      <c r="M6" s="24">
        <v>30</v>
      </c>
      <c r="N6" s="24">
        <v>45132</v>
      </c>
      <c r="O6" s="24">
        <v>17.899999999999999</v>
      </c>
      <c r="P6" s="24">
        <v>8.4</v>
      </c>
      <c r="Q6" s="24">
        <v>-2.6</v>
      </c>
      <c r="R6" s="24">
        <v>20.5</v>
      </c>
      <c r="S6" s="24">
        <v>22.2</v>
      </c>
      <c r="T6" s="24">
        <v>4.4000000000000004</v>
      </c>
      <c r="U6" s="24">
        <v>1018.96</v>
      </c>
      <c r="V6" s="24">
        <v>1012.87</v>
      </c>
      <c r="W6" s="24">
        <v>0</v>
      </c>
      <c r="X6" s="24" t="s">
        <v>138</v>
      </c>
      <c r="Y6" s="24" t="s">
        <v>147</v>
      </c>
      <c r="Z6" s="24" t="s">
        <v>154</v>
      </c>
      <c r="AA6" s="24" t="s">
        <v>26</v>
      </c>
      <c r="AB6" s="24" t="s">
        <v>144</v>
      </c>
      <c r="AC6" s="24" t="s">
        <v>146</v>
      </c>
      <c r="AD6" s="24" t="s">
        <v>26</v>
      </c>
      <c r="AE6" s="24">
        <v>378</v>
      </c>
      <c r="AF6" s="24">
        <v>8.6599138783086713E-2</v>
      </c>
      <c r="AG6" s="24">
        <v>1</v>
      </c>
    </row>
    <row r="7" spans="1:33" ht="28" x14ac:dyDescent="0.15">
      <c r="A7" s="23">
        <v>205</v>
      </c>
      <c r="B7" s="23">
        <v>2707231437</v>
      </c>
      <c r="C7" s="23">
        <v>27</v>
      </c>
      <c r="D7" s="23">
        <v>7</v>
      </c>
      <c r="E7" s="23">
        <v>2023</v>
      </c>
      <c r="F7" s="23">
        <v>45134</v>
      </c>
      <c r="G7" s="23" t="s">
        <v>8</v>
      </c>
      <c r="H7" s="23">
        <v>0.73538321167883192</v>
      </c>
      <c r="I7" s="23" t="s">
        <v>177</v>
      </c>
      <c r="J7" s="23" t="s">
        <v>178</v>
      </c>
      <c r="K7" s="23">
        <v>4</v>
      </c>
      <c r="L7" s="23" t="s">
        <v>179</v>
      </c>
      <c r="M7" s="23">
        <v>15</v>
      </c>
      <c r="N7" s="23">
        <v>45132</v>
      </c>
      <c r="O7" s="23">
        <v>17.899999999999999</v>
      </c>
      <c r="P7" s="23">
        <v>8.4</v>
      </c>
      <c r="Q7" s="23">
        <v>-2.6</v>
      </c>
      <c r="R7" s="23">
        <v>20.5</v>
      </c>
      <c r="S7" s="23">
        <v>22.2</v>
      </c>
      <c r="T7" s="23">
        <v>4.4000000000000004</v>
      </c>
      <c r="U7" s="23">
        <v>1018.96</v>
      </c>
      <c r="V7" s="23">
        <v>1012.87</v>
      </c>
      <c r="W7" s="23">
        <v>0</v>
      </c>
      <c r="X7" s="23" t="s">
        <v>138</v>
      </c>
      <c r="Y7" s="23" t="s">
        <v>147</v>
      </c>
      <c r="Z7" s="23" t="s">
        <v>154</v>
      </c>
      <c r="AA7" s="23" t="s">
        <v>26</v>
      </c>
      <c r="AB7" s="23" t="s">
        <v>144</v>
      </c>
      <c r="AC7" s="23" t="s">
        <v>146</v>
      </c>
      <c r="AD7" s="23" t="s">
        <v>26</v>
      </c>
      <c r="AE7" s="23">
        <v>346</v>
      </c>
      <c r="AF7" s="23">
        <v>0.28929989906834258</v>
      </c>
      <c r="AG7" s="23">
        <v>0.94444444444444442</v>
      </c>
    </row>
    <row r="8" spans="1:33" ht="28" x14ac:dyDescent="0.15">
      <c r="A8" s="24">
        <v>206</v>
      </c>
      <c r="B8" s="24">
        <v>2707231432</v>
      </c>
      <c r="C8" s="24">
        <v>27</v>
      </c>
      <c r="D8" s="24">
        <v>7</v>
      </c>
      <c r="E8" s="24">
        <v>2023</v>
      </c>
      <c r="F8" s="24">
        <v>45134</v>
      </c>
      <c r="G8" s="24" t="s">
        <v>31</v>
      </c>
      <c r="H8" s="24">
        <v>0.43824324324324326</v>
      </c>
      <c r="I8" s="24" t="s">
        <v>177</v>
      </c>
      <c r="J8" s="24" t="s">
        <v>181</v>
      </c>
      <c r="K8" s="24">
        <v>16</v>
      </c>
      <c r="L8" s="24" t="s">
        <v>183</v>
      </c>
      <c r="M8" s="24">
        <v>9</v>
      </c>
      <c r="N8" s="24">
        <v>45132</v>
      </c>
      <c r="O8" s="24">
        <v>17.899999999999999</v>
      </c>
      <c r="P8" s="24">
        <v>8.4</v>
      </c>
      <c r="Q8" s="24">
        <v>-2.6</v>
      </c>
      <c r="R8" s="24">
        <v>20.5</v>
      </c>
      <c r="S8" s="24">
        <v>22.2</v>
      </c>
      <c r="T8" s="24">
        <v>4.4000000000000004</v>
      </c>
      <c r="U8" s="24">
        <v>1018.96</v>
      </c>
      <c r="V8" s="24">
        <v>1012.87</v>
      </c>
      <c r="W8" s="24">
        <v>0</v>
      </c>
      <c r="X8" s="24" t="s">
        <v>138</v>
      </c>
      <c r="Y8" s="24" t="s">
        <v>147</v>
      </c>
      <c r="Z8" s="24" t="s">
        <v>154</v>
      </c>
      <c r="AA8" s="24" t="s">
        <v>26</v>
      </c>
      <c r="AB8" s="24" t="s">
        <v>144</v>
      </c>
      <c r="AC8" s="24" t="s">
        <v>146</v>
      </c>
      <c r="AD8" s="24" t="s">
        <v>26</v>
      </c>
      <c r="AE8" s="24">
        <v>258</v>
      </c>
      <c r="AF8" s="24">
        <v>0.25665547185998128</v>
      </c>
      <c r="AG8" s="24">
        <v>1</v>
      </c>
    </row>
    <row r="9" spans="1:33" ht="28" x14ac:dyDescent="0.15">
      <c r="A9" s="23">
        <v>207</v>
      </c>
      <c r="B9" s="23">
        <v>2707231429</v>
      </c>
      <c r="C9" s="23">
        <v>27</v>
      </c>
      <c r="D9" s="23">
        <v>7</v>
      </c>
      <c r="E9" s="23">
        <v>2023</v>
      </c>
      <c r="F9" s="23">
        <v>45134</v>
      </c>
      <c r="G9" s="23" t="s">
        <v>6</v>
      </c>
      <c r="H9" s="23">
        <v>0.61411111111111116</v>
      </c>
      <c r="I9" s="23" t="s">
        <v>177</v>
      </c>
      <c r="J9" s="23" t="s">
        <v>178</v>
      </c>
      <c r="K9" s="23">
        <v>3</v>
      </c>
      <c r="L9" s="23" t="s">
        <v>179</v>
      </c>
      <c r="M9" s="23">
        <v>18</v>
      </c>
      <c r="N9" s="23">
        <v>45132</v>
      </c>
      <c r="O9" s="23">
        <v>17.899999999999999</v>
      </c>
      <c r="P9" s="23">
        <v>8.4</v>
      </c>
      <c r="Q9" s="23">
        <v>-2.6</v>
      </c>
      <c r="R9" s="23">
        <v>20.5</v>
      </c>
      <c r="S9" s="23">
        <v>22.2</v>
      </c>
      <c r="T9" s="23">
        <v>4.4000000000000004</v>
      </c>
      <c r="U9" s="23">
        <v>1018.96</v>
      </c>
      <c r="V9" s="23">
        <v>1012.87</v>
      </c>
      <c r="W9" s="23">
        <v>0</v>
      </c>
      <c r="X9" s="23" t="s">
        <v>138</v>
      </c>
      <c r="Y9" s="23" t="s">
        <v>147</v>
      </c>
      <c r="Z9" s="23" t="s">
        <v>154</v>
      </c>
      <c r="AA9" s="23" t="s">
        <v>26</v>
      </c>
      <c r="AB9" s="23" t="s">
        <v>144</v>
      </c>
      <c r="AC9" s="23" t="s">
        <v>146</v>
      </c>
      <c r="AD9" s="23" t="s">
        <v>26</v>
      </c>
      <c r="AE9" s="23">
        <v>286</v>
      </c>
      <c r="AF9" s="23">
        <v>0.26721028245328138</v>
      </c>
      <c r="AG9" s="23">
        <v>0.89473684210526316</v>
      </c>
    </row>
    <row r="10" spans="1:33" ht="28" x14ac:dyDescent="0.15">
      <c r="A10" s="24">
        <v>208</v>
      </c>
      <c r="B10" s="24">
        <v>2707231215</v>
      </c>
      <c r="C10" s="24">
        <v>27</v>
      </c>
      <c r="D10" s="24">
        <v>7</v>
      </c>
      <c r="E10" s="24">
        <v>2023</v>
      </c>
      <c r="F10" s="24">
        <v>45134</v>
      </c>
      <c r="G10" s="24" t="s">
        <v>16</v>
      </c>
      <c r="H10" s="24">
        <v>0.58516917293233106</v>
      </c>
      <c r="I10" s="24" t="s">
        <v>177</v>
      </c>
      <c r="J10" s="24" t="s">
        <v>178</v>
      </c>
      <c r="K10" s="24">
        <v>2</v>
      </c>
      <c r="L10" s="24" t="s">
        <v>179</v>
      </c>
      <c r="M10" s="24">
        <v>26</v>
      </c>
      <c r="N10" s="24">
        <v>45132</v>
      </c>
      <c r="O10" s="24">
        <v>17.899999999999999</v>
      </c>
      <c r="P10" s="24">
        <v>8.4</v>
      </c>
      <c r="Q10" s="24">
        <v>-2.6</v>
      </c>
      <c r="R10" s="24">
        <v>20.5</v>
      </c>
      <c r="S10" s="24">
        <v>22.2</v>
      </c>
      <c r="T10" s="24">
        <v>4.4000000000000004</v>
      </c>
      <c r="U10" s="24">
        <v>1018.96</v>
      </c>
      <c r="V10" s="24">
        <v>1012.87</v>
      </c>
      <c r="W10" s="24">
        <v>0</v>
      </c>
      <c r="X10" s="24" t="s">
        <v>138</v>
      </c>
      <c r="Y10" s="24" t="s">
        <v>147</v>
      </c>
      <c r="Z10" s="24" t="s">
        <v>154</v>
      </c>
      <c r="AA10" s="24" t="s">
        <v>26</v>
      </c>
      <c r="AB10" s="24" t="s">
        <v>144</v>
      </c>
      <c r="AC10" s="24" t="s">
        <v>146</v>
      </c>
      <c r="AD10" s="24" t="s">
        <v>26</v>
      </c>
      <c r="AE10" s="24">
        <v>474</v>
      </c>
      <c r="AF10" s="24">
        <v>0.1206993463154281</v>
      </c>
      <c r="AG10" s="24">
        <v>0.94444444444444442</v>
      </c>
    </row>
    <row r="11" spans="1:33" ht="28" x14ac:dyDescent="0.15">
      <c r="A11" s="23">
        <v>209</v>
      </c>
      <c r="B11" s="23">
        <v>2707231039</v>
      </c>
      <c r="C11" s="23">
        <v>27</v>
      </c>
      <c r="D11" s="23">
        <v>7</v>
      </c>
      <c r="E11" s="23">
        <v>2023</v>
      </c>
      <c r="F11" s="23">
        <v>45134</v>
      </c>
      <c r="G11" s="23" t="s">
        <v>16</v>
      </c>
      <c r="H11" s="23">
        <v>0.50413284132841352</v>
      </c>
      <c r="I11" s="23" t="s">
        <v>177</v>
      </c>
      <c r="J11" s="23" t="s">
        <v>178</v>
      </c>
      <c r="K11" s="23">
        <v>2</v>
      </c>
      <c r="L11" s="23" t="s">
        <v>179</v>
      </c>
      <c r="M11" s="23">
        <v>26</v>
      </c>
      <c r="N11" s="23">
        <v>45132</v>
      </c>
      <c r="O11" s="23">
        <v>17.899999999999999</v>
      </c>
      <c r="P11" s="23">
        <v>8.4</v>
      </c>
      <c r="Q11" s="23">
        <v>-2.6</v>
      </c>
      <c r="R11" s="23">
        <v>20.5</v>
      </c>
      <c r="S11" s="23">
        <v>22.2</v>
      </c>
      <c r="T11" s="23">
        <v>4.4000000000000004</v>
      </c>
      <c r="U11" s="23">
        <v>1018.96</v>
      </c>
      <c r="V11" s="23">
        <v>1012.87</v>
      </c>
      <c r="W11" s="23">
        <v>0</v>
      </c>
      <c r="X11" s="23" t="s">
        <v>138</v>
      </c>
      <c r="Y11" s="23" t="s">
        <v>147</v>
      </c>
      <c r="Z11" s="23" t="s">
        <v>154</v>
      </c>
      <c r="AA11" s="23" t="s">
        <v>26</v>
      </c>
      <c r="AB11" s="23" t="s">
        <v>144</v>
      </c>
      <c r="AC11" s="23" t="s">
        <v>146</v>
      </c>
      <c r="AD11" s="23" t="s">
        <v>26</v>
      </c>
      <c r="AE11" s="23">
        <v>474</v>
      </c>
      <c r="AF11" s="23">
        <v>0.1206993463154281</v>
      </c>
      <c r="AG11" s="23">
        <v>0.94444444444444442</v>
      </c>
    </row>
    <row r="12" spans="1:33" ht="28" x14ac:dyDescent="0.15">
      <c r="A12" s="24">
        <v>210</v>
      </c>
      <c r="B12" s="24">
        <v>2707230907</v>
      </c>
      <c r="C12" s="24">
        <v>27</v>
      </c>
      <c r="D12" s="24">
        <v>7</v>
      </c>
      <c r="E12" s="24">
        <v>2023</v>
      </c>
      <c r="F12" s="24">
        <v>45134</v>
      </c>
      <c r="G12" s="24" t="s">
        <v>12</v>
      </c>
      <c r="H12" s="24">
        <v>0.51597633136094678</v>
      </c>
      <c r="I12" s="24" t="s">
        <v>180</v>
      </c>
      <c r="J12" s="24" t="s">
        <v>178</v>
      </c>
      <c r="K12" s="24">
        <v>1</v>
      </c>
      <c r="L12" s="24" t="s">
        <v>184</v>
      </c>
      <c r="M12" s="24">
        <v>29</v>
      </c>
      <c r="N12" s="24">
        <v>45132</v>
      </c>
      <c r="O12" s="24">
        <v>17.899999999999999</v>
      </c>
      <c r="P12" s="24">
        <v>8.4</v>
      </c>
      <c r="Q12" s="24">
        <v>-2.6</v>
      </c>
      <c r="R12" s="24">
        <v>20.5</v>
      </c>
      <c r="S12" s="24">
        <v>22.2</v>
      </c>
      <c r="T12" s="24">
        <v>4.4000000000000004</v>
      </c>
      <c r="U12" s="24">
        <v>1018.96</v>
      </c>
      <c r="V12" s="24">
        <v>1012.87</v>
      </c>
      <c r="W12" s="24">
        <v>0</v>
      </c>
      <c r="X12" s="24" t="s">
        <v>138</v>
      </c>
      <c r="Y12" s="24" t="s">
        <v>147</v>
      </c>
      <c r="Z12" s="24" t="s">
        <v>154</v>
      </c>
      <c r="AA12" s="24" t="s">
        <v>26</v>
      </c>
      <c r="AB12" s="24" t="s">
        <v>144</v>
      </c>
      <c r="AC12" s="24" t="s">
        <v>146</v>
      </c>
      <c r="AD12" s="24" t="s">
        <v>26</v>
      </c>
      <c r="AE12" s="24">
        <v>450</v>
      </c>
      <c r="AF12" s="24">
        <v>0.37414375430996583</v>
      </c>
      <c r="AG12" s="24">
        <v>1</v>
      </c>
    </row>
    <row r="13" spans="1:33" ht="28" x14ac:dyDescent="0.15">
      <c r="A13" s="23">
        <v>211</v>
      </c>
      <c r="B13" s="23">
        <v>2707230952</v>
      </c>
      <c r="C13" s="23">
        <v>27</v>
      </c>
      <c r="D13" s="23">
        <v>7</v>
      </c>
      <c r="E13" s="23">
        <v>2023</v>
      </c>
      <c r="F13" s="23">
        <v>45134</v>
      </c>
      <c r="G13" s="23" t="s">
        <v>16</v>
      </c>
      <c r="H13" s="23">
        <v>0.39251461988304093</v>
      </c>
      <c r="I13" s="23" t="s">
        <v>177</v>
      </c>
      <c r="J13" s="23" t="s">
        <v>178</v>
      </c>
      <c r="K13" s="23">
        <v>2</v>
      </c>
      <c r="L13" s="23" t="s">
        <v>179</v>
      </c>
      <c r="M13" s="23">
        <v>26</v>
      </c>
      <c r="N13" s="23">
        <v>45132</v>
      </c>
      <c r="O13" s="23">
        <v>17.899999999999999</v>
      </c>
      <c r="P13" s="23">
        <v>8.4</v>
      </c>
      <c r="Q13" s="23">
        <v>-2.6</v>
      </c>
      <c r="R13" s="23">
        <v>20.5</v>
      </c>
      <c r="S13" s="23">
        <v>22.2</v>
      </c>
      <c r="T13" s="23">
        <v>4.4000000000000004</v>
      </c>
      <c r="U13" s="23">
        <v>1018.96</v>
      </c>
      <c r="V13" s="23">
        <v>1012.87</v>
      </c>
      <c r="W13" s="23">
        <v>0</v>
      </c>
      <c r="X13" s="23" t="s">
        <v>138</v>
      </c>
      <c r="Y13" s="23" t="s">
        <v>147</v>
      </c>
      <c r="Z13" s="23" t="s">
        <v>154</v>
      </c>
      <c r="AA13" s="23" t="s">
        <v>26</v>
      </c>
      <c r="AB13" s="23" t="s">
        <v>144</v>
      </c>
      <c r="AC13" s="23" t="s">
        <v>146</v>
      </c>
      <c r="AD13" s="23" t="s">
        <v>26</v>
      </c>
      <c r="AE13" s="23">
        <v>474</v>
      </c>
      <c r="AF13" s="23">
        <v>0.1206993463154281</v>
      </c>
      <c r="AG13" s="23">
        <v>0.94444444444444442</v>
      </c>
    </row>
    <row r="14" spans="1:33" ht="28" x14ac:dyDescent="0.15">
      <c r="A14" s="24">
        <v>212</v>
      </c>
      <c r="B14" s="24">
        <v>2707231023</v>
      </c>
      <c r="C14" s="24">
        <v>27</v>
      </c>
      <c r="D14" s="24">
        <v>7</v>
      </c>
      <c r="E14" s="24">
        <v>2023</v>
      </c>
      <c r="F14" s="24">
        <v>45134</v>
      </c>
      <c r="G14" s="24" t="s">
        <v>2</v>
      </c>
      <c r="H14" s="24">
        <v>0.23332075471698113</v>
      </c>
      <c r="I14" s="24" t="s">
        <v>177</v>
      </c>
      <c r="J14" s="24" t="s">
        <v>178</v>
      </c>
      <c r="K14" s="24">
        <v>12</v>
      </c>
      <c r="L14" s="24" t="s">
        <v>179</v>
      </c>
      <c r="M14" s="24">
        <v>30</v>
      </c>
      <c r="N14" s="24">
        <v>45132</v>
      </c>
      <c r="O14" s="24">
        <v>17.899999999999999</v>
      </c>
      <c r="P14" s="24">
        <v>8.4</v>
      </c>
      <c r="Q14" s="24">
        <v>-2.6</v>
      </c>
      <c r="R14" s="24">
        <v>20.5</v>
      </c>
      <c r="S14" s="24">
        <v>22.2</v>
      </c>
      <c r="T14" s="24">
        <v>4.4000000000000004</v>
      </c>
      <c r="U14" s="24">
        <v>1018.96</v>
      </c>
      <c r="V14" s="24">
        <v>1012.87</v>
      </c>
      <c r="W14" s="24">
        <v>0</v>
      </c>
      <c r="X14" s="24" t="s">
        <v>138</v>
      </c>
      <c r="Y14" s="24" t="s">
        <v>147</v>
      </c>
      <c r="Z14" s="24" t="s">
        <v>154</v>
      </c>
      <c r="AA14" s="24" t="s">
        <v>26</v>
      </c>
      <c r="AB14" s="24" t="s">
        <v>144</v>
      </c>
      <c r="AC14" s="24" t="s">
        <v>146</v>
      </c>
      <c r="AD14" s="24" t="s">
        <v>26</v>
      </c>
      <c r="AE14" s="24">
        <v>378</v>
      </c>
      <c r="AF14" s="24">
        <v>8.6599138783086713E-2</v>
      </c>
      <c r="AG14" s="24">
        <v>1</v>
      </c>
    </row>
    <row r="15" spans="1:33" ht="28" x14ac:dyDescent="0.15">
      <c r="A15" s="23">
        <v>213</v>
      </c>
      <c r="B15" s="23">
        <v>2707230914</v>
      </c>
      <c r="C15" s="23">
        <v>27</v>
      </c>
      <c r="D15" s="23">
        <v>7</v>
      </c>
      <c r="E15" s="23">
        <v>2023</v>
      </c>
      <c r="F15" s="23">
        <v>45134</v>
      </c>
      <c r="G15" s="23" t="s">
        <v>10</v>
      </c>
      <c r="H15" s="23">
        <v>0.51458563535911594</v>
      </c>
      <c r="I15" s="23" t="s">
        <v>177</v>
      </c>
      <c r="J15" s="23" t="s">
        <v>178</v>
      </c>
      <c r="K15" s="23">
        <v>7</v>
      </c>
      <c r="L15" s="23" t="s">
        <v>179</v>
      </c>
      <c r="M15" s="23">
        <v>29</v>
      </c>
      <c r="N15" s="23">
        <v>45132</v>
      </c>
      <c r="O15" s="23">
        <v>17.899999999999999</v>
      </c>
      <c r="P15" s="23">
        <v>8.4</v>
      </c>
      <c r="Q15" s="23">
        <v>-2.6</v>
      </c>
      <c r="R15" s="23">
        <v>20.5</v>
      </c>
      <c r="S15" s="23">
        <v>22.2</v>
      </c>
      <c r="T15" s="23">
        <v>4.4000000000000004</v>
      </c>
      <c r="U15" s="23">
        <v>1018.96</v>
      </c>
      <c r="V15" s="23">
        <v>1012.87</v>
      </c>
      <c r="W15" s="23">
        <v>0</v>
      </c>
      <c r="X15" s="23" t="s">
        <v>138</v>
      </c>
      <c r="Y15" s="23" t="s">
        <v>147</v>
      </c>
      <c r="Z15" s="23" t="s">
        <v>154</v>
      </c>
      <c r="AA15" s="23" t="s">
        <v>26</v>
      </c>
      <c r="AB15" s="23" t="s">
        <v>144</v>
      </c>
      <c r="AC15" s="23" t="s">
        <v>146</v>
      </c>
      <c r="AD15" s="23" t="s">
        <v>26</v>
      </c>
      <c r="AE15" s="23">
        <v>424</v>
      </c>
      <c r="AF15" s="23">
        <v>0.10282190709599449</v>
      </c>
      <c r="AG15" s="23">
        <v>0.94444444444444442</v>
      </c>
    </row>
    <row r="16" spans="1:33" ht="28" x14ac:dyDescent="0.15">
      <c r="A16" s="24">
        <v>214</v>
      </c>
      <c r="B16" s="24">
        <v>2707230921</v>
      </c>
      <c r="C16" s="24">
        <v>27</v>
      </c>
      <c r="D16" s="24">
        <v>7</v>
      </c>
      <c r="E16" s="24">
        <v>2023</v>
      </c>
      <c r="F16" s="24">
        <v>45134</v>
      </c>
      <c r="G16" s="24" t="s">
        <v>7</v>
      </c>
      <c r="H16" s="24">
        <v>0.35881801125703566</v>
      </c>
      <c r="I16" s="24" t="s">
        <v>177</v>
      </c>
      <c r="J16" s="24" t="s">
        <v>181</v>
      </c>
      <c r="K16" s="24">
        <v>14</v>
      </c>
      <c r="L16" s="24" t="s">
        <v>183</v>
      </c>
      <c r="M16" s="24">
        <v>20</v>
      </c>
      <c r="N16" s="24">
        <v>45132</v>
      </c>
      <c r="O16" s="24">
        <v>17.899999999999999</v>
      </c>
      <c r="P16" s="24">
        <v>8.4</v>
      </c>
      <c r="Q16" s="24">
        <v>-2.6</v>
      </c>
      <c r="R16" s="24">
        <v>20.5</v>
      </c>
      <c r="S16" s="24">
        <v>22.2</v>
      </c>
      <c r="T16" s="24">
        <v>4.4000000000000004</v>
      </c>
      <c r="U16" s="24">
        <v>1018.96</v>
      </c>
      <c r="V16" s="24">
        <v>1012.87</v>
      </c>
      <c r="W16" s="24">
        <v>0</v>
      </c>
      <c r="X16" s="24" t="s">
        <v>138</v>
      </c>
      <c r="Y16" s="24" t="s">
        <v>147</v>
      </c>
      <c r="Z16" s="24" t="s">
        <v>154</v>
      </c>
      <c r="AA16" s="24" t="s">
        <v>26</v>
      </c>
      <c r="AB16" s="24" t="s">
        <v>144</v>
      </c>
      <c r="AC16" s="24" t="s">
        <v>146</v>
      </c>
      <c r="AD16" s="24" t="s">
        <v>26</v>
      </c>
      <c r="AE16" s="24">
        <v>398</v>
      </c>
      <c r="AF16" s="24">
        <v>0.47820662037086947</v>
      </c>
      <c r="AG16" s="24">
        <v>1</v>
      </c>
    </row>
    <row r="17" spans="1:33" ht="28" x14ac:dyDescent="0.15">
      <c r="A17" s="23">
        <v>215</v>
      </c>
      <c r="B17" s="23">
        <v>2707231021</v>
      </c>
      <c r="C17" s="23">
        <v>27</v>
      </c>
      <c r="D17" s="23">
        <v>7</v>
      </c>
      <c r="E17" s="23">
        <v>2023</v>
      </c>
      <c r="F17" s="23">
        <v>45134</v>
      </c>
      <c r="G17" s="23" t="s">
        <v>12</v>
      </c>
      <c r="H17" s="23">
        <v>0.43477777777777771</v>
      </c>
      <c r="I17" s="23" t="s">
        <v>180</v>
      </c>
      <c r="J17" s="23" t="s">
        <v>178</v>
      </c>
      <c r="K17" s="23">
        <v>1</v>
      </c>
      <c r="L17" s="23" t="s">
        <v>184</v>
      </c>
      <c r="M17" s="23">
        <v>29</v>
      </c>
      <c r="N17" s="23">
        <v>45132</v>
      </c>
      <c r="O17" s="23">
        <v>17.899999999999999</v>
      </c>
      <c r="P17" s="23">
        <v>8.4</v>
      </c>
      <c r="Q17" s="23">
        <v>-2.6</v>
      </c>
      <c r="R17" s="23">
        <v>20.5</v>
      </c>
      <c r="S17" s="23">
        <v>22.2</v>
      </c>
      <c r="T17" s="23">
        <v>4.4000000000000004</v>
      </c>
      <c r="U17" s="23">
        <v>1018.96</v>
      </c>
      <c r="V17" s="23">
        <v>1012.87</v>
      </c>
      <c r="W17" s="23">
        <v>0</v>
      </c>
      <c r="X17" s="23" t="s">
        <v>138</v>
      </c>
      <c r="Y17" s="23" t="s">
        <v>147</v>
      </c>
      <c r="Z17" s="23" t="s">
        <v>154</v>
      </c>
      <c r="AA17" s="23" t="s">
        <v>26</v>
      </c>
      <c r="AB17" s="23" t="s">
        <v>144</v>
      </c>
      <c r="AC17" s="23" t="s">
        <v>146</v>
      </c>
      <c r="AD17" s="23" t="s">
        <v>26</v>
      </c>
      <c r="AE17" s="23">
        <v>450</v>
      </c>
      <c r="AF17" s="23">
        <v>0.37414375430996583</v>
      </c>
      <c r="AG17" s="23">
        <v>1</v>
      </c>
    </row>
    <row r="18" spans="1:33" ht="28" x14ac:dyDescent="0.15">
      <c r="A18" s="23">
        <v>217</v>
      </c>
      <c r="B18" s="23">
        <v>2607231413</v>
      </c>
      <c r="C18" s="23">
        <v>26</v>
      </c>
      <c r="D18" s="23">
        <v>7</v>
      </c>
      <c r="E18" s="23">
        <v>2023</v>
      </c>
      <c r="F18" s="23">
        <v>45133</v>
      </c>
      <c r="G18" s="23" t="s">
        <v>4</v>
      </c>
      <c r="H18" s="23">
        <v>0.32166990291262137</v>
      </c>
      <c r="I18" s="23" t="s">
        <v>180</v>
      </c>
      <c r="J18" s="23" t="s">
        <v>181</v>
      </c>
      <c r="K18" s="23">
        <v>9</v>
      </c>
      <c r="L18" s="23" t="s">
        <v>182</v>
      </c>
      <c r="M18" s="23">
        <v>22</v>
      </c>
      <c r="N18" s="23">
        <v>45131</v>
      </c>
      <c r="O18" s="23">
        <v>13.3</v>
      </c>
      <c r="P18" s="23">
        <v>5.7</v>
      </c>
      <c r="Q18" s="23">
        <v>0.2</v>
      </c>
      <c r="R18" s="23">
        <v>13.100000000000001</v>
      </c>
      <c r="S18" s="23">
        <v>15.4</v>
      </c>
      <c r="T18" s="23">
        <v>2.5</v>
      </c>
      <c r="U18" s="23">
        <v>1019.98</v>
      </c>
      <c r="V18" s="23">
        <v>1015.92</v>
      </c>
      <c r="W18" s="23">
        <v>0.76</v>
      </c>
      <c r="X18" s="23" t="s">
        <v>153</v>
      </c>
      <c r="Y18" s="23" t="s">
        <v>147</v>
      </c>
      <c r="Z18" s="23" t="s">
        <v>139</v>
      </c>
      <c r="AA18" s="23" t="s">
        <v>26</v>
      </c>
      <c r="AB18" s="23" t="s">
        <v>144</v>
      </c>
      <c r="AC18" s="23" t="s">
        <v>146</v>
      </c>
      <c r="AD18" s="23" t="s">
        <v>137</v>
      </c>
      <c r="AE18" s="23">
        <v>181</v>
      </c>
      <c r="AF18" s="23">
        <v>7.3914663535330896E-2</v>
      </c>
      <c r="AG18" s="23">
        <v>0.94444444444444442</v>
      </c>
    </row>
    <row r="19" spans="1:33" ht="28" x14ac:dyDescent="0.15">
      <c r="A19" s="24">
        <v>218</v>
      </c>
      <c r="B19" s="24">
        <v>2607231004</v>
      </c>
      <c r="C19" s="24">
        <v>26</v>
      </c>
      <c r="D19" s="24">
        <v>7</v>
      </c>
      <c r="E19" s="24">
        <v>2023</v>
      </c>
      <c r="F19" s="24">
        <v>45133</v>
      </c>
      <c r="G19" s="24" t="s">
        <v>17</v>
      </c>
      <c r="H19" s="24">
        <v>0.26622093023255816</v>
      </c>
      <c r="I19" s="24" t="s">
        <v>180</v>
      </c>
      <c r="J19" s="24" t="s">
        <v>181</v>
      </c>
      <c r="K19" s="24">
        <v>17</v>
      </c>
      <c r="L19" s="24" t="s">
        <v>182</v>
      </c>
      <c r="M19" s="24">
        <v>19</v>
      </c>
      <c r="N19" s="24">
        <v>45131</v>
      </c>
      <c r="O19" s="24">
        <v>13.3</v>
      </c>
      <c r="P19" s="24">
        <v>5.7</v>
      </c>
      <c r="Q19" s="24">
        <v>0.2</v>
      </c>
      <c r="R19" s="24">
        <v>13.100000000000001</v>
      </c>
      <c r="S19" s="24">
        <v>15.4</v>
      </c>
      <c r="T19" s="24">
        <v>2.5</v>
      </c>
      <c r="U19" s="24">
        <v>1019.98</v>
      </c>
      <c r="V19" s="24">
        <v>1015.92</v>
      </c>
      <c r="W19" s="24">
        <v>0.76</v>
      </c>
      <c r="X19" s="24" t="s">
        <v>153</v>
      </c>
      <c r="Y19" s="24" t="s">
        <v>147</v>
      </c>
      <c r="Z19" s="24" t="s">
        <v>139</v>
      </c>
      <c r="AA19" s="24" t="s">
        <v>26</v>
      </c>
      <c r="AB19" s="24" t="s">
        <v>144</v>
      </c>
      <c r="AC19" s="24" t="s">
        <v>146</v>
      </c>
      <c r="AD19" s="24" t="s">
        <v>137</v>
      </c>
      <c r="AE19" s="24">
        <v>343</v>
      </c>
      <c r="AF19" s="24">
        <v>0.80966774571167055</v>
      </c>
      <c r="AG19" s="24">
        <v>0.94444444444444442</v>
      </c>
    </row>
    <row r="20" spans="1:33" ht="28" x14ac:dyDescent="0.15">
      <c r="A20" s="23">
        <v>219</v>
      </c>
      <c r="B20" s="23">
        <v>2607231022</v>
      </c>
      <c r="C20" s="23">
        <v>26</v>
      </c>
      <c r="D20" s="23">
        <v>7</v>
      </c>
      <c r="E20" s="23">
        <v>2023</v>
      </c>
      <c r="F20" s="23">
        <v>45133</v>
      </c>
      <c r="G20" s="23" t="s">
        <v>15</v>
      </c>
      <c r="H20" s="23">
        <v>0.30174812030075193</v>
      </c>
      <c r="I20" s="23" t="s">
        <v>180</v>
      </c>
      <c r="J20" s="23" t="s">
        <v>181</v>
      </c>
      <c r="K20" s="23">
        <v>15</v>
      </c>
      <c r="L20" s="23" t="s">
        <v>182</v>
      </c>
      <c r="M20" s="23">
        <v>17</v>
      </c>
      <c r="N20" s="23">
        <v>45131</v>
      </c>
      <c r="O20" s="23">
        <v>13.3</v>
      </c>
      <c r="P20" s="23">
        <v>5.7</v>
      </c>
      <c r="Q20" s="23">
        <v>0.2</v>
      </c>
      <c r="R20" s="23">
        <v>13.100000000000001</v>
      </c>
      <c r="S20" s="23">
        <v>15.4</v>
      </c>
      <c r="T20" s="23">
        <v>2.5</v>
      </c>
      <c r="U20" s="23">
        <v>1019.98</v>
      </c>
      <c r="V20" s="23">
        <v>1015.92</v>
      </c>
      <c r="W20" s="23">
        <v>0.76</v>
      </c>
      <c r="X20" s="23" t="s">
        <v>153</v>
      </c>
      <c r="Y20" s="23" t="s">
        <v>147</v>
      </c>
      <c r="Z20" s="23" t="s">
        <v>139</v>
      </c>
      <c r="AA20" s="23" t="s">
        <v>26</v>
      </c>
      <c r="AB20" s="23" t="s">
        <v>144</v>
      </c>
      <c r="AC20" s="23" t="s">
        <v>146</v>
      </c>
      <c r="AD20" s="23" t="s">
        <v>137</v>
      </c>
      <c r="AE20" s="23">
        <v>219</v>
      </c>
      <c r="AF20" s="23">
        <v>0.32257531484312868</v>
      </c>
      <c r="AG20" s="23">
        <v>1</v>
      </c>
    </row>
    <row r="21" spans="1:33" ht="28" x14ac:dyDescent="0.15">
      <c r="A21" s="24">
        <v>220</v>
      </c>
      <c r="B21" s="24">
        <v>2607230951</v>
      </c>
      <c r="C21" s="24">
        <v>26</v>
      </c>
      <c r="D21" s="24">
        <v>7</v>
      </c>
      <c r="E21" s="24">
        <v>2023</v>
      </c>
      <c r="F21" s="24">
        <v>45133</v>
      </c>
      <c r="G21" s="24" t="s">
        <v>1</v>
      </c>
      <c r="H21" s="24">
        <v>0.40018761726078805</v>
      </c>
      <c r="I21" s="24" t="s">
        <v>177</v>
      </c>
      <c r="J21" s="24" t="s">
        <v>178</v>
      </c>
      <c r="K21" s="24">
        <v>6</v>
      </c>
      <c r="L21" s="24" t="s">
        <v>179</v>
      </c>
      <c r="M21" s="24">
        <v>20</v>
      </c>
      <c r="N21" s="24">
        <v>45131</v>
      </c>
      <c r="O21" s="24">
        <v>13.3</v>
      </c>
      <c r="P21" s="24">
        <v>5.7</v>
      </c>
      <c r="Q21" s="24">
        <v>0.2</v>
      </c>
      <c r="R21" s="24">
        <v>13.100000000000001</v>
      </c>
      <c r="S21" s="24">
        <v>15.4</v>
      </c>
      <c r="T21" s="24">
        <v>2.5</v>
      </c>
      <c r="U21" s="24">
        <v>1019.98</v>
      </c>
      <c r="V21" s="24">
        <v>1015.92</v>
      </c>
      <c r="W21" s="24">
        <v>0.76</v>
      </c>
      <c r="X21" s="24" t="s">
        <v>153</v>
      </c>
      <c r="Y21" s="24" t="s">
        <v>147</v>
      </c>
      <c r="Z21" s="24" t="s">
        <v>139</v>
      </c>
      <c r="AA21" s="24" t="s">
        <v>26</v>
      </c>
      <c r="AB21" s="24" t="s">
        <v>144</v>
      </c>
      <c r="AC21" s="24" t="s">
        <v>146</v>
      </c>
      <c r="AD21" s="24" t="s">
        <v>137</v>
      </c>
      <c r="AE21" s="24">
        <v>321</v>
      </c>
      <c r="AF21" s="24">
        <v>0.17530262753188491</v>
      </c>
      <c r="AG21" s="24">
        <v>0.89473684210526316</v>
      </c>
    </row>
    <row r="22" spans="1:33" ht="28" x14ac:dyDescent="0.15">
      <c r="A22" s="23">
        <v>221</v>
      </c>
      <c r="B22" s="23">
        <v>2607230952</v>
      </c>
      <c r="C22" s="23">
        <v>26</v>
      </c>
      <c r="D22" s="23">
        <v>7</v>
      </c>
      <c r="E22" s="23">
        <v>2023</v>
      </c>
      <c r="F22" s="23">
        <v>45133</v>
      </c>
      <c r="G22" s="23" t="s">
        <v>3</v>
      </c>
      <c r="H22" s="23">
        <v>0.42805555555555558</v>
      </c>
      <c r="I22" s="23" t="s">
        <v>180</v>
      </c>
      <c r="J22" s="23" t="s">
        <v>181</v>
      </c>
      <c r="K22" s="23">
        <v>8</v>
      </c>
      <c r="L22" s="23" t="s">
        <v>182</v>
      </c>
      <c r="M22" s="23">
        <v>22</v>
      </c>
      <c r="N22" s="23">
        <v>45131</v>
      </c>
      <c r="O22" s="23">
        <v>13.3</v>
      </c>
      <c r="P22" s="23">
        <v>5.7</v>
      </c>
      <c r="Q22" s="23">
        <v>0.2</v>
      </c>
      <c r="R22" s="23">
        <v>13.100000000000001</v>
      </c>
      <c r="S22" s="23">
        <v>15.4</v>
      </c>
      <c r="T22" s="23">
        <v>2.5</v>
      </c>
      <c r="U22" s="23">
        <v>1019.98</v>
      </c>
      <c r="V22" s="23">
        <v>1015.92</v>
      </c>
      <c r="W22" s="23">
        <v>0.76</v>
      </c>
      <c r="X22" s="23" t="s">
        <v>153</v>
      </c>
      <c r="Y22" s="23" t="s">
        <v>147</v>
      </c>
      <c r="Z22" s="23" t="s">
        <v>139</v>
      </c>
      <c r="AA22" s="23" t="s">
        <v>26</v>
      </c>
      <c r="AB22" s="23" t="s">
        <v>144</v>
      </c>
      <c r="AC22" s="23" t="s">
        <v>146</v>
      </c>
      <c r="AD22" s="23" t="s">
        <v>137</v>
      </c>
      <c r="AE22" s="23">
        <v>234</v>
      </c>
      <c r="AF22" s="23">
        <v>0.16420161303383449</v>
      </c>
      <c r="AG22" s="23">
        <v>1</v>
      </c>
    </row>
    <row r="23" spans="1:33" ht="28" x14ac:dyDescent="0.15">
      <c r="A23" s="23">
        <v>237</v>
      </c>
      <c r="B23" s="23" t="s">
        <v>80</v>
      </c>
      <c r="C23" s="23">
        <v>2</v>
      </c>
      <c r="D23" s="23">
        <v>8</v>
      </c>
      <c r="E23" s="23">
        <v>2023</v>
      </c>
      <c r="F23" s="23">
        <v>45140</v>
      </c>
      <c r="G23" s="23" t="s">
        <v>11</v>
      </c>
      <c r="H23" s="23">
        <v>0.48650735294117647</v>
      </c>
      <c r="I23" s="23" t="s">
        <v>180</v>
      </c>
      <c r="J23" s="23" t="s">
        <v>178</v>
      </c>
      <c r="K23" s="23">
        <v>5</v>
      </c>
      <c r="L23" s="23" t="s">
        <v>184</v>
      </c>
      <c r="M23" s="23">
        <v>27</v>
      </c>
      <c r="N23" s="23">
        <v>45138</v>
      </c>
      <c r="O23" s="23">
        <v>11.6</v>
      </c>
      <c r="P23" s="23">
        <v>7.2</v>
      </c>
      <c r="Q23" s="23">
        <v>1.2</v>
      </c>
      <c r="R23" s="23">
        <v>10.4</v>
      </c>
      <c r="S23" s="23">
        <v>35.200000000000003</v>
      </c>
      <c r="T23" s="23">
        <v>9.6</v>
      </c>
      <c r="U23" s="23">
        <v>1024.04</v>
      </c>
      <c r="V23" s="23">
        <v>1015.92</v>
      </c>
      <c r="W23" s="23">
        <v>0</v>
      </c>
      <c r="X23" s="23" t="s">
        <v>138</v>
      </c>
      <c r="Y23" s="23" t="s">
        <v>147</v>
      </c>
      <c r="Z23" s="23" t="s">
        <v>139</v>
      </c>
      <c r="AA23" s="23" t="s">
        <v>26</v>
      </c>
      <c r="AB23" s="23" t="s">
        <v>144</v>
      </c>
      <c r="AC23" s="23" t="s">
        <v>146</v>
      </c>
      <c r="AD23" s="23" t="s">
        <v>137</v>
      </c>
      <c r="AE23" s="23">
        <v>404</v>
      </c>
      <c r="AF23" s="23">
        <v>0.91664628583929353</v>
      </c>
      <c r="AG23" s="23">
        <v>1</v>
      </c>
    </row>
    <row r="24" spans="1:33" ht="28" x14ac:dyDescent="0.15">
      <c r="A24" s="24">
        <v>238</v>
      </c>
      <c r="B24" s="24" t="s">
        <v>81</v>
      </c>
      <c r="C24" s="24">
        <v>2</v>
      </c>
      <c r="D24" s="24">
        <v>8</v>
      </c>
      <c r="E24" s="24">
        <v>2023</v>
      </c>
      <c r="F24" s="24">
        <v>45140</v>
      </c>
      <c r="G24" s="24" t="s">
        <v>14</v>
      </c>
      <c r="H24" s="24">
        <v>0.42813359528487233</v>
      </c>
      <c r="I24" s="24" t="s">
        <v>177</v>
      </c>
      <c r="J24" s="24" t="s">
        <v>181</v>
      </c>
      <c r="K24" s="24">
        <v>13</v>
      </c>
      <c r="L24" s="24" t="s">
        <v>183</v>
      </c>
      <c r="M24" s="24">
        <v>12</v>
      </c>
      <c r="N24" s="24">
        <v>45138</v>
      </c>
      <c r="O24" s="24">
        <v>11.6</v>
      </c>
      <c r="P24" s="24">
        <v>7.2</v>
      </c>
      <c r="Q24" s="24">
        <v>1.2</v>
      </c>
      <c r="R24" s="24">
        <v>10.4</v>
      </c>
      <c r="S24" s="24">
        <v>35.200000000000003</v>
      </c>
      <c r="T24" s="24">
        <v>9.6</v>
      </c>
      <c r="U24" s="24">
        <v>1024.04</v>
      </c>
      <c r="V24" s="24">
        <v>1015.92</v>
      </c>
      <c r="W24" s="24">
        <v>0</v>
      </c>
      <c r="X24" s="24" t="s">
        <v>138</v>
      </c>
      <c r="Y24" s="24" t="s">
        <v>147</v>
      </c>
      <c r="Z24" s="24" t="s">
        <v>139</v>
      </c>
      <c r="AA24" s="24" t="s">
        <v>26</v>
      </c>
      <c r="AB24" s="24" t="s">
        <v>144</v>
      </c>
      <c r="AC24" s="24" t="s">
        <v>146</v>
      </c>
      <c r="AD24" s="24" t="s">
        <v>137</v>
      </c>
      <c r="AE24" s="24">
        <v>269</v>
      </c>
      <c r="AF24" s="24">
        <v>0.65767064449315993</v>
      </c>
      <c r="AG24" s="24">
        <v>0.94444444444444442</v>
      </c>
    </row>
    <row r="25" spans="1:33" ht="28" x14ac:dyDescent="0.15">
      <c r="A25" s="23">
        <v>239</v>
      </c>
      <c r="B25" s="23" t="s">
        <v>82</v>
      </c>
      <c r="C25" s="23">
        <v>2</v>
      </c>
      <c r="D25" s="23">
        <v>8</v>
      </c>
      <c r="E25" s="23">
        <v>2023</v>
      </c>
      <c r="F25" s="23">
        <v>45140</v>
      </c>
      <c r="G25" s="23" t="s">
        <v>4</v>
      </c>
      <c r="H25" s="23">
        <v>0.39440313111545994</v>
      </c>
      <c r="I25" s="23" t="s">
        <v>180</v>
      </c>
      <c r="J25" s="23" t="s">
        <v>181</v>
      </c>
      <c r="K25" s="23">
        <v>9</v>
      </c>
      <c r="L25" s="23" t="s">
        <v>182</v>
      </c>
      <c r="M25" s="23">
        <v>22</v>
      </c>
      <c r="N25" s="23">
        <v>45138</v>
      </c>
      <c r="O25" s="23">
        <v>11.6</v>
      </c>
      <c r="P25" s="23">
        <v>7.2</v>
      </c>
      <c r="Q25" s="23">
        <v>1.2</v>
      </c>
      <c r="R25" s="23">
        <v>10.4</v>
      </c>
      <c r="S25" s="23">
        <v>35.200000000000003</v>
      </c>
      <c r="T25" s="23">
        <v>9.6</v>
      </c>
      <c r="U25" s="23">
        <v>1024.04</v>
      </c>
      <c r="V25" s="23">
        <v>1015.92</v>
      </c>
      <c r="W25" s="23">
        <v>0</v>
      </c>
      <c r="X25" s="23" t="s">
        <v>138</v>
      </c>
      <c r="Y25" s="23" t="s">
        <v>147</v>
      </c>
      <c r="Z25" s="23" t="s">
        <v>139</v>
      </c>
      <c r="AA25" s="23" t="s">
        <v>26</v>
      </c>
      <c r="AB25" s="23" t="s">
        <v>144</v>
      </c>
      <c r="AC25" s="23" t="s">
        <v>146</v>
      </c>
      <c r="AD25" s="23" t="s">
        <v>137</v>
      </c>
      <c r="AE25" s="23">
        <v>181</v>
      </c>
      <c r="AF25" s="23">
        <v>7.3914663535330896E-2</v>
      </c>
      <c r="AG25" s="23">
        <v>0.94444444444444442</v>
      </c>
    </row>
    <row r="26" spans="1:33" ht="28" x14ac:dyDescent="0.15">
      <c r="A26" s="24">
        <v>240</v>
      </c>
      <c r="B26" s="24" t="s">
        <v>83</v>
      </c>
      <c r="C26" s="24">
        <v>2</v>
      </c>
      <c r="D26" s="24">
        <v>8</v>
      </c>
      <c r="E26" s="24">
        <v>2023</v>
      </c>
      <c r="F26" s="24">
        <v>45140</v>
      </c>
      <c r="G26" s="24" t="s">
        <v>17</v>
      </c>
      <c r="H26" s="24">
        <v>0.35480225988700564</v>
      </c>
      <c r="I26" s="24" t="s">
        <v>180</v>
      </c>
      <c r="J26" s="24" t="s">
        <v>181</v>
      </c>
      <c r="K26" s="24">
        <v>17</v>
      </c>
      <c r="L26" s="24" t="s">
        <v>182</v>
      </c>
      <c r="M26" s="24">
        <v>19</v>
      </c>
      <c r="N26" s="24">
        <v>45138</v>
      </c>
      <c r="O26" s="24">
        <v>11.6</v>
      </c>
      <c r="P26" s="24">
        <v>7.2</v>
      </c>
      <c r="Q26" s="24">
        <v>1.2</v>
      </c>
      <c r="R26" s="24">
        <v>10.4</v>
      </c>
      <c r="S26" s="24">
        <v>35.200000000000003</v>
      </c>
      <c r="T26" s="24">
        <v>9.6</v>
      </c>
      <c r="U26" s="24">
        <v>1024.04</v>
      </c>
      <c r="V26" s="24">
        <v>1015.92</v>
      </c>
      <c r="W26" s="24">
        <v>0</v>
      </c>
      <c r="X26" s="24" t="s">
        <v>138</v>
      </c>
      <c r="Y26" s="24" t="s">
        <v>147</v>
      </c>
      <c r="Z26" s="24" t="s">
        <v>139</v>
      </c>
      <c r="AA26" s="24" t="s">
        <v>26</v>
      </c>
      <c r="AB26" s="24" t="s">
        <v>144</v>
      </c>
      <c r="AC26" s="24" t="s">
        <v>146</v>
      </c>
      <c r="AD26" s="24" t="s">
        <v>137</v>
      </c>
      <c r="AE26" s="24">
        <v>343</v>
      </c>
      <c r="AF26" s="24">
        <v>0.80966774571167055</v>
      </c>
      <c r="AG26" s="24">
        <v>0.94444444444444442</v>
      </c>
    </row>
    <row r="27" spans="1:33" ht="28" x14ac:dyDescent="0.15">
      <c r="A27" s="23">
        <v>241</v>
      </c>
      <c r="B27" s="23" t="s">
        <v>84</v>
      </c>
      <c r="C27" s="23">
        <v>2</v>
      </c>
      <c r="D27" s="23">
        <v>8</v>
      </c>
      <c r="E27" s="23">
        <v>2023</v>
      </c>
      <c r="F27" s="23">
        <v>45140</v>
      </c>
      <c r="G27" s="23" t="s">
        <v>15</v>
      </c>
      <c r="H27" s="23">
        <v>0.44186640471512773</v>
      </c>
      <c r="I27" s="23" t="s">
        <v>180</v>
      </c>
      <c r="J27" s="23" t="s">
        <v>181</v>
      </c>
      <c r="K27" s="23">
        <v>15</v>
      </c>
      <c r="L27" s="23" t="s">
        <v>182</v>
      </c>
      <c r="M27" s="23">
        <v>17</v>
      </c>
      <c r="N27" s="23">
        <v>45138</v>
      </c>
      <c r="O27" s="23">
        <v>11.6</v>
      </c>
      <c r="P27" s="23">
        <v>7.2</v>
      </c>
      <c r="Q27" s="23">
        <v>1.2</v>
      </c>
      <c r="R27" s="23">
        <v>10.4</v>
      </c>
      <c r="S27" s="23">
        <v>35.200000000000003</v>
      </c>
      <c r="T27" s="23">
        <v>9.6</v>
      </c>
      <c r="U27" s="23">
        <v>1024.04</v>
      </c>
      <c r="V27" s="23">
        <v>1015.92</v>
      </c>
      <c r="W27" s="23">
        <v>0</v>
      </c>
      <c r="X27" s="23" t="s">
        <v>138</v>
      </c>
      <c r="Y27" s="23" t="s">
        <v>147</v>
      </c>
      <c r="Z27" s="23" t="s">
        <v>139</v>
      </c>
      <c r="AA27" s="23" t="s">
        <v>26</v>
      </c>
      <c r="AB27" s="23" t="s">
        <v>144</v>
      </c>
      <c r="AC27" s="23" t="s">
        <v>146</v>
      </c>
      <c r="AD27" s="23" t="s">
        <v>137</v>
      </c>
      <c r="AE27" s="23">
        <v>219</v>
      </c>
      <c r="AF27" s="23">
        <v>0.32257531484312868</v>
      </c>
      <c r="AG27" s="23">
        <v>1</v>
      </c>
    </row>
    <row r="28" spans="1:33" ht="28" x14ac:dyDescent="0.15">
      <c r="A28" s="24">
        <v>242</v>
      </c>
      <c r="B28" s="24" t="s">
        <v>85</v>
      </c>
      <c r="C28" s="24">
        <v>2</v>
      </c>
      <c r="D28" s="24">
        <v>8</v>
      </c>
      <c r="E28" s="24">
        <v>2023</v>
      </c>
      <c r="F28" s="24">
        <v>45140</v>
      </c>
      <c r="G28" s="24" t="s">
        <v>1</v>
      </c>
      <c r="H28" s="24">
        <v>0.31719851576994423</v>
      </c>
      <c r="I28" s="24" t="s">
        <v>177</v>
      </c>
      <c r="J28" s="24" t="s">
        <v>178</v>
      </c>
      <c r="K28" s="24">
        <v>6</v>
      </c>
      <c r="L28" s="24" t="s">
        <v>179</v>
      </c>
      <c r="M28" s="24">
        <v>20</v>
      </c>
      <c r="N28" s="24">
        <v>45138</v>
      </c>
      <c r="O28" s="24">
        <v>11.6</v>
      </c>
      <c r="P28" s="24">
        <v>7.2</v>
      </c>
      <c r="Q28" s="24">
        <v>1.2</v>
      </c>
      <c r="R28" s="24">
        <v>10.4</v>
      </c>
      <c r="S28" s="24">
        <v>35.200000000000003</v>
      </c>
      <c r="T28" s="24">
        <v>9.6</v>
      </c>
      <c r="U28" s="24">
        <v>1024.04</v>
      </c>
      <c r="V28" s="24">
        <v>1015.92</v>
      </c>
      <c r="W28" s="24">
        <v>0</v>
      </c>
      <c r="X28" s="24" t="s">
        <v>138</v>
      </c>
      <c r="Y28" s="24" t="s">
        <v>147</v>
      </c>
      <c r="Z28" s="24" t="s">
        <v>139</v>
      </c>
      <c r="AA28" s="24" t="s">
        <v>26</v>
      </c>
      <c r="AB28" s="24" t="s">
        <v>144</v>
      </c>
      <c r="AC28" s="24" t="s">
        <v>146</v>
      </c>
      <c r="AD28" s="24" t="s">
        <v>137</v>
      </c>
      <c r="AE28" s="24">
        <v>321</v>
      </c>
      <c r="AF28" s="24">
        <v>0.17530262753188491</v>
      </c>
      <c r="AG28" s="24">
        <v>0.89473684210526316</v>
      </c>
    </row>
    <row r="29" spans="1:33" ht="28" x14ac:dyDescent="0.15">
      <c r="A29" s="23">
        <v>243</v>
      </c>
      <c r="B29" s="23" t="s">
        <v>86</v>
      </c>
      <c r="C29" s="23">
        <v>2</v>
      </c>
      <c r="D29" s="23">
        <v>8</v>
      </c>
      <c r="E29" s="23">
        <v>2023</v>
      </c>
      <c r="F29" s="23">
        <v>45140</v>
      </c>
      <c r="G29" s="23" t="s">
        <v>9</v>
      </c>
      <c r="H29" s="23">
        <v>0.46645161290322601</v>
      </c>
      <c r="I29" s="23" t="s">
        <v>177</v>
      </c>
      <c r="J29" s="23" t="s">
        <v>181</v>
      </c>
      <c r="K29" s="23">
        <v>18</v>
      </c>
      <c r="L29" s="23" t="s">
        <v>183</v>
      </c>
      <c r="M29" s="23">
        <v>15</v>
      </c>
      <c r="N29" s="23">
        <v>45138</v>
      </c>
      <c r="O29" s="23">
        <v>11.6</v>
      </c>
      <c r="P29" s="23">
        <v>7.2</v>
      </c>
      <c r="Q29" s="23">
        <v>1.2</v>
      </c>
      <c r="R29" s="23">
        <v>10.4</v>
      </c>
      <c r="S29" s="23">
        <v>35.200000000000003</v>
      </c>
      <c r="T29" s="23">
        <v>9.6</v>
      </c>
      <c r="U29" s="23">
        <v>1024.04</v>
      </c>
      <c r="V29" s="23">
        <v>1015.92</v>
      </c>
      <c r="W29" s="23">
        <v>0</v>
      </c>
      <c r="X29" s="23" t="s">
        <v>138</v>
      </c>
      <c r="Y29" s="23" t="s">
        <v>147</v>
      </c>
      <c r="Z29" s="23" t="s">
        <v>139</v>
      </c>
      <c r="AA29" s="23" t="s">
        <v>26</v>
      </c>
      <c r="AB29" s="23" t="s">
        <v>144</v>
      </c>
      <c r="AC29" s="23" t="s">
        <v>146</v>
      </c>
      <c r="AD29" s="23" t="s">
        <v>137</v>
      </c>
      <c r="AE29" s="23">
        <v>305</v>
      </c>
      <c r="AF29" s="23">
        <v>0.17467336145108631</v>
      </c>
      <c r="AG29" s="23">
        <v>0.89473684210526316</v>
      </c>
    </row>
    <row r="30" spans="1:33" ht="28" x14ac:dyDescent="0.15">
      <c r="A30" s="24">
        <v>244</v>
      </c>
      <c r="B30" s="24" t="s">
        <v>87</v>
      </c>
      <c r="C30" s="24">
        <v>2</v>
      </c>
      <c r="D30" s="24">
        <v>8</v>
      </c>
      <c r="E30" s="24">
        <v>2023</v>
      </c>
      <c r="F30" s="24">
        <v>45140</v>
      </c>
      <c r="G30" s="24" t="s">
        <v>6</v>
      </c>
      <c r="H30" s="24">
        <v>0.4751594746716698</v>
      </c>
      <c r="I30" s="24" t="s">
        <v>177</v>
      </c>
      <c r="J30" s="24" t="s">
        <v>178</v>
      </c>
      <c r="K30" s="24">
        <v>3</v>
      </c>
      <c r="L30" s="24" t="s">
        <v>179</v>
      </c>
      <c r="M30" s="24">
        <v>18</v>
      </c>
      <c r="N30" s="24">
        <v>45138</v>
      </c>
      <c r="O30" s="24">
        <v>11.6</v>
      </c>
      <c r="P30" s="24">
        <v>7.2</v>
      </c>
      <c r="Q30" s="24">
        <v>1.2</v>
      </c>
      <c r="R30" s="24">
        <v>10.4</v>
      </c>
      <c r="S30" s="24">
        <v>35.200000000000003</v>
      </c>
      <c r="T30" s="24">
        <v>9.6</v>
      </c>
      <c r="U30" s="24">
        <v>1024.04</v>
      </c>
      <c r="V30" s="24">
        <v>1015.92</v>
      </c>
      <c r="W30" s="24">
        <v>0</v>
      </c>
      <c r="X30" s="24" t="s">
        <v>138</v>
      </c>
      <c r="Y30" s="24" t="s">
        <v>147</v>
      </c>
      <c r="Z30" s="24" t="s">
        <v>139</v>
      </c>
      <c r="AA30" s="24" t="s">
        <v>26</v>
      </c>
      <c r="AB30" s="24" t="s">
        <v>144</v>
      </c>
      <c r="AC30" s="24" t="s">
        <v>146</v>
      </c>
      <c r="AD30" s="24" t="s">
        <v>137</v>
      </c>
      <c r="AE30" s="24">
        <v>286</v>
      </c>
      <c r="AF30" s="24">
        <v>0.26721028245328138</v>
      </c>
      <c r="AG30" s="24">
        <v>0.89473684210526316</v>
      </c>
    </row>
    <row r="31" spans="1:33" ht="28" x14ac:dyDescent="0.15">
      <c r="A31" s="23">
        <v>245</v>
      </c>
      <c r="B31" s="23" t="s">
        <v>88</v>
      </c>
      <c r="C31" s="23">
        <v>2</v>
      </c>
      <c r="D31" s="23">
        <v>8</v>
      </c>
      <c r="E31" s="23">
        <v>2023</v>
      </c>
      <c r="F31" s="23">
        <v>45140</v>
      </c>
      <c r="G31" s="23" t="s">
        <v>2</v>
      </c>
      <c r="H31" s="23">
        <v>0.33350649350649347</v>
      </c>
      <c r="I31" s="23" t="s">
        <v>177</v>
      </c>
      <c r="J31" s="23" t="s">
        <v>178</v>
      </c>
      <c r="K31" s="23">
        <v>12</v>
      </c>
      <c r="L31" s="23" t="s">
        <v>179</v>
      </c>
      <c r="M31" s="23">
        <v>30</v>
      </c>
      <c r="N31" s="23">
        <v>45138</v>
      </c>
      <c r="O31" s="23">
        <v>11.6</v>
      </c>
      <c r="P31" s="23">
        <v>7.2</v>
      </c>
      <c r="Q31" s="23">
        <v>1.2</v>
      </c>
      <c r="R31" s="23">
        <v>10.4</v>
      </c>
      <c r="S31" s="23">
        <v>35.200000000000003</v>
      </c>
      <c r="T31" s="23">
        <v>9.6</v>
      </c>
      <c r="U31" s="23">
        <v>1024.04</v>
      </c>
      <c r="V31" s="23">
        <v>1015.92</v>
      </c>
      <c r="W31" s="23">
        <v>0</v>
      </c>
      <c r="X31" s="23" t="s">
        <v>138</v>
      </c>
      <c r="Y31" s="23" t="s">
        <v>147</v>
      </c>
      <c r="Z31" s="23" t="s">
        <v>139</v>
      </c>
      <c r="AA31" s="23" t="s">
        <v>26</v>
      </c>
      <c r="AB31" s="23" t="s">
        <v>144</v>
      </c>
      <c r="AC31" s="23" t="s">
        <v>146</v>
      </c>
      <c r="AD31" s="23" t="s">
        <v>137</v>
      </c>
      <c r="AE31" s="23">
        <v>378</v>
      </c>
      <c r="AF31" s="23">
        <v>8.6599138783086713E-2</v>
      </c>
      <c r="AG31" s="23">
        <v>1</v>
      </c>
    </row>
    <row r="32" spans="1:33" ht="28" x14ac:dyDescent="0.15">
      <c r="A32" s="24">
        <v>246</v>
      </c>
      <c r="B32" s="24" t="s">
        <v>89</v>
      </c>
      <c r="C32" s="24">
        <v>2</v>
      </c>
      <c r="D32" s="24">
        <v>8</v>
      </c>
      <c r="E32" s="24">
        <v>2023</v>
      </c>
      <c r="F32" s="24">
        <v>45140</v>
      </c>
      <c r="G32" s="24" t="s">
        <v>10</v>
      </c>
      <c r="H32" s="24">
        <v>0.51617810760667893</v>
      </c>
      <c r="I32" s="24" t="s">
        <v>177</v>
      </c>
      <c r="J32" s="24" t="s">
        <v>178</v>
      </c>
      <c r="K32" s="24">
        <v>7</v>
      </c>
      <c r="L32" s="24" t="s">
        <v>179</v>
      </c>
      <c r="M32" s="24">
        <v>29</v>
      </c>
      <c r="N32" s="24">
        <v>45138</v>
      </c>
      <c r="O32" s="24">
        <v>11.6</v>
      </c>
      <c r="P32" s="24">
        <v>7.2</v>
      </c>
      <c r="Q32" s="24">
        <v>1.2</v>
      </c>
      <c r="R32" s="24">
        <v>10.4</v>
      </c>
      <c r="S32" s="24">
        <v>35.200000000000003</v>
      </c>
      <c r="T32" s="24">
        <v>9.6</v>
      </c>
      <c r="U32" s="24">
        <v>1024.04</v>
      </c>
      <c r="V32" s="24">
        <v>1015.92</v>
      </c>
      <c r="W32" s="24">
        <v>0</v>
      </c>
      <c r="X32" s="24" t="s">
        <v>138</v>
      </c>
      <c r="Y32" s="24" t="s">
        <v>147</v>
      </c>
      <c r="Z32" s="24" t="s">
        <v>139</v>
      </c>
      <c r="AA32" s="24" t="s">
        <v>26</v>
      </c>
      <c r="AB32" s="24" t="s">
        <v>144</v>
      </c>
      <c r="AC32" s="24" t="s">
        <v>146</v>
      </c>
      <c r="AD32" s="24" t="s">
        <v>137</v>
      </c>
      <c r="AE32" s="24">
        <v>424</v>
      </c>
      <c r="AF32" s="24">
        <v>0.10282190709599449</v>
      </c>
      <c r="AG32" s="24">
        <v>0.94444444444444442</v>
      </c>
    </row>
    <row r="33" spans="1:33" ht="28" x14ac:dyDescent="0.15">
      <c r="A33" s="23">
        <v>247</v>
      </c>
      <c r="B33" s="23" t="s">
        <v>90</v>
      </c>
      <c r="C33" s="23">
        <v>2</v>
      </c>
      <c r="D33" s="23">
        <v>8</v>
      </c>
      <c r="E33" s="23">
        <v>2023</v>
      </c>
      <c r="F33" s="23">
        <v>45140</v>
      </c>
      <c r="G33" s="23" t="s">
        <v>3</v>
      </c>
      <c r="H33" s="23">
        <v>0.39818181818181808</v>
      </c>
      <c r="I33" s="23" t="s">
        <v>180</v>
      </c>
      <c r="J33" s="23" t="s">
        <v>181</v>
      </c>
      <c r="K33" s="23">
        <v>8</v>
      </c>
      <c r="L33" s="23" t="s">
        <v>182</v>
      </c>
      <c r="M33" s="23">
        <v>22</v>
      </c>
      <c r="N33" s="23">
        <v>45138</v>
      </c>
      <c r="O33" s="23">
        <v>11.6</v>
      </c>
      <c r="P33" s="23">
        <v>7.2</v>
      </c>
      <c r="Q33" s="23">
        <v>1.2</v>
      </c>
      <c r="R33" s="23">
        <v>10.4</v>
      </c>
      <c r="S33" s="23">
        <v>35.200000000000003</v>
      </c>
      <c r="T33" s="23">
        <v>9.6</v>
      </c>
      <c r="U33" s="23">
        <v>1024.04</v>
      </c>
      <c r="V33" s="23">
        <v>1015.92</v>
      </c>
      <c r="W33" s="23">
        <v>0</v>
      </c>
      <c r="X33" s="23" t="s">
        <v>138</v>
      </c>
      <c r="Y33" s="23" t="s">
        <v>147</v>
      </c>
      <c r="Z33" s="23" t="s">
        <v>139</v>
      </c>
      <c r="AA33" s="23" t="s">
        <v>26</v>
      </c>
      <c r="AB33" s="23" t="s">
        <v>144</v>
      </c>
      <c r="AC33" s="23" t="s">
        <v>146</v>
      </c>
      <c r="AD33" s="23" t="s">
        <v>137</v>
      </c>
      <c r="AE33" s="23">
        <v>234</v>
      </c>
      <c r="AF33" s="23">
        <v>0.16420161303383449</v>
      </c>
      <c r="AG33" s="23">
        <v>1</v>
      </c>
    </row>
    <row r="34" spans="1:33" ht="28" x14ac:dyDescent="0.15">
      <c r="A34" s="24">
        <v>248</v>
      </c>
      <c r="B34" s="24" t="s">
        <v>91</v>
      </c>
      <c r="C34" s="24">
        <v>1</v>
      </c>
      <c r="D34" s="24">
        <v>8</v>
      </c>
      <c r="E34" s="24">
        <v>2023</v>
      </c>
      <c r="F34" s="24">
        <v>45139</v>
      </c>
      <c r="G34" s="24" t="s">
        <v>17</v>
      </c>
      <c r="H34" s="24">
        <v>0.37949119373776907</v>
      </c>
      <c r="I34" s="24" t="s">
        <v>180</v>
      </c>
      <c r="J34" s="24" t="s">
        <v>181</v>
      </c>
      <c r="K34" s="24">
        <v>17</v>
      </c>
      <c r="L34" s="24" t="s">
        <v>182</v>
      </c>
      <c r="M34" s="24">
        <v>19</v>
      </c>
      <c r="N34" s="24">
        <v>45137</v>
      </c>
      <c r="O34" s="24">
        <v>9.6999999999999993</v>
      </c>
      <c r="P34" s="24">
        <v>6.4</v>
      </c>
      <c r="Q34" s="24">
        <v>2.5</v>
      </c>
      <c r="R34" s="24">
        <v>7.1999999999999993</v>
      </c>
      <c r="S34" s="24">
        <v>54.7</v>
      </c>
      <c r="T34" s="24">
        <v>14.2</v>
      </c>
      <c r="U34" s="24">
        <v>1016.93</v>
      </c>
      <c r="V34" s="24">
        <v>1008.81</v>
      </c>
      <c r="W34" s="24">
        <v>0</v>
      </c>
      <c r="X34" s="24" t="s">
        <v>138</v>
      </c>
      <c r="Y34" s="24" t="s">
        <v>147</v>
      </c>
      <c r="Z34" s="24" t="s">
        <v>141</v>
      </c>
      <c r="AA34" s="24" t="s">
        <v>26</v>
      </c>
      <c r="AB34" s="24" t="s">
        <v>144</v>
      </c>
      <c r="AC34" s="24" t="s">
        <v>146</v>
      </c>
      <c r="AD34" s="24" t="s">
        <v>137</v>
      </c>
      <c r="AE34" s="24">
        <v>343</v>
      </c>
      <c r="AF34" s="24">
        <v>0.80966774571167055</v>
      </c>
      <c r="AG34" s="24">
        <v>0.94444444444444442</v>
      </c>
    </row>
    <row r="35" spans="1:33" ht="28" x14ac:dyDescent="0.15">
      <c r="A35" s="23">
        <v>249</v>
      </c>
      <c r="B35" s="23" t="s">
        <v>92</v>
      </c>
      <c r="C35" s="23">
        <v>1</v>
      </c>
      <c r="D35" s="23">
        <v>8</v>
      </c>
      <c r="E35" s="23">
        <v>2023</v>
      </c>
      <c r="F35" s="23">
        <v>45139</v>
      </c>
      <c r="G35" s="23" t="s">
        <v>6</v>
      </c>
      <c r="H35" s="23">
        <v>0.41842990654205608</v>
      </c>
      <c r="I35" s="23" t="s">
        <v>177</v>
      </c>
      <c r="J35" s="23" t="s">
        <v>178</v>
      </c>
      <c r="K35" s="23">
        <v>3</v>
      </c>
      <c r="L35" s="23" t="s">
        <v>179</v>
      </c>
      <c r="M35" s="23">
        <v>18</v>
      </c>
      <c r="N35" s="23">
        <v>45137</v>
      </c>
      <c r="O35" s="23">
        <v>9.6999999999999993</v>
      </c>
      <c r="P35" s="23">
        <v>6.4</v>
      </c>
      <c r="Q35" s="23">
        <v>2.5</v>
      </c>
      <c r="R35" s="23">
        <v>7.1999999999999993</v>
      </c>
      <c r="S35" s="23">
        <v>54.7</v>
      </c>
      <c r="T35" s="23">
        <v>14.2</v>
      </c>
      <c r="U35" s="23">
        <v>1016.93</v>
      </c>
      <c r="V35" s="23">
        <v>1008.81</v>
      </c>
      <c r="W35" s="23">
        <v>0</v>
      </c>
      <c r="X35" s="23" t="s">
        <v>138</v>
      </c>
      <c r="Y35" s="23" t="s">
        <v>147</v>
      </c>
      <c r="Z35" s="23" t="s">
        <v>141</v>
      </c>
      <c r="AA35" s="23" t="s">
        <v>26</v>
      </c>
      <c r="AB35" s="23" t="s">
        <v>144</v>
      </c>
      <c r="AC35" s="23" t="s">
        <v>146</v>
      </c>
      <c r="AD35" s="23" t="s">
        <v>137</v>
      </c>
      <c r="AE35" s="23">
        <v>286</v>
      </c>
      <c r="AF35" s="23">
        <v>0.26721028245328138</v>
      </c>
      <c r="AG35" s="23">
        <v>0.89473684210526316</v>
      </c>
    </row>
    <row r="36" spans="1:33" ht="28" x14ac:dyDescent="0.15">
      <c r="A36" s="24">
        <v>250</v>
      </c>
      <c r="B36" s="24" t="s">
        <v>93</v>
      </c>
      <c r="C36" s="24">
        <v>1</v>
      </c>
      <c r="D36" s="24">
        <v>8</v>
      </c>
      <c r="E36" s="24">
        <v>2023</v>
      </c>
      <c r="F36" s="24">
        <v>45139</v>
      </c>
      <c r="G36" s="24" t="s">
        <v>16</v>
      </c>
      <c r="H36" s="24">
        <v>0.65011049723756886</v>
      </c>
      <c r="I36" s="24" t="s">
        <v>177</v>
      </c>
      <c r="J36" s="24" t="s">
        <v>178</v>
      </c>
      <c r="K36" s="24">
        <v>2</v>
      </c>
      <c r="L36" s="24" t="s">
        <v>179</v>
      </c>
      <c r="M36" s="24">
        <v>26</v>
      </c>
      <c r="N36" s="24">
        <v>45137</v>
      </c>
      <c r="O36" s="24">
        <v>9.6999999999999993</v>
      </c>
      <c r="P36" s="24">
        <v>6.4</v>
      </c>
      <c r="Q36" s="24">
        <v>2.5</v>
      </c>
      <c r="R36" s="24">
        <v>7.1999999999999993</v>
      </c>
      <c r="S36" s="24">
        <v>54.7</v>
      </c>
      <c r="T36" s="24">
        <v>14.2</v>
      </c>
      <c r="U36" s="24">
        <v>1016.93</v>
      </c>
      <c r="V36" s="24">
        <v>1008.81</v>
      </c>
      <c r="W36" s="24">
        <v>0</v>
      </c>
      <c r="X36" s="24" t="s">
        <v>138</v>
      </c>
      <c r="Y36" s="24" t="s">
        <v>147</v>
      </c>
      <c r="Z36" s="24" t="s">
        <v>141</v>
      </c>
      <c r="AA36" s="24" t="s">
        <v>26</v>
      </c>
      <c r="AB36" s="24" t="s">
        <v>144</v>
      </c>
      <c r="AC36" s="24" t="s">
        <v>146</v>
      </c>
      <c r="AD36" s="24" t="s">
        <v>137</v>
      </c>
      <c r="AE36" s="24">
        <v>474</v>
      </c>
      <c r="AF36" s="24">
        <v>0.1206993463154281</v>
      </c>
      <c r="AG36" s="24">
        <v>0.94444444444444442</v>
      </c>
    </row>
    <row r="37" spans="1:33" ht="28" x14ac:dyDescent="0.15">
      <c r="A37" s="23">
        <v>251</v>
      </c>
      <c r="B37" s="23" t="s">
        <v>94</v>
      </c>
      <c r="C37" s="23">
        <v>1</v>
      </c>
      <c r="D37" s="23">
        <v>8</v>
      </c>
      <c r="E37" s="23">
        <v>2023</v>
      </c>
      <c r="F37" s="23">
        <v>45139</v>
      </c>
      <c r="G37" s="23" t="s">
        <v>12</v>
      </c>
      <c r="H37" s="23">
        <v>0.27674858223062376</v>
      </c>
      <c r="I37" s="23" t="s">
        <v>180</v>
      </c>
      <c r="J37" s="23" t="s">
        <v>178</v>
      </c>
      <c r="K37" s="23">
        <v>1</v>
      </c>
      <c r="L37" s="23" t="s">
        <v>184</v>
      </c>
      <c r="M37" s="23">
        <v>29</v>
      </c>
      <c r="N37" s="23">
        <v>45137</v>
      </c>
      <c r="O37" s="23">
        <v>9.6999999999999993</v>
      </c>
      <c r="P37" s="23">
        <v>6.4</v>
      </c>
      <c r="Q37" s="23">
        <v>2.5</v>
      </c>
      <c r="R37" s="23">
        <v>7.1999999999999993</v>
      </c>
      <c r="S37" s="23">
        <v>54.7</v>
      </c>
      <c r="T37" s="23">
        <v>14.2</v>
      </c>
      <c r="U37" s="23">
        <v>1016.93</v>
      </c>
      <c r="V37" s="23">
        <v>1008.81</v>
      </c>
      <c r="W37" s="23">
        <v>0</v>
      </c>
      <c r="X37" s="23" t="s">
        <v>138</v>
      </c>
      <c r="Y37" s="23" t="s">
        <v>147</v>
      </c>
      <c r="Z37" s="23" t="s">
        <v>141</v>
      </c>
      <c r="AA37" s="23" t="s">
        <v>26</v>
      </c>
      <c r="AB37" s="23" t="s">
        <v>144</v>
      </c>
      <c r="AC37" s="23" t="s">
        <v>146</v>
      </c>
      <c r="AD37" s="23" t="s">
        <v>137</v>
      </c>
      <c r="AE37" s="23">
        <v>450</v>
      </c>
      <c r="AF37" s="23">
        <v>0.37414375430996583</v>
      </c>
      <c r="AG37" s="23">
        <v>1</v>
      </c>
    </row>
    <row r="38" spans="1:33" ht="28" x14ac:dyDescent="0.15">
      <c r="A38" s="24">
        <v>252</v>
      </c>
      <c r="B38" s="24" t="s">
        <v>95</v>
      </c>
      <c r="C38" s="24">
        <v>1</v>
      </c>
      <c r="D38" s="24">
        <v>8</v>
      </c>
      <c r="E38" s="24">
        <v>2023</v>
      </c>
      <c r="F38" s="24">
        <v>45139</v>
      </c>
      <c r="G38" s="24" t="s">
        <v>8</v>
      </c>
      <c r="H38" s="24">
        <v>0.26371541501976287</v>
      </c>
      <c r="I38" s="24" t="s">
        <v>177</v>
      </c>
      <c r="J38" s="24" t="s">
        <v>178</v>
      </c>
      <c r="K38" s="24">
        <v>4</v>
      </c>
      <c r="L38" s="24" t="s">
        <v>179</v>
      </c>
      <c r="M38" s="24">
        <v>15</v>
      </c>
      <c r="N38" s="24">
        <v>45137</v>
      </c>
      <c r="O38" s="24">
        <v>9.6999999999999993</v>
      </c>
      <c r="P38" s="24">
        <v>6.4</v>
      </c>
      <c r="Q38" s="24">
        <v>2.5</v>
      </c>
      <c r="R38" s="24">
        <v>7.1999999999999993</v>
      </c>
      <c r="S38" s="24">
        <v>54.7</v>
      </c>
      <c r="T38" s="24">
        <v>14.2</v>
      </c>
      <c r="U38" s="24">
        <v>1016.93</v>
      </c>
      <c r="V38" s="24">
        <v>1008.81</v>
      </c>
      <c r="W38" s="24">
        <v>0</v>
      </c>
      <c r="X38" s="24" t="s">
        <v>138</v>
      </c>
      <c r="Y38" s="24" t="s">
        <v>147</v>
      </c>
      <c r="Z38" s="24" t="s">
        <v>141</v>
      </c>
      <c r="AA38" s="24" t="s">
        <v>26</v>
      </c>
      <c r="AB38" s="24" t="s">
        <v>144</v>
      </c>
      <c r="AC38" s="24" t="s">
        <v>146</v>
      </c>
      <c r="AD38" s="24" t="s">
        <v>137</v>
      </c>
      <c r="AE38" s="24">
        <v>346</v>
      </c>
      <c r="AF38" s="24">
        <v>0.28929989906834258</v>
      </c>
      <c r="AG38" s="24">
        <v>0.94444444444444442</v>
      </c>
    </row>
    <row r="39" spans="1:33" ht="28" x14ac:dyDescent="0.15">
      <c r="A39" s="23">
        <v>253</v>
      </c>
      <c r="B39" s="23" t="s">
        <v>96</v>
      </c>
      <c r="C39" s="23">
        <v>1</v>
      </c>
      <c r="D39" s="23">
        <v>8</v>
      </c>
      <c r="E39" s="23">
        <v>2023</v>
      </c>
      <c r="F39" s="23">
        <v>45139</v>
      </c>
      <c r="G39" s="23" t="s">
        <v>12</v>
      </c>
      <c r="H39" s="23">
        <v>0.43603738317757001</v>
      </c>
      <c r="I39" s="23" t="s">
        <v>180</v>
      </c>
      <c r="J39" s="23" t="s">
        <v>178</v>
      </c>
      <c r="K39" s="23">
        <v>1</v>
      </c>
      <c r="L39" s="23" t="s">
        <v>184</v>
      </c>
      <c r="M39" s="23">
        <v>29</v>
      </c>
      <c r="N39" s="23">
        <v>45137</v>
      </c>
      <c r="O39" s="23">
        <v>9.6999999999999993</v>
      </c>
      <c r="P39" s="23">
        <v>6.4</v>
      </c>
      <c r="Q39" s="23">
        <v>2.5</v>
      </c>
      <c r="R39" s="23">
        <v>7.1999999999999993</v>
      </c>
      <c r="S39" s="23">
        <v>54.7</v>
      </c>
      <c r="T39" s="23">
        <v>14.2</v>
      </c>
      <c r="U39" s="23">
        <v>1016.93</v>
      </c>
      <c r="V39" s="23">
        <v>1008.81</v>
      </c>
      <c r="W39" s="23">
        <v>0</v>
      </c>
      <c r="X39" s="23" t="s">
        <v>138</v>
      </c>
      <c r="Y39" s="23" t="s">
        <v>147</v>
      </c>
      <c r="Z39" s="23" t="s">
        <v>141</v>
      </c>
      <c r="AA39" s="23" t="s">
        <v>26</v>
      </c>
      <c r="AB39" s="23" t="s">
        <v>144</v>
      </c>
      <c r="AC39" s="23" t="s">
        <v>146</v>
      </c>
      <c r="AD39" s="23" t="s">
        <v>137</v>
      </c>
      <c r="AE39" s="23">
        <v>450</v>
      </c>
      <c r="AF39" s="23">
        <v>0.37414375430996583</v>
      </c>
      <c r="AG39" s="23">
        <v>1</v>
      </c>
    </row>
    <row r="40" spans="1:33" ht="28" x14ac:dyDescent="0.15">
      <c r="A40" s="24">
        <v>254</v>
      </c>
      <c r="B40" s="24" t="s">
        <v>97</v>
      </c>
      <c r="C40" s="24">
        <v>1</v>
      </c>
      <c r="D40" s="24">
        <v>8</v>
      </c>
      <c r="E40" s="24">
        <v>2023</v>
      </c>
      <c r="F40" s="24">
        <v>45139</v>
      </c>
      <c r="G40" s="24" t="s">
        <v>3</v>
      </c>
      <c r="H40" s="24">
        <v>0.40508474576271186</v>
      </c>
      <c r="I40" s="24" t="s">
        <v>180</v>
      </c>
      <c r="J40" s="24" t="s">
        <v>181</v>
      </c>
      <c r="K40" s="24">
        <v>8</v>
      </c>
      <c r="L40" s="24" t="s">
        <v>182</v>
      </c>
      <c r="M40" s="24">
        <v>22</v>
      </c>
      <c r="N40" s="24">
        <v>45137</v>
      </c>
      <c r="O40" s="24">
        <v>9.6999999999999993</v>
      </c>
      <c r="P40" s="24">
        <v>6.4</v>
      </c>
      <c r="Q40" s="24">
        <v>2.5</v>
      </c>
      <c r="R40" s="24">
        <v>7.1999999999999993</v>
      </c>
      <c r="S40" s="24">
        <v>54.7</v>
      </c>
      <c r="T40" s="24">
        <v>14.2</v>
      </c>
      <c r="U40" s="24">
        <v>1016.93</v>
      </c>
      <c r="V40" s="24">
        <v>1008.81</v>
      </c>
      <c r="W40" s="24">
        <v>0</v>
      </c>
      <c r="X40" s="24" t="s">
        <v>138</v>
      </c>
      <c r="Y40" s="24" t="s">
        <v>147</v>
      </c>
      <c r="Z40" s="24" t="s">
        <v>141</v>
      </c>
      <c r="AA40" s="24" t="s">
        <v>26</v>
      </c>
      <c r="AB40" s="24" t="s">
        <v>144</v>
      </c>
      <c r="AC40" s="24" t="s">
        <v>146</v>
      </c>
      <c r="AD40" s="24" t="s">
        <v>137</v>
      </c>
      <c r="AE40" s="24">
        <v>234</v>
      </c>
      <c r="AF40" s="24">
        <v>0.16420161303383449</v>
      </c>
      <c r="AG40" s="24">
        <v>1</v>
      </c>
    </row>
    <row r="41" spans="1:33" ht="28" x14ac:dyDescent="0.15">
      <c r="A41" s="23">
        <v>255</v>
      </c>
      <c r="B41" s="23" t="s">
        <v>98</v>
      </c>
      <c r="C41" s="23">
        <v>1</v>
      </c>
      <c r="D41" s="23">
        <v>8</v>
      </c>
      <c r="E41" s="23">
        <v>2023</v>
      </c>
      <c r="F41" s="23">
        <v>45139</v>
      </c>
      <c r="G41" s="23" t="s">
        <v>10</v>
      </c>
      <c r="H41" s="23">
        <v>0.32486187845303865</v>
      </c>
      <c r="I41" s="23" t="s">
        <v>177</v>
      </c>
      <c r="J41" s="23" t="s">
        <v>178</v>
      </c>
      <c r="K41" s="23">
        <v>7</v>
      </c>
      <c r="L41" s="23" t="s">
        <v>179</v>
      </c>
      <c r="M41" s="23">
        <v>29</v>
      </c>
      <c r="N41" s="23">
        <v>45137</v>
      </c>
      <c r="O41" s="23">
        <v>9.6999999999999993</v>
      </c>
      <c r="P41" s="23">
        <v>6.4</v>
      </c>
      <c r="Q41" s="23">
        <v>2.5</v>
      </c>
      <c r="R41" s="23">
        <v>7.1999999999999993</v>
      </c>
      <c r="S41" s="23">
        <v>54.7</v>
      </c>
      <c r="T41" s="23">
        <v>14.2</v>
      </c>
      <c r="U41" s="23">
        <v>1016.93</v>
      </c>
      <c r="V41" s="23">
        <v>1008.81</v>
      </c>
      <c r="W41" s="23">
        <v>0</v>
      </c>
      <c r="X41" s="23" t="s">
        <v>138</v>
      </c>
      <c r="Y41" s="23" t="s">
        <v>147</v>
      </c>
      <c r="Z41" s="23" t="s">
        <v>141</v>
      </c>
      <c r="AA41" s="23" t="s">
        <v>26</v>
      </c>
      <c r="AB41" s="23" t="s">
        <v>144</v>
      </c>
      <c r="AC41" s="23" t="s">
        <v>146</v>
      </c>
      <c r="AD41" s="23" t="s">
        <v>137</v>
      </c>
      <c r="AE41" s="23">
        <v>424</v>
      </c>
      <c r="AF41" s="23">
        <v>0.10282190709599449</v>
      </c>
      <c r="AG41" s="23">
        <v>0.94444444444444442</v>
      </c>
    </row>
    <row r="42" spans="1:33" ht="28" x14ac:dyDescent="0.15">
      <c r="A42" s="24">
        <v>256</v>
      </c>
      <c r="B42" s="24" t="s">
        <v>99</v>
      </c>
      <c r="C42" s="24">
        <v>1</v>
      </c>
      <c r="D42" s="24">
        <v>8</v>
      </c>
      <c r="E42" s="24">
        <v>2023</v>
      </c>
      <c r="F42" s="24">
        <v>45139</v>
      </c>
      <c r="G42" s="24" t="s">
        <v>7</v>
      </c>
      <c r="H42" s="24">
        <v>0.45309392265193366</v>
      </c>
      <c r="I42" s="24" t="s">
        <v>177</v>
      </c>
      <c r="J42" s="24" t="s">
        <v>181</v>
      </c>
      <c r="K42" s="24">
        <v>14</v>
      </c>
      <c r="L42" s="24" t="s">
        <v>183</v>
      </c>
      <c r="M42" s="24">
        <v>20</v>
      </c>
      <c r="N42" s="24">
        <v>45137</v>
      </c>
      <c r="O42" s="24">
        <v>9.6999999999999993</v>
      </c>
      <c r="P42" s="24">
        <v>6.4</v>
      </c>
      <c r="Q42" s="24">
        <v>2.5</v>
      </c>
      <c r="R42" s="24">
        <v>7.1999999999999993</v>
      </c>
      <c r="S42" s="24">
        <v>54.7</v>
      </c>
      <c r="T42" s="24">
        <v>14.2</v>
      </c>
      <c r="U42" s="24">
        <v>1016.93</v>
      </c>
      <c r="V42" s="24">
        <v>1008.81</v>
      </c>
      <c r="W42" s="24">
        <v>0</v>
      </c>
      <c r="X42" s="24" t="s">
        <v>138</v>
      </c>
      <c r="Y42" s="24" t="s">
        <v>147</v>
      </c>
      <c r="Z42" s="24" t="s">
        <v>141</v>
      </c>
      <c r="AA42" s="24" t="s">
        <v>26</v>
      </c>
      <c r="AB42" s="24" t="s">
        <v>144</v>
      </c>
      <c r="AC42" s="24" t="s">
        <v>146</v>
      </c>
      <c r="AD42" s="24" t="s">
        <v>137</v>
      </c>
      <c r="AE42" s="24">
        <v>398</v>
      </c>
      <c r="AF42" s="24">
        <v>0.47820662037086947</v>
      </c>
      <c r="AG42" s="24">
        <v>1</v>
      </c>
    </row>
    <row r="43" spans="1:33" ht="28" x14ac:dyDescent="0.15">
      <c r="A43" s="23">
        <v>257</v>
      </c>
      <c r="B43" s="23" t="s">
        <v>100</v>
      </c>
      <c r="C43" s="23">
        <v>1</v>
      </c>
      <c r="D43" s="23">
        <v>8</v>
      </c>
      <c r="E43" s="23">
        <v>2023</v>
      </c>
      <c r="F43" s="23">
        <v>45139</v>
      </c>
      <c r="G43" s="23" t="s">
        <v>2</v>
      </c>
      <c r="H43" s="23">
        <v>0.22257884972170683</v>
      </c>
      <c r="I43" s="23" t="s">
        <v>177</v>
      </c>
      <c r="J43" s="23" t="s">
        <v>178</v>
      </c>
      <c r="K43" s="23">
        <v>12</v>
      </c>
      <c r="L43" s="23" t="s">
        <v>179</v>
      </c>
      <c r="M43" s="23">
        <v>30</v>
      </c>
      <c r="N43" s="23">
        <v>45137</v>
      </c>
      <c r="O43" s="23">
        <v>9.6999999999999993</v>
      </c>
      <c r="P43" s="23">
        <v>6.4</v>
      </c>
      <c r="Q43" s="23">
        <v>2.5</v>
      </c>
      <c r="R43" s="23">
        <v>7.1999999999999993</v>
      </c>
      <c r="S43" s="23">
        <v>54.7</v>
      </c>
      <c r="T43" s="23">
        <v>14.2</v>
      </c>
      <c r="U43" s="23">
        <v>1016.93</v>
      </c>
      <c r="V43" s="23">
        <v>1008.81</v>
      </c>
      <c r="W43" s="23">
        <v>0</v>
      </c>
      <c r="X43" s="23" t="s">
        <v>138</v>
      </c>
      <c r="Y43" s="23" t="s">
        <v>147</v>
      </c>
      <c r="Z43" s="23" t="s">
        <v>141</v>
      </c>
      <c r="AA43" s="23" t="s">
        <v>26</v>
      </c>
      <c r="AB43" s="23" t="s">
        <v>144</v>
      </c>
      <c r="AC43" s="23" t="s">
        <v>146</v>
      </c>
      <c r="AD43" s="23" t="s">
        <v>137</v>
      </c>
      <c r="AE43" s="23">
        <v>378</v>
      </c>
      <c r="AF43" s="23">
        <v>8.6599138783086713E-2</v>
      </c>
      <c r="AG43" s="23">
        <v>1</v>
      </c>
    </row>
    <row r="44" spans="1:33" ht="28" x14ac:dyDescent="0.15">
      <c r="A44" s="24">
        <v>258</v>
      </c>
      <c r="B44" s="24" t="s">
        <v>101</v>
      </c>
      <c r="C44" s="24">
        <v>1</v>
      </c>
      <c r="D44" s="24">
        <v>8</v>
      </c>
      <c r="E44" s="24">
        <v>2023</v>
      </c>
      <c r="F44" s="24">
        <v>45139</v>
      </c>
      <c r="G44" s="24" t="s">
        <v>5</v>
      </c>
      <c r="H44" s="24">
        <v>0.39635643564356438</v>
      </c>
      <c r="I44" s="24" t="s">
        <v>180</v>
      </c>
      <c r="J44" s="24" t="s">
        <v>181</v>
      </c>
      <c r="K44" s="24">
        <v>10</v>
      </c>
      <c r="L44" s="24" t="s">
        <v>182</v>
      </c>
      <c r="M44" s="24">
        <v>17</v>
      </c>
      <c r="N44" s="24">
        <v>45137</v>
      </c>
      <c r="O44" s="24">
        <v>9.6999999999999993</v>
      </c>
      <c r="P44" s="24">
        <v>6.4</v>
      </c>
      <c r="Q44" s="24">
        <v>2.5</v>
      </c>
      <c r="R44" s="24">
        <v>7.1999999999999993</v>
      </c>
      <c r="S44" s="24">
        <v>54.7</v>
      </c>
      <c r="T44" s="24">
        <v>14.2</v>
      </c>
      <c r="U44" s="24">
        <v>1016.93</v>
      </c>
      <c r="V44" s="24">
        <v>1008.81</v>
      </c>
      <c r="W44" s="24">
        <v>0</v>
      </c>
      <c r="X44" s="24" t="s">
        <v>138</v>
      </c>
      <c r="Y44" s="24" t="s">
        <v>147</v>
      </c>
      <c r="Z44" s="24" t="s">
        <v>141</v>
      </c>
      <c r="AA44" s="24" t="s">
        <v>26</v>
      </c>
      <c r="AB44" s="24" t="s">
        <v>144</v>
      </c>
      <c r="AC44" s="24" t="s">
        <v>146</v>
      </c>
      <c r="AD44" s="24" t="s">
        <v>137</v>
      </c>
      <c r="AE44" s="24">
        <v>361</v>
      </c>
      <c r="AF44" s="24">
        <v>0.40590323220736402</v>
      </c>
      <c r="AG44" s="24">
        <v>1</v>
      </c>
    </row>
    <row r="45" spans="1:33" ht="28" x14ac:dyDescent="0.15">
      <c r="A45" s="23">
        <v>259</v>
      </c>
      <c r="B45" s="23">
        <v>3107231626</v>
      </c>
      <c r="C45" s="23">
        <v>31</v>
      </c>
      <c r="D45" s="23">
        <v>7</v>
      </c>
      <c r="E45" s="23">
        <v>2023</v>
      </c>
      <c r="F45" s="23">
        <v>45138</v>
      </c>
      <c r="G45" s="23" t="s">
        <v>11</v>
      </c>
      <c r="H45" s="23">
        <v>0.26894248608534321</v>
      </c>
      <c r="I45" s="23" t="s">
        <v>180</v>
      </c>
      <c r="J45" s="23" t="s">
        <v>178</v>
      </c>
      <c r="K45" s="23">
        <v>5</v>
      </c>
      <c r="L45" s="23" t="s">
        <v>184</v>
      </c>
      <c r="M45" s="23">
        <v>27</v>
      </c>
      <c r="N45" s="23">
        <v>45136</v>
      </c>
      <c r="O45" s="23">
        <v>17.3</v>
      </c>
      <c r="P45" s="23">
        <v>10.3</v>
      </c>
      <c r="Q45" s="23">
        <v>6.4</v>
      </c>
      <c r="R45" s="23">
        <v>10.9</v>
      </c>
      <c r="S45" s="23">
        <v>60.8</v>
      </c>
      <c r="T45" s="23">
        <v>10.1</v>
      </c>
      <c r="U45" s="23">
        <v>1008.81</v>
      </c>
      <c r="V45" s="23">
        <v>1002.03</v>
      </c>
      <c r="W45" s="23">
        <v>4.57</v>
      </c>
      <c r="X45" s="23" t="s">
        <v>138</v>
      </c>
      <c r="Y45" s="23" t="s">
        <v>147</v>
      </c>
      <c r="Z45" s="23" t="s">
        <v>171</v>
      </c>
      <c r="AA45" s="23" t="s">
        <v>137</v>
      </c>
      <c r="AB45" s="23" t="s">
        <v>144</v>
      </c>
      <c r="AC45" s="23" t="s">
        <v>146</v>
      </c>
      <c r="AD45" s="23" t="s">
        <v>137</v>
      </c>
      <c r="AE45" s="23">
        <v>404</v>
      </c>
      <c r="AF45" s="23">
        <v>0.91664628583929353</v>
      </c>
      <c r="AG45" s="23">
        <v>1</v>
      </c>
    </row>
    <row r="46" spans="1:33" ht="28" x14ac:dyDescent="0.15">
      <c r="A46" s="24">
        <v>260</v>
      </c>
      <c r="B46" s="24">
        <v>3107231611</v>
      </c>
      <c r="C46" s="24">
        <v>31</v>
      </c>
      <c r="D46" s="24">
        <v>7</v>
      </c>
      <c r="E46" s="24">
        <v>2023</v>
      </c>
      <c r="F46" s="24">
        <v>45138</v>
      </c>
      <c r="G46" s="24" t="s">
        <v>31</v>
      </c>
      <c r="H46" s="24">
        <v>0.80736940298507465</v>
      </c>
      <c r="I46" s="24" t="s">
        <v>177</v>
      </c>
      <c r="J46" s="24" t="s">
        <v>181</v>
      </c>
      <c r="K46" s="24">
        <v>16</v>
      </c>
      <c r="L46" s="24" t="s">
        <v>183</v>
      </c>
      <c r="M46" s="24">
        <v>9</v>
      </c>
      <c r="N46" s="24">
        <v>45136</v>
      </c>
      <c r="O46" s="24">
        <v>17.3</v>
      </c>
      <c r="P46" s="24">
        <v>10.3</v>
      </c>
      <c r="Q46" s="24">
        <v>6.4</v>
      </c>
      <c r="R46" s="24">
        <v>10.9</v>
      </c>
      <c r="S46" s="24">
        <v>60.8</v>
      </c>
      <c r="T46" s="24">
        <v>10.1</v>
      </c>
      <c r="U46" s="24">
        <v>1008.81</v>
      </c>
      <c r="V46" s="24">
        <v>1002.03</v>
      </c>
      <c r="W46" s="24">
        <v>4.57</v>
      </c>
      <c r="X46" s="24" t="s">
        <v>138</v>
      </c>
      <c r="Y46" s="24" t="s">
        <v>147</v>
      </c>
      <c r="Z46" s="24" t="s">
        <v>171</v>
      </c>
      <c r="AA46" s="24" t="s">
        <v>137</v>
      </c>
      <c r="AB46" s="24" t="s">
        <v>144</v>
      </c>
      <c r="AC46" s="24" t="s">
        <v>146</v>
      </c>
      <c r="AD46" s="24" t="s">
        <v>137</v>
      </c>
      <c r="AE46" s="24">
        <v>258</v>
      </c>
      <c r="AF46" s="24">
        <v>0.25665547185998128</v>
      </c>
      <c r="AG46" s="24">
        <v>1</v>
      </c>
    </row>
    <row r="47" spans="1:33" ht="28" x14ac:dyDescent="0.15">
      <c r="A47" s="23">
        <v>261</v>
      </c>
      <c r="B47" s="23">
        <v>3107231531</v>
      </c>
      <c r="C47" s="23">
        <v>31</v>
      </c>
      <c r="D47" s="23">
        <v>7</v>
      </c>
      <c r="E47" s="23">
        <v>2023</v>
      </c>
      <c r="F47" s="23">
        <v>45138</v>
      </c>
      <c r="G47" s="23" t="s">
        <v>4</v>
      </c>
      <c r="H47" s="23">
        <v>0.36055452865064697</v>
      </c>
      <c r="I47" s="23" t="s">
        <v>180</v>
      </c>
      <c r="J47" s="23" t="s">
        <v>181</v>
      </c>
      <c r="K47" s="23">
        <v>9</v>
      </c>
      <c r="L47" s="23" t="s">
        <v>182</v>
      </c>
      <c r="M47" s="23">
        <v>22</v>
      </c>
      <c r="N47" s="23">
        <v>45136</v>
      </c>
      <c r="O47" s="23">
        <v>17.3</v>
      </c>
      <c r="P47" s="23">
        <v>10.3</v>
      </c>
      <c r="Q47" s="23">
        <v>6.4</v>
      </c>
      <c r="R47" s="23">
        <v>10.9</v>
      </c>
      <c r="S47" s="23">
        <v>60.8</v>
      </c>
      <c r="T47" s="23">
        <v>10.1</v>
      </c>
      <c r="U47" s="23">
        <v>1008.81</v>
      </c>
      <c r="V47" s="23">
        <v>1002.03</v>
      </c>
      <c r="W47" s="23">
        <v>4.57</v>
      </c>
      <c r="X47" s="23" t="s">
        <v>138</v>
      </c>
      <c r="Y47" s="23" t="s">
        <v>147</v>
      </c>
      <c r="Z47" s="23" t="s">
        <v>171</v>
      </c>
      <c r="AA47" s="23" t="s">
        <v>137</v>
      </c>
      <c r="AB47" s="23" t="s">
        <v>144</v>
      </c>
      <c r="AC47" s="23" t="s">
        <v>146</v>
      </c>
      <c r="AD47" s="23" t="s">
        <v>137</v>
      </c>
      <c r="AE47" s="23">
        <v>181</v>
      </c>
      <c r="AF47" s="23">
        <v>7.3914663535330896E-2</v>
      </c>
      <c r="AG47" s="23">
        <v>0.94444444444444442</v>
      </c>
    </row>
    <row r="48" spans="1:33" ht="28" x14ac:dyDescent="0.15">
      <c r="A48" s="24">
        <v>262</v>
      </c>
      <c r="B48" s="24">
        <v>3007231651</v>
      </c>
      <c r="C48" s="24">
        <v>30</v>
      </c>
      <c r="D48" s="24">
        <v>7</v>
      </c>
      <c r="E48" s="24">
        <v>2023</v>
      </c>
      <c r="F48" s="24">
        <v>45137</v>
      </c>
      <c r="G48" s="24" t="s">
        <v>16</v>
      </c>
      <c r="H48" s="24">
        <v>0.66921787709497216</v>
      </c>
      <c r="I48" s="24" t="s">
        <v>177</v>
      </c>
      <c r="J48" s="24" t="s">
        <v>178</v>
      </c>
      <c r="K48" s="24">
        <v>2</v>
      </c>
      <c r="L48" s="24" t="s">
        <v>179</v>
      </c>
      <c r="M48" s="24">
        <v>26</v>
      </c>
      <c r="N48" s="24">
        <v>45135</v>
      </c>
      <c r="O48" s="24">
        <v>25.1</v>
      </c>
      <c r="P48" s="24">
        <v>18.8</v>
      </c>
      <c r="Q48" s="24">
        <v>7.2</v>
      </c>
      <c r="R48" s="24">
        <v>17.900000000000002</v>
      </c>
      <c r="S48" s="24">
        <v>36.200000000000003</v>
      </c>
      <c r="T48" s="24">
        <v>9</v>
      </c>
      <c r="U48" s="24">
        <v>1010.84</v>
      </c>
      <c r="V48" s="24">
        <v>1003.05</v>
      </c>
      <c r="W48" s="24">
        <v>0</v>
      </c>
      <c r="X48" s="24" t="s">
        <v>138</v>
      </c>
      <c r="Y48" s="24" t="s">
        <v>147</v>
      </c>
      <c r="Z48" s="24" t="s">
        <v>139</v>
      </c>
      <c r="AA48" s="24" t="s">
        <v>26</v>
      </c>
      <c r="AB48" s="24" t="s">
        <v>144</v>
      </c>
      <c r="AC48" s="24" t="s">
        <v>146</v>
      </c>
      <c r="AD48" s="24" t="s">
        <v>137</v>
      </c>
      <c r="AE48" s="24">
        <v>474</v>
      </c>
      <c r="AF48" s="24">
        <v>0.1206993463154281</v>
      </c>
      <c r="AG48" s="24">
        <v>0.94444444444444442</v>
      </c>
    </row>
    <row r="49" spans="1:33" ht="28" x14ac:dyDescent="0.15">
      <c r="A49" s="23">
        <v>263</v>
      </c>
      <c r="B49" s="23">
        <v>3007231633</v>
      </c>
      <c r="C49" s="23">
        <v>30</v>
      </c>
      <c r="D49" s="23">
        <v>7</v>
      </c>
      <c r="E49" s="23">
        <v>2023</v>
      </c>
      <c r="F49" s="23">
        <v>45137</v>
      </c>
      <c r="G49" s="23" t="s">
        <v>8</v>
      </c>
      <c r="H49" s="23">
        <v>0.3973062730627307</v>
      </c>
      <c r="I49" s="23" t="s">
        <v>177</v>
      </c>
      <c r="J49" s="23" t="s">
        <v>178</v>
      </c>
      <c r="K49" s="23">
        <v>4</v>
      </c>
      <c r="L49" s="23" t="s">
        <v>179</v>
      </c>
      <c r="M49" s="23">
        <v>15</v>
      </c>
      <c r="N49" s="23">
        <v>45135</v>
      </c>
      <c r="O49" s="23">
        <v>25.1</v>
      </c>
      <c r="P49" s="23">
        <v>18.8</v>
      </c>
      <c r="Q49" s="23">
        <v>7.2</v>
      </c>
      <c r="R49" s="23">
        <v>17.900000000000002</v>
      </c>
      <c r="S49" s="23">
        <v>36.200000000000003</v>
      </c>
      <c r="T49" s="23">
        <v>9</v>
      </c>
      <c r="U49" s="23">
        <v>1010.84</v>
      </c>
      <c r="V49" s="23">
        <v>1003.05</v>
      </c>
      <c r="W49" s="23">
        <v>0</v>
      </c>
      <c r="X49" s="23" t="s">
        <v>138</v>
      </c>
      <c r="Y49" s="23" t="s">
        <v>147</v>
      </c>
      <c r="Z49" s="23" t="s">
        <v>139</v>
      </c>
      <c r="AA49" s="23" t="s">
        <v>26</v>
      </c>
      <c r="AB49" s="23" t="s">
        <v>144</v>
      </c>
      <c r="AC49" s="23" t="s">
        <v>146</v>
      </c>
      <c r="AD49" s="23" t="s">
        <v>137</v>
      </c>
      <c r="AE49" s="23">
        <v>346</v>
      </c>
      <c r="AF49" s="23">
        <v>0.28929989906834258</v>
      </c>
      <c r="AG49" s="23">
        <v>0.94444444444444442</v>
      </c>
    </row>
    <row r="50" spans="1:33" ht="28" x14ac:dyDescent="0.15">
      <c r="A50" s="24">
        <v>264</v>
      </c>
      <c r="B50" s="24">
        <v>3007231459</v>
      </c>
      <c r="C50" s="24">
        <v>30</v>
      </c>
      <c r="D50" s="24">
        <v>7</v>
      </c>
      <c r="E50" s="24">
        <v>2023</v>
      </c>
      <c r="F50" s="24">
        <v>45137</v>
      </c>
      <c r="G50" s="24" t="s">
        <v>16</v>
      </c>
      <c r="H50" s="24">
        <v>0.67691011235955045</v>
      </c>
      <c r="I50" s="24" t="s">
        <v>177</v>
      </c>
      <c r="J50" s="24" t="s">
        <v>178</v>
      </c>
      <c r="K50" s="24">
        <v>2</v>
      </c>
      <c r="L50" s="24" t="s">
        <v>179</v>
      </c>
      <c r="M50" s="24">
        <v>26</v>
      </c>
      <c r="N50" s="24">
        <v>45135</v>
      </c>
      <c r="O50" s="24">
        <v>25.1</v>
      </c>
      <c r="P50" s="24">
        <v>18.8</v>
      </c>
      <c r="Q50" s="24">
        <v>7.2</v>
      </c>
      <c r="R50" s="24">
        <v>17.900000000000002</v>
      </c>
      <c r="S50" s="24">
        <v>36.200000000000003</v>
      </c>
      <c r="T50" s="24">
        <v>9</v>
      </c>
      <c r="U50" s="24">
        <v>1010.84</v>
      </c>
      <c r="V50" s="24">
        <v>1003.05</v>
      </c>
      <c r="W50" s="24">
        <v>0</v>
      </c>
      <c r="X50" s="24" t="s">
        <v>138</v>
      </c>
      <c r="Y50" s="24" t="s">
        <v>147</v>
      </c>
      <c r="Z50" s="24" t="s">
        <v>139</v>
      </c>
      <c r="AA50" s="24" t="s">
        <v>26</v>
      </c>
      <c r="AB50" s="24" t="s">
        <v>144</v>
      </c>
      <c r="AC50" s="24" t="s">
        <v>146</v>
      </c>
      <c r="AD50" s="24" t="s">
        <v>137</v>
      </c>
      <c r="AE50" s="24">
        <v>474</v>
      </c>
      <c r="AF50" s="24">
        <v>0.1206993463154281</v>
      </c>
      <c r="AG50" s="24">
        <v>0.94444444444444442</v>
      </c>
    </row>
  </sheetData>
  <sortState xmlns:xlrd2="http://schemas.microsoft.com/office/spreadsheetml/2017/richdata2" ref="A2:AG50">
    <sortCondition ref="A1:A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7AEF-F9BC-B64D-B38A-ADB7319BB3D2}">
  <dimension ref="A1:AL323"/>
  <sheetViews>
    <sheetView workbookViewId="0">
      <selection activeCell="AF5" sqref="AF5"/>
    </sheetView>
  </sheetViews>
  <sheetFormatPr baseColWidth="10" defaultRowHeight="13" x14ac:dyDescent="0.15"/>
  <cols>
    <col min="8" max="8" width="13.1640625" bestFit="1" customWidth="1"/>
  </cols>
  <sheetData>
    <row r="1" spans="1:38" ht="56" x14ac:dyDescent="0.15">
      <c r="A1" s="3" t="s">
        <v>130</v>
      </c>
      <c r="B1" s="4" t="s">
        <v>18</v>
      </c>
      <c r="C1" s="9" t="s">
        <v>150</v>
      </c>
      <c r="D1" s="9" t="s">
        <v>151</v>
      </c>
      <c r="E1" s="9" t="s">
        <v>152</v>
      </c>
      <c r="F1" s="10" t="s">
        <v>149</v>
      </c>
      <c r="G1" s="6" t="s">
        <v>0</v>
      </c>
      <c r="H1" s="19" t="s">
        <v>134</v>
      </c>
      <c r="I1" s="6" t="s">
        <v>131</v>
      </c>
      <c r="J1" s="6" t="s">
        <v>132</v>
      </c>
      <c r="K1" s="6" t="s">
        <v>133</v>
      </c>
      <c r="L1" s="6" t="s">
        <v>135</v>
      </c>
      <c r="M1" s="15" t="s">
        <v>155</v>
      </c>
      <c r="N1" s="12" t="s">
        <v>156</v>
      </c>
      <c r="O1" s="4" t="s">
        <v>157</v>
      </c>
      <c r="P1" s="4" t="s">
        <v>158</v>
      </c>
      <c r="Q1" s="4" t="s">
        <v>176</v>
      </c>
      <c r="R1" s="4" t="s">
        <v>159</v>
      </c>
      <c r="S1" s="4" t="s">
        <v>160</v>
      </c>
      <c r="T1" s="4" t="s">
        <v>161</v>
      </c>
      <c r="U1" s="4" t="s">
        <v>162</v>
      </c>
      <c r="V1" s="4" t="s">
        <v>163</v>
      </c>
      <c r="W1" s="4" t="s">
        <v>165</v>
      </c>
      <c r="X1" s="4" t="s">
        <v>166</v>
      </c>
      <c r="Y1" s="4" t="s">
        <v>167</v>
      </c>
      <c r="Z1" s="4" t="s">
        <v>168</v>
      </c>
      <c r="AA1" s="4" t="s">
        <v>169</v>
      </c>
      <c r="AB1" s="4" t="s">
        <v>170</v>
      </c>
      <c r="AC1" s="14" t="s">
        <v>172</v>
      </c>
      <c r="AD1" s="14" t="s">
        <v>173</v>
      </c>
      <c r="AE1" s="14" t="s">
        <v>174</v>
      </c>
      <c r="AF1" s="15" t="s">
        <v>189</v>
      </c>
      <c r="AG1" s="15" t="s">
        <v>190</v>
      </c>
      <c r="AH1" s="15" t="s">
        <v>191</v>
      </c>
      <c r="AI1" s="15" t="s">
        <v>185</v>
      </c>
      <c r="AJ1" s="15" t="s">
        <v>186</v>
      </c>
      <c r="AK1" s="15" t="s">
        <v>187</v>
      </c>
      <c r="AL1" s="15" t="s">
        <v>188</v>
      </c>
    </row>
    <row r="2" spans="1:38" ht="28" x14ac:dyDescent="0.15">
      <c r="A2" s="3">
        <v>76</v>
      </c>
      <c r="B2" s="6" t="s">
        <v>23</v>
      </c>
      <c r="C2" s="7">
        <v>5</v>
      </c>
      <c r="D2" s="7">
        <v>1</v>
      </c>
      <c r="E2" s="7">
        <v>2023</v>
      </c>
      <c r="F2" s="5">
        <v>44931</v>
      </c>
      <c r="G2" s="6" t="s">
        <v>17</v>
      </c>
      <c r="H2" s="17">
        <v>0.32069169960474309</v>
      </c>
      <c r="I2" s="3" t="str">
        <f>VLOOKUP(G2,'[1]Attributes(OUTDATED)'!$A$2:$C$19,2,FALSE)</f>
        <v>M</v>
      </c>
      <c r="J2" s="3" t="str">
        <f>VLOOKUP(G2,'[1]Attributes(OUTDATED)'!$A$2:$C$19,3,FALSE)</f>
        <v>J</v>
      </c>
      <c r="K2" s="3">
        <f>VLOOKUP(G2,'[1]Attributes(OUTDATED)'!$A$2:$H$19,8,FALSE)</f>
        <v>699</v>
      </c>
      <c r="L2" s="3" t="str">
        <f>J2&amp;I2</f>
        <v>JM</v>
      </c>
      <c r="M2" s="11">
        <v>44929</v>
      </c>
      <c r="N2" s="13">
        <v>35.299999999999997</v>
      </c>
      <c r="O2" s="13">
        <v>27</v>
      </c>
      <c r="P2" s="13">
        <v>16.899999999999999</v>
      </c>
      <c r="Q2" s="13">
        <f>Table24[[#This Row],[2_Temp_H]]-Table24[[#This Row],[2_Temp_L]]</f>
        <v>18.399999999999999</v>
      </c>
      <c r="R2" s="13">
        <v>43.8</v>
      </c>
      <c r="S2" s="13">
        <v>7.6</v>
      </c>
      <c r="T2" s="13">
        <v>1008.81</v>
      </c>
      <c r="U2" s="13">
        <v>1003.05</v>
      </c>
      <c r="V2" s="13">
        <v>2.79</v>
      </c>
      <c r="W2" s="13" t="s">
        <v>147</v>
      </c>
      <c r="X2" s="16" t="s">
        <v>171</v>
      </c>
      <c r="Y2" s="13" t="s">
        <v>137</v>
      </c>
      <c r="Z2" s="13" t="s">
        <v>142</v>
      </c>
      <c r="AA2" s="13" t="s">
        <v>145</v>
      </c>
      <c r="AB2" s="13" t="s">
        <v>137</v>
      </c>
      <c r="AC2" s="13">
        <f>VLOOKUP(Table24[[#This Row],[3_Elephant_ID]],'[1]Attributes(OUTDATED)'!$A$2:$N$19,12,FALSE)</f>
        <v>343</v>
      </c>
      <c r="AD2" s="13">
        <f>VLOOKUP(Table24[[#This Row],[3_Elephant_ID]],'[1]Attributes(OUTDATED)'!$A$2:$N$19,13,FALSE)</f>
        <v>0.81</v>
      </c>
      <c r="AE2" s="13">
        <f>VLOOKUP(Table24[[#This Row],[3_Elephant_ID]],'[1]Attributes(OUTDATED)'!$A$2:$N$19,14,FALSE)</f>
        <v>0.80966774571167055</v>
      </c>
      <c r="AF2" s="13">
        <v>0</v>
      </c>
      <c r="AG2" s="13">
        <v>0</v>
      </c>
      <c r="AH2" s="13">
        <v>0</v>
      </c>
      <c r="AI2" s="13">
        <v>0</v>
      </c>
      <c r="AJ2" s="13">
        <f>VLOOKUP(Table24[[#This Row],[3_Elephant_ID]],'[1]Attributes(OUTDATED)'!$A$2:$P$19,16,FALSE)</f>
        <v>1</v>
      </c>
      <c r="AK2" s="13">
        <f>VLOOKUP(Table24[[#This Row],[3_Elephant_ID]],'[1]Attributes(OUTDATED)'!$A$2:$S$19,17,FALSE)</f>
        <v>0</v>
      </c>
      <c r="AL2" s="13">
        <f>VLOOKUP(Table24[[#This Row],[3_Elephant_ID]],'[1]Attributes(OUTDATED)'!$A$2:$S$19,18,FALSE)</f>
        <v>8</v>
      </c>
    </row>
    <row r="3" spans="1:38" ht="28" x14ac:dyDescent="0.15">
      <c r="A3" s="3">
        <v>78</v>
      </c>
      <c r="B3" s="6" t="s">
        <v>25</v>
      </c>
      <c r="C3" s="7">
        <v>5</v>
      </c>
      <c r="D3" s="7">
        <v>1</v>
      </c>
      <c r="E3" s="7">
        <v>2023</v>
      </c>
      <c r="F3" s="5">
        <v>44931</v>
      </c>
      <c r="G3" s="6" t="s">
        <v>11</v>
      </c>
      <c r="H3" s="17">
        <v>0.25508474576271184</v>
      </c>
      <c r="I3" s="3" t="str">
        <f>VLOOKUP(G3,'[1]Attributes(OUTDATED)'!$A$2:$C$19,2,FALSE)</f>
        <v>M</v>
      </c>
      <c r="J3" s="3" t="str">
        <f>VLOOKUP(G3,'[1]Attributes(OUTDATED)'!$A$2:$C$19,3,FALSE)</f>
        <v>A</v>
      </c>
      <c r="K3" s="3">
        <f>VLOOKUP(G3,'[1]Attributes(OUTDATED)'!$A$2:$H$19,8,FALSE)</f>
        <v>1223</v>
      </c>
      <c r="L3" s="3" t="str">
        <f>J3&amp;I3</f>
        <v>AM</v>
      </c>
      <c r="M3" s="11">
        <v>44929</v>
      </c>
      <c r="N3" s="13">
        <v>35.299999999999997</v>
      </c>
      <c r="O3" s="13">
        <v>27</v>
      </c>
      <c r="P3" s="13">
        <v>16.899999999999999</v>
      </c>
      <c r="Q3" s="13">
        <f>Table24[[#This Row],[2_Temp_H]]-Table24[[#This Row],[2_Temp_L]]</f>
        <v>18.399999999999999</v>
      </c>
      <c r="R3" s="13">
        <v>43.8</v>
      </c>
      <c r="S3" s="13">
        <v>7.6</v>
      </c>
      <c r="T3" s="13">
        <v>1008.81</v>
      </c>
      <c r="U3" s="13">
        <v>1003.05</v>
      </c>
      <c r="V3" s="13">
        <v>2.79</v>
      </c>
      <c r="W3" s="13" t="s">
        <v>147</v>
      </c>
      <c r="X3" s="16" t="s">
        <v>171</v>
      </c>
      <c r="Y3" s="13" t="s">
        <v>137</v>
      </c>
      <c r="Z3" s="13" t="s">
        <v>142</v>
      </c>
      <c r="AA3" s="13" t="s">
        <v>145</v>
      </c>
      <c r="AB3" s="13" t="s">
        <v>137</v>
      </c>
      <c r="AC3" s="13">
        <f>VLOOKUP(Table24[[#This Row],[3_Elephant_ID]],'[1]Attributes(OUTDATED)'!$A$2:$N$19,12,FALSE)</f>
        <v>404</v>
      </c>
      <c r="AD3" s="13">
        <f>VLOOKUP(Table24[[#This Row],[3_Elephant_ID]],'[1]Attributes(OUTDATED)'!$A$2:$N$19,13,FALSE)</f>
        <v>0.91700000000000004</v>
      </c>
      <c r="AE3" s="13">
        <f>VLOOKUP(Table24[[#This Row],[3_Elephant_ID]],'[1]Attributes(OUTDATED)'!$A$2:$N$19,14,FALSE)</f>
        <v>0.91664628583929353</v>
      </c>
      <c r="AF3" s="13">
        <v>0</v>
      </c>
      <c r="AG3" s="13">
        <v>0</v>
      </c>
      <c r="AH3" s="13">
        <v>0</v>
      </c>
      <c r="AI3" s="13">
        <v>0</v>
      </c>
      <c r="AJ3" s="13">
        <f>VLOOKUP(Table24[[#This Row],[3_Elephant_ID]],'[1]Attributes(OUTDATED)'!$A$2:$P$19,16,FALSE)</f>
        <v>1</v>
      </c>
      <c r="AK3" s="13">
        <f>VLOOKUP(Table24[[#This Row],[3_Elephant_ID]],'[1]Attributes(OUTDATED)'!$A$2:$S$19,17,FALSE)</f>
        <v>14</v>
      </c>
      <c r="AL3" s="13">
        <f>VLOOKUP(Table24[[#This Row],[3_Elephant_ID]],'[1]Attributes(OUTDATED)'!$A$2:$S$19,18,FALSE)</f>
        <v>17</v>
      </c>
    </row>
    <row r="4" spans="1:38" ht="28" x14ac:dyDescent="0.15">
      <c r="A4" s="3">
        <v>77</v>
      </c>
      <c r="B4" s="6" t="s">
        <v>24</v>
      </c>
      <c r="C4" s="7">
        <v>5</v>
      </c>
      <c r="D4" s="7">
        <v>1</v>
      </c>
      <c r="E4" s="7">
        <v>2023</v>
      </c>
      <c r="F4" s="5">
        <v>44931</v>
      </c>
      <c r="G4" s="6" t="s">
        <v>8</v>
      </c>
      <c r="H4" s="17">
        <v>0.46025096525096526</v>
      </c>
      <c r="I4" s="3" t="str">
        <f>VLOOKUP(G4,'[1]Attributes(OUTDATED)'!$A$2:$C$19,2,FALSE)</f>
        <v>F</v>
      </c>
      <c r="J4" s="3" t="str">
        <f>VLOOKUP(G4,'[1]Attributes(OUTDATED)'!$A$2:$C$19,3,FALSE)</f>
        <v>A</v>
      </c>
      <c r="K4" s="3">
        <f>VLOOKUP(G4,'[1]Attributes(OUTDATED)'!$A$2:$H$19,8,FALSE)</f>
        <v>1096</v>
      </c>
      <c r="L4" s="3" t="str">
        <f>J4&amp;I4</f>
        <v>AF</v>
      </c>
      <c r="M4" s="11">
        <v>44929</v>
      </c>
      <c r="N4" s="13">
        <v>35.299999999999997</v>
      </c>
      <c r="O4" s="13">
        <v>27</v>
      </c>
      <c r="P4" s="13">
        <v>16.899999999999999</v>
      </c>
      <c r="Q4" s="13">
        <f>Table24[[#This Row],[2_Temp_H]]-Table24[[#This Row],[2_Temp_L]]</f>
        <v>18.399999999999999</v>
      </c>
      <c r="R4" s="13">
        <v>43.8</v>
      </c>
      <c r="S4" s="13">
        <v>7.6</v>
      </c>
      <c r="T4" s="13">
        <v>1008.81</v>
      </c>
      <c r="U4" s="13">
        <v>1003.05</v>
      </c>
      <c r="V4" s="13">
        <v>2.79</v>
      </c>
      <c r="W4" s="13" t="s">
        <v>147</v>
      </c>
      <c r="X4" s="16" t="s">
        <v>171</v>
      </c>
      <c r="Y4" s="13" t="s">
        <v>137</v>
      </c>
      <c r="Z4" s="13" t="s">
        <v>142</v>
      </c>
      <c r="AA4" s="13" t="s">
        <v>145</v>
      </c>
      <c r="AB4" s="13" t="s">
        <v>137</v>
      </c>
      <c r="AC4" s="13">
        <f>VLOOKUP(Table24[[#This Row],[3_Elephant_ID]],'[1]Attributes(OUTDATED)'!$A$2:$N$19,12,FALSE)</f>
        <v>346</v>
      </c>
      <c r="AD4" s="13">
        <f>VLOOKUP(Table24[[#This Row],[3_Elephant_ID]],'[1]Attributes(OUTDATED)'!$A$2:$N$19,13,FALSE)</f>
        <v>0.28999999999999998</v>
      </c>
      <c r="AE4" s="13">
        <f>VLOOKUP(Table24[[#This Row],[3_Elephant_ID]],'[1]Attributes(OUTDATED)'!$A$2:$N$19,14,FALSE)</f>
        <v>0.28929989906834258</v>
      </c>
      <c r="AF4" s="13">
        <v>0</v>
      </c>
      <c r="AG4" s="13">
        <v>0</v>
      </c>
      <c r="AH4" s="13">
        <v>0</v>
      </c>
      <c r="AI4" s="13">
        <v>0</v>
      </c>
      <c r="AJ4" s="13">
        <f>VLOOKUP(Table24[[#This Row],[3_Elephant_ID]],'[1]Attributes(OUTDATED)'!$A$2:$P$19,16,FALSE)</f>
        <v>1</v>
      </c>
      <c r="AK4" s="13">
        <f>VLOOKUP(Table24[[#This Row],[3_Elephant_ID]],'[1]Attributes(OUTDATED)'!$A$2:$S$19,17,FALSE)</f>
        <v>11</v>
      </c>
      <c r="AL4" s="13">
        <f>VLOOKUP(Table24[[#This Row],[3_Elephant_ID]],'[1]Attributes(OUTDATED)'!$A$2:$S$19,18,FALSE)</f>
        <v>7</v>
      </c>
    </row>
    <row r="5" spans="1:38" ht="28" x14ac:dyDescent="0.15">
      <c r="A5" s="3">
        <v>75</v>
      </c>
      <c r="B5" s="6">
        <v>1601231216</v>
      </c>
      <c r="C5" s="7">
        <v>16</v>
      </c>
      <c r="D5" s="7">
        <v>1</v>
      </c>
      <c r="E5" s="7">
        <v>2023</v>
      </c>
      <c r="F5" s="5">
        <v>44942</v>
      </c>
      <c r="G5" s="6" t="s">
        <v>12</v>
      </c>
      <c r="H5" s="17">
        <v>0.59204081632653049</v>
      </c>
      <c r="I5" s="3" t="str">
        <f>VLOOKUP(G5,'[1]Attributes(OUTDATED)'!$A$2:$C$19,2,FALSE)</f>
        <v>M</v>
      </c>
      <c r="J5" s="3" t="str">
        <f>VLOOKUP(G5,'[1]Attributes(OUTDATED)'!$A$2:$C$19,3,FALSE)</f>
        <v>A</v>
      </c>
      <c r="K5" s="3">
        <f>VLOOKUP(G5,'[1]Attributes(OUTDATED)'!$A$2:$H$19,8,FALSE)</f>
        <v>1509</v>
      </c>
      <c r="L5" s="3" t="str">
        <f>J5&amp;I5</f>
        <v>AM</v>
      </c>
      <c r="M5" s="11">
        <v>44940</v>
      </c>
      <c r="N5" s="13">
        <v>34.1</v>
      </c>
      <c r="O5" s="13">
        <v>23.7</v>
      </c>
      <c r="P5" s="13">
        <v>16.600000000000001</v>
      </c>
      <c r="Q5" s="13">
        <f>Table24[[#This Row],[2_Temp_H]]-Table24[[#This Row],[2_Temp_L]]</f>
        <v>17.5</v>
      </c>
      <c r="R5" s="13">
        <v>20.100000000000001</v>
      </c>
      <c r="S5" s="13">
        <v>5.9</v>
      </c>
      <c r="T5" s="13">
        <v>1012.87</v>
      </c>
      <c r="U5" s="13">
        <v>1008.81</v>
      </c>
      <c r="V5" s="13">
        <v>0</v>
      </c>
      <c r="W5" s="13" t="s">
        <v>147</v>
      </c>
      <c r="X5" s="16" t="s">
        <v>171</v>
      </c>
      <c r="Y5" s="13" t="s">
        <v>137</v>
      </c>
      <c r="Z5" s="13" t="s">
        <v>142</v>
      </c>
      <c r="AA5" s="13" t="s">
        <v>145</v>
      </c>
      <c r="AB5" s="13" t="s">
        <v>137</v>
      </c>
      <c r="AC5" s="13">
        <f>VLOOKUP(Table24[[#This Row],[3_Elephant_ID]],'[1]Attributes(OUTDATED)'!$A$2:$N$19,12,FALSE)</f>
        <v>450</v>
      </c>
      <c r="AD5" s="13">
        <f>VLOOKUP(Table24[[#This Row],[3_Elephant_ID]],'[1]Attributes(OUTDATED)'!$A$2:$N$19,13,FALSE)</f>
        <v>0.375</v>
      </c>
      <c r="AE5" s="13">
        <f>VLOOKUP(Table24[[#This Row],[3_Elephant_ID]],'[1]Attributes(OUTDATED)'!$A$2:$N$19,14,FALSE)</f>
        <v>0.37414375430996583</v>
      </c>
      <c r="AF5" s="13">
        <v>0</v>
      </c>
      <c r="AG5" s="13">
        <v>0</v>
      </c>
      <c r="AH5" s="13">
        <v>0</v>
      </c>
      <c r="AI5" s="13">
        <v>0</v>
      </c>
      <c r="AJ5" s="13">
        <f>VLOOKUP(Table24[[#This Row],[3_Elephant_ID]],'[1]Attributes(OUTDATED)'!$A$2:$P$19,16,FALSE)</f>
        <v>1</v>
      </c>
      <c r="AK5" s="13">
        <f>VLOOKUP(Table24[[#This Row],[3_Elephant_ID]],'[1]Attributes(OUTDATED)'!$A$2:$S$19,17,FALSE)</f>
        <v>48</v>
      </c>
      <c r="AL5" s="13">
        <f>VLOOKUP(Table24[[#This Row],[3_Elephant_ID]],'[1]Attributes(OUTDATED)'!$A$2:$S$19,18,FALSE)</f>
        <v>3</v>
      </c>
    </row>
    <row r="6" spans="1:38" ht="28" x14ac:dyDescent="0.15">
      <c r="A6" s="3">
        <v>74</v>
      </c>
      <c r="B6" s="6">
        <v>2001231142</v>
      </c>
      <c r="C6" s="7">
        <v>20</v>
      </c>
      <c r="D6" s="7">
        <v>1</v>
      </c>
      <c r="E6" s="7">
        <v>2023</v>
      </c>
      <c r="F6" s="5">
        <v>44946</v>
      </c>
      <c r="G6" s="6" t="s">
        <v>8</v>
      </c>
      <c r="H6" s="17">
        <v>0.53695571955719568</v>
      </c>
      <c r="I6" s="3" t="str">
        <f>VLOOKUP(G6,'[1]Attributes(OUTDATED)'!$A$2:$C$19,2,FALSE)</f>
        <v>F</v>
      </c>
      <c r="J6" s="3" t="str">
        <f>VLOOKUP(G6,'[1]Attributes(OUTDATED)'!$A$2:$C$19,3,FALSE)</f>
        <v>A</v>
      </c>
      <c r="K6" s="3">
        <f>VLOOKUP(G6,'[1]Attributes(OUTDATED)'!$A$2:$H$19,8,FALSE)</f>
        <v>1096</v>
      </c>
      <c r="L6" s="3" t="str">
        <f>J6&amp;I6</f>
        <v>AF</v>
      </c>
      <c r="M6" s="11">
        <v>44944</v>
      </c>
      <c r="N6" s="13">
        <v>38.200000000000003</v>
      </c>
      <c r="O6" s="13">
        <v>24.1</v>
      </c>
      <c r="P6" s="13">
        <v>17.3</v>
      </c>
      <c r="Q6" s="13">
        <f>Table24[[#This Row],[2_Temp_H]]-Table24[[#This Row],[2_Temp_L]]</f>
        <v>20.900000000000002</v>
      </c>
      <c r="R6" s="13">
        <v>52.8</v>
      </c>
      <c r="S6" s="13">
        <v>6</v>
      </c>
      <c r="T6" s="13">
        <v>1013.88</v>
      </c>
      <c r="U6" s="13">
        <v>1005.08</v>
      </c>
      <c r="V6" s="13">
        <v>41.15</v>
      </c>
      <c r="W6" s="13" t="s">
        <v>147</v>
      </c>
      <c r="X6" s="13" t="s">
        <v>139</v>
      </c>
      <c r="Y6" s="13" t="s">
        <v>26</v>
      </c>
      <c r="Z6" s="13" t="s">
        <v>142</v>
      </c>
      <c r="AA6" s="13" t="s">
        <v>145</v>
      </c>
      <c r="AB6" s="13" t="s">
        <v>137</v>
      </c>
      <c r="AC6" s="13">
        <f>VLOOKUP(Table24[[#This Row],[3_Elephant_ID]],'[1]Attributes(OUTDATED)'!$A$2:$N$19,12,FALSE)</f>
        <v>346</v>
      </c>
      <c r="AD6" s="13">
        <f>VLOOKUP(Table24[[#This Row],[3_Elephant_ID]],'[1]Attributes(OUTDATED)'!$A$2:$N$19,13,FALSE)</f>
        <v>0.28999999999999998</v>
      </c>
      <c r="AE6" s="13">
        <f>VLOOKUP(Table24[[#This Row],[3_Elephant_ID]],'[1]Attributes(OUTDATED)'!$A$2:$N$19,14,FALSE)</f>
        <v>0.28929989906834258</v>
      </c>
      <c r="AF6" s="13">
        <v>0</v>
      </c>
      <c r="AG6" s="13">
        <v>0</v>
      </c>
      <c r="AH6" s="13">
        <v>0</v>
      </c>
      <c r="AI6" s="13">
        <v>0</v>
      </c>
      <c r="AJ6" s="13">
        <f>VLOOKUP(Table24[[#This Row],[3_Elephant_ID]],'[1]Attributes(OUTDATED)'!$A$2:$P$19,16,FALSE)</f>
        <v>1</v>
      </c>
      <c r="AK6" s="13">
        <f>VLOOKUP(Table24[[#This Row],[3_Elephant_ID]],'[1]Attributes(OUTDATED)'!$A$2:$S$19,17,FALSE)</f>
        <v>11</v>
      </c>
      <c r="AL6" s="13">
        <f>VLOOKUP(Table24[[#This Row],[3_Elephant_ID]],'[1]Attributes(OUTDATED)'!$A$2:$S$19,18,FALSE)</f>
        <v>7</v>
      </c>
    </row>
    <row r="7" spans="1:38" ht="28" x14ac:dyDescent="0.15">
      <c r="A7" s="3">
        <v>73</v>
      </c>
      <c r="B7" s="6">
        <v>2001231228</v>
      </c>
      <c r="C7" s="7">
        <v>20</v>
      </c>
      <c r="D7" s="7">
        <v>1</v>
      </c>
      <c r="E7" s="7">
        <v>2023</v>
      </c>
      <c r="F7" s="5">
        <v>44946</v>
      </c>
      <c r="G7" s="6" t="s">
        <v>10</v>
      </c>
      <c r="H7" s="17">
        <v>0.4006985294117647</v>
      </c>
      <c r="I7" s="3" t="str">
        <f>VLOOKUP(G7,'[1]Attributes(OUTDATED)'!$A$2:$C$19,2,FALSE)</f>
        <v>F</v>
      </c>
      <c r="J7" s="3" t="str">
        <f>VLOOKUP(G7,'[1]Attributes(OUTDATED)'!$A$2:$C$19,3,FALSE)</f>
        <v>A</v>
      </c>
      <c r="K7" s="3">
        <f>VLOOKUP(G7,'[1]Attributes(OUTDATED)'!$A$2:$H$19,8,FALSE)</f>
        <v>1146</v>
      </c>
      <c r="L7" s="3" t="str">
        <f>J7&amp;I7</f>
        <v>AF</v>
      </c>
      <c r="M7" s="11">
        <v>44944</v>
      </c>
      <c r="N7" s="13">
        <v>38.200000000000003</v>
      </c>
      <c r="O7" s="13">
        <v>24.1</v>
      </c>
      <c r="P7" s="13">
        <v>17.3</v>
      </c>
      <c r="Q7" s="13">
        <f>Table24[[#This Row],[2_Temp_H]]-Table24[[#This Row],[2_Temp_L]]</f>
        <v>20.900000000000002</v>
      </c>
      <c r="R7" s="13">
        <v>52.8</v>
      </c>
      <c r="S7" s="13">
        <v>6</v>
      </c>
      <c r="T7" s="13">
        <v>1013.88</v>
      </c>
      <c r="U7" s="13">
        <v>1005.08</v>
      </c>
      <c r="V7" s="13">
        <v>41.15</v>
      </c>
      <c r="W7" s="13" t="s">
        <v>147</v>
      </c>
      <c r="X7" s="13" t="s">
        <v>139</v>
      </c>
      <c r="Y7" s="13" t="s">
        <v>26</v>
      </c>
      <c r="Z7" s="13" t="s">
        <v>142</v>
      </c>
      <c r="AA7" s="13" t="s">
        <v>145</v>
      </c>
      <c r="AB7" s="13" t="s">
        <v>137</v>
      </c>
      <c r="AC7" s="13">
        <f>VLOOKUP(Table24[[#This Row],[3_Elephant_ID]],'[1]Attributes(OUTDATED)'!$A$2:$N$19,12,FALSE)</f>
        <v>424</v>
      </c>
      <c r="AD7" s="13">
        <f>VLOOKUP(Table24[[#This Row],[3_Elephant_ID]],'[1]Attributes(OUTDATED)'!$A$2:$N$19,13,FALSE)</f>
        <v>0.10299999999999999</v>
      </c>
      <c r="AE7" s="13">
        <f>VLOOKUP(Table24[[#This Row],[3_Elephant_ID]],'[1]Attributes(OUTDATED)'!$A$2:$N$19,14,FALSE)</f>
        <v>0.10282190709599449</v>
      </c>
      <c r="AF7" s="13">
        <v>0</v>
      </c>
      <c r="AG7" s="13">
        <v>0</v>
      </c>
      <c r="AH7" s="13">
        <v>0</v>
      </c>
      <c r="AI7" s="13">
        <v>0</v>
      </c>
      <c r="AJ7" s="13">
        <f>VLOOKUP(Table24[[#This Row],[3_Elephant_ID]],'[1]Attributes(OUTDATED)'!$A$2:$P$19,16,FALSE)</f>
        <v>1</v>
      </c>
      <c r="AK7" s="13">
        <f>VLOOKUP(Table24[[#This Row],[3_Elephant_ID]],'[1]Attributes(OUTDATED)'!$A$2:$S$19,17,FALSE)</f>
        <v>9</v>
      </c>
      <c r="AL7" s="13">
        <f>VLOOKUP(Table24[[#This Row],[3_Elephant_ID]],'[1]Attributes(OUTDATED)'!$A$2:$S$19,18,FALSE)</f>
        <v>8</v>
      </c>
    </row>
    <row r="8" spans="1:38" ht="28" x14ac:dyDescent="0.15">
      <c r="A8" s="3">
        <v>71</v>
      </c>
      <c r="B8" s="6">
        <v>3101230951</v>
      </c>
      <c r="C8" s="7">
        <v>31</v>
      </c>
      <c r="D8" s="7">
        <v>1</v>
      </c>
      <c r="E8" s="7">
        <v>2023</v>
      </c>
      <c r="F8" s="5">
        <v>44957</v>
      </c>
      <c r="G8" s="6" t="s">
        <v>3</v>
      </c>
      <c r="H8" s="17">
        <v>0.30644531250000001</v>
      </c>
      <c r="I8" s="3" t="str">
        <f>VLOOKUP(G8,'[1]Attributes(OUTDATED)'!$A$2:$C$19,2,FALSE)</f>
        <v>M</v>
      </c>
      <c r="J8" s="3" t="str">
        <f>VLOOKUP(G8,'[1]Attributes(OUTDATED)'!$A$2:$C$19,3,FALSE)</f>
        <v>J</v>
      </c>
      <c r="K8" s="3">
        <f>VLOOKUP(G8,'[1]Attributes(OUTDATED)'!$A$2:$H$19,8,FALSE)</f>
        <v>1031</v>
      </c>
      <c r="L8" s="3" t="str">
        <f>J8&amp;I8</f>
        <v>JM</v>
      </c>
      <c r="M8" s="11">
        <v>44955</v>
      </c>
      <c r="N8" s="13">
        <v>20.2</v>
      </c>
      <c r="O8" s="13">
        <v>15.3</v>
      </c>
      <c r="P8" s="13">
        <v>11.8</v>
      </c>
      <c r="Q8" s="13">
        <f>Table24[[#This Row],[2_Temp_H]]-Table24[[#This Row],[2_Temp_L]]</f>
        <v>8.3999999999999986</v>
      </c>
      <c r="R8" s="13">
        <v>26.2</v>
      </c>
      <c r="S8" s="13">
        <v>6.9</v>
      </c>
      <c r="T8" s="13">
        <v>1012.87</v>
      </c>
      <c r="U8" s="13">
        <v>1009.82</v>
      </c>
      <c r="V8" s="13">
        <v>0</v>
      </c>
      <c r="W8" s="13" t="s">
        <v>147</v>
      </c>
      <c r="X8" s="16" t="s">
        <v>171</v>
      </c>
      <c r="Y8" s="13" t="s">
        <v>137</v>
      </c>
      <c r="Z8" s="13" t="s">
        <v>142</v>
      </c>
      <c r="AA8" s="13" t="s">
        <v>145</v>
      </c>
      <c r="AB8" s="13" t="s">
        <v>137</v>
      </c>
      <c r="AC8" s="13">
        <f>VLOOKUP(Table24[[#This Row],[3_Elephant_ID]],'[1]Attributes(OUTDATED)'!$A$2:$N$19,12,FALSE)</f>
        <v>234</v>
      </c>
      <c r="AD8" s="13">
        <f>VLOOKUP(Table24[[#This Row],[3_Elephant_ID]],'[1]Attributes(OUTDATED)'!$A$2:$N$19,13,FALSE)</f>
        <v>0.16500000000000001</v>
      </c>
      <c r="AE8" s="13">
        <f>VLOOKUP(Table24[[#This Row],[3_Elephant_ID]],'[1]Attributes(OUTDATED)'!$A$2:$N$19,14,FALSE)</f>
        <v>0.16420161303383449</v>
      </c>
      <c r="AF8" s="13">
        <v>0</v>
      </c>
      <c r="AG8" s="13">
        <v>0</v>
      </c>
      <c r="AH8" s="13">
        <v>0</v>
      </c>
      <c r="AI8" s="13">
        <v>0</v>
      </c>
      <c r="AJ8" s="13">
        <f>VLOOKUP(Table24[[#This Row],[3_Elephant_ID]],'[1]Attributes(OUTDATED)'!$A$2:$P$19,16,FALSE)</f>
        <v>1</v>
      </c>
      <c r="AK8" s="13">
        <f>VLOOKUP(Table24[[#This Row],[3_Elephant_ID]],'[1]Attributes(OUTDATED)'!$A$2:$S$19,17,FALSE)</f>
        <v>9</v>
      </c>
      <c r="AL8" s="13">
        <f>VLOOKUP(Table24[[#This Row],[3_Elephant_ID]],'[1]Attributes(OUTDATED)'!$A$2:$S$19,18,FALSE)</f>
        <v>9</v>
      </c>
    </row>
    <row r="9" spans="1:38" ht="28" x14ac:dyDescent="0.15">
      <c r="A9" s="3">
        <v>70</v>
      </c>
      <c r="B9" s="6">
        <v>3101230941</v>
      </c>
      <c r="C9" s="7">
        <v>31</v>
      </c>
      <c r="D9" s="7">
        <v>1</v>
      </c>
      <c r="E9" s="7">
        <v>2023</v>
      </c>
      <c r="F9" s="5">
        <v>44957</v>
      </c>
      <c r="G9" s="6" t="s">
        <v>11</v>
      </c>
      <c r="H9" s="17">
        <v>0.31162213740458006</v>
      </c>
      <c r="I9" s="3" t="str">
        <f>VLOOKUP(G9,'[1]Attributes(OUTDATED)'!$A$2:$C$19,2,FALSE)</f>
        <v>M</v>
      </c>
      <c r="J9" s="3" t="str">
        <f>VLOOKUP(G9,'[1]Attributes(OUTDATED)'!$A$2:$C$19,3,FALSE)</f>
        <v>A</v>
      </c>
      <c r="K9" s="3">
        <f>VLOOKUP(G9,'[1]Attributes(OUTDATED)'!$A$2:$H$19,8,FALSE)</f>
        <v>1223</v>
      </c>
      <c r="L9" s="3" t="str">
        <f>J9&amp;I9</f>
        <v>AM</v>
      </c>
      <c r="M9" s="11">
        <v>44955</v>
      </c>
      <c r="N9" s="13">
        <v>20.2</v>
      </c>
      <c r="O9" s="13">
        <v>15.3</v>
      </c>
      <c r="P9" s="13">
        <v>11.8</v>
      </c>
      <c r="Q9" s="13">
        <f>Table24[[#This Row],[2_Temp_H]]-Table24[[#This Row],[2_Temp_L]]</f>
        <v>8.3999999999999986</v>
      </c>
      <c r="R9" s="13">
        <v>26.2</v>
      </c>
      <c r="S9" s="13">
        <v>6.9</v>
      </c>
      <c r="T9" s="13">
        <v>1012.87</v>
      </c>
      <c r="U9" s="13">
        <v>1009.82</v>
      </c>
      <c r="V9" s="13">
        <v>0</v>
      </c>
      <c r="W9" s="13" t="s">
        <v>147</v>
      </c>
      <c r="X9" s="16" t="s">
        <v>171</v>
      </c>
      <c r="Y9" s="13" t="s">
        <v>137</v>
      </c>
      <c r="Z9" s="13" t="s">
        <v>142</v>
      </c>
      <c r="AA9" s="13" t="s">
        <v>145</v>
      </c>
      <c r="AB9" s="13" t="s">
        <v>137</v>
      </c>
      <c r="AC9" s="13">
        <f>VLOOKUP(Table24[[#This Row],[3_Elephant_ID]],'[1]Attributes(OUTDATED)'!$A$2:$N$19,12,FALSE)</f>
        <v>404</v>
      </c>
      <c r="AD9" s="13">
        <f>VLOOKUP(Table24[[#This Row],[3_Elephant_ID]],'[1]Attributes(OUTDATED)'!$A$2:$N$19,13,FALSE)</f>
        <v>0.91700000000000004</v>
      </c>
      <c r="AE9" s="13">
        <f>VLOOKUP(Table24[[#This Row],[3_Elephant_ID]],'[1]Attributes(OUTDATED)'!$A$2:$N$19,14,FALSE)</f>
        <v>0.91664628583929353</v>
      </c>
      <c r="AF9" s="13">
        <v>0</v>
      </c>
      <c r="AG9" s="13">
        <v>0</v>
      </c>
      <c r="AH9" s="13">
        <v>0</v>
      </c>
      <c r="AI9" s="13">
        <v>0</v>
      </c>
      <c r="AJ9" s="13">
        <f>VLOOKUP(Table24[[#This Row],[3_Elephant_ID]],'[1]Attributes(OUTDATED)'!$A$2:$P$19,16,FALSE)</f>
        <v>1</v>
      </c>
      <c r="AK9" s="13">
        <f>VLOOKUP(Table24[[#This Row],[3_Elephant_ID]],'[1]Attributes(OUTDATED)'!$A$2:$S$19,17,FALSE)</f>
        <v>14</v>
      </c>
      <c r="AL9" s="13">
        <f>VLOOKUP(Table24[[#This Row],[3_Elephant_ID]],'[1]Attributes(OUTDATED)'!$A$2:$S$19,18,FALSE)</f>
        <v>17</v>
      </c>
    </row>
    <row r="10" spans="1:38" ht="28" x14ac:dyDescent="0.15">
      <c r="A10" s="3">
        <v>72</v>
      </c>
      <c r="B10" s="6">
        <v>3101231005</v>
      </c>
      <c r="C10" s="7">
        <v>31</v>
      </c>
      <c r="D10" s="7">
        <v>1</v>
      </c>
      <c r="E10" s="7">
        <v>2023</v>
      </c>
      <c r="F10" s="5">
        <v>44957</v>
      </c>
      <c r="G10" s="6" t="s">
        <v>7</v>
      </c>
      <c r="H10" s="17">
        <v>0.26691860465116279</v>
      </c>
      <c r="I10" s="3" t="str">
        <f>VLOOKUP(G10,'[1]Attributes(OUTDATED)'!$A$2:$C$19,2,FALSE)</f>
        <v>F</v>
      </c>
      <c r="J10" s="3" t="str">
        <f>VLOOKUP(G10,'[1]Attributes(OUTDATED)'!$A$2:$C$19,3,FALSE)</f>
        <v>J</v>
      </c>
      <c r="K10" s="3">
        <f>VLOOKUP(G10,'[1]Attributes(OUTDATED)'!$A$2:$H$19,8,FALSE)</f>
        <v>711</v>
      </c>
      <c r="L10" s="3" t="str">
        <f>J10&amp;I10</f>
        <v>JF</v>
      </c>
      <c r="M10" s="11">
        <v>44955</v>
      </c>
      <c r="N10" s="13">
        <v>20.2</v>
      </c>
      <c r="O10" s="13">
        <v>15.3</v>
      </c>
      <c r="P10" s="13">
        <v>11.8</v>
      </c>
      <c r="Q10" s="13">
        <f>Table24[[#This Row],[2_Temp_H]]-Table24[[#This Row],[2_Temp_L]]</f>
        <v>8.3999999999999986</v>
      </c>
      <c r="R10" s="13">
        <v>26.2</v>
      </c>
      <c r="S10" s="13">
        <v>6.9</v>
      </c>
      <c r="T10" s="13">
        <v>1012.87</v>
      </c>
      <c r="U10" s="13">
        <v>1009.82</v>
      </c>
      <c r="V10" s="13">
        <v>0</v>
      </c>
      <c r="W10" s="13" t="s">
        <v>147</v>
      </c>
      <c r="X10" s="16" t="s">
        <v>171</v>
      </c>
      <c r="Y10" s="13" t="s">
        <v>137</v>
      </c>
      <c r="Z10" s="13" t="s">
        <v>142</v>
      </c>
      <c r="AA10" s="13" t="s">
        <v>145</v>
      </c>
      <c r="AB10" s="13" t="s">
        <v>137</v>
      </c>
      <c r="AC10" s="13">
        <f>VLOOKUP(Table24[[#This Row],[3_Elephant_ID]],'[1]Attributes(OUTDATED)'!$A$2:$N$19,12,FALSE)</f>
        <v>398</v>
      </c>
      <c r="AD10" s="13">
        <f>VLOOKUP(Table24[[#This Row],[3_Elephant_ID]],'[1]Attributes(OUTDATED)'!$A$2:$N$19,13,FALSE)</f>
        <v>0.47899999999999998</v>
      </c>
      <c r="AE10" s="13">
        <f>VLOOKUP(Table24[[#This Row],[3_Elephant_ID]],'[1]Attributes(OUTDATED)'!$A$2:$N$19,14,FALSE)</f>
        <v>0.47820662037086947</v>
      </c>
      <c r="AF10" s="13">
        <v>0</v>
      </c>
      <c r="AG10" s="13">
        <v>0</v>
      </c>
      <c r="AH10" s="13">
        <v>0</v>
      </c>
      <c r="AI10" s="13">
        <v>0</v>
      </c>
      <c r="AJ10" s="13">
        <f>VLOOKUP(Table24[[#This Row],[3_Elephant_ID]],'[1]Attributes(OUTDATED)'!$A$2:$P$19,16,FALSE)</f>
        <v>1</v>
      </c>
      <c r="AK10" s="13">
        <f>VLOOKUP(Table24[[#This Row],[3_Elephant_ID]],'[1]Attributes(OUTDATED)'!$A$2:$S$19,17,FALSE)</f>
        <v>0</v>
      </c>
      <c r="AL10" s="13">
        <f>VLOOKUP(Table24[[#This Row],[3_Elephant_ID]],'[1]Attributes(OUTDATED)'!$A$2:$S$19,18,FALSE)</f>
        <v>12</v>
      </c>
    </row>
    <row r="11" spans="1:38" ht="28" x14ac:dyDescent="0.15">
      <c r="A11" s="3">
        <v>68</v>
      </c>
      <c r="B11" s="6" t="s">
        <v>21</v>
      </c>
      <c r="C11" s="7">
        <v>2</v>
      </c>
      <c r="D11" s="7">
        <v>2</v>
      </c>
      <c r="E11" s="7">
        <v>2023</v>
      </c>
      <c r="F11" s="5">
        <v>44959</v>
      </c>
      <c r="G11" s="6" t="s">
        <v>12</v>
      </c>
      <c r="H11" s="17">
        <v>0.37453667953667952</v>
      </c>
      <c r="I11" s="3" t="str">
        <f>VLOOKUP(G11,'[1]Attributes(OUTDATED)'!$A$2:$C$19,2,FALSE)</f>
        <v>M</v>
      </c>
      <c r="J11" s="3" t="str">
        <f>VLOOKUP(G11,'[1]Attributes(OUTDATED)'!$A$2:$C$19,3,FALSE)</f>
        <v>A</v>
      </c>
      <c r="K11" s="3">
        <f>VLOOKUP(G11,'[1]Attributes(OUTDATED)'!$A$2:$H$19,8,FALSE)</f>
        <v>1509</v>
      </c>
      <c r="L11" s="3" t="str">
        <f>J11&amp;I11</f>
        <v>AM</v>
      </c>
      <c r="M11" s="11">
        <v>44957</v>
      </c>
      <c r="N11" s="13">
        <v>31.5</v>
      </c>
      <c r="O11" s="13">
        <v>21.3</v>
      </c>
      <c r="P11" s="13">
        <v>12.3</v>
      </c>
      <c r="Q11" s="13">
        <f>Table24[[#This Row],[2_Temp_H]]-Table24[[#This Row],[2_Temp_L]]</f>
        <v>19.2</v>
      </c>
      <c r="R11" s="13">
        <v>29.1</v>
      </c>
      <c r="S11" s="13">
        <v>4.5</v>
      </c>
      <c r="T11" s="13">
        <v>1010.84</v>
      </c>
      <c r="U11" s="13">
        <v>1006.1</v>
      </c>
      <c r="V11" s="13">
        <v>0</v>
      </c>
      <c r="W11" s="13" t="s">
        <v>147</v>
      </c>
      <c r="X11" s="16" t="s">
        <v>171</v>
      </c>
      <c r="Y11" s="13" t="s">
        <v>137</v>
      </c>
      <c r="Z11" s="13" t="s">
        <v>142</v>
      </c>
      <c r="AA11" s="13" t="s">
        <v>145</v>
      </c>
      <c r="AB11" s="13" t="s">
        <v>137</v>
      </c>
      <c r="AC11" s="13">
        <f>VLOOKUP(Table24[[#This Row],[3_Elephant_ID]],'[1]Attributes(OUTDATED)'!$A$2:$N$19,12,FALSE)</f>
        <v>450</v>
      </c>
      <c r="AD11" s="13">
        <f>VLOOKUP(Table24[[#This Row],[3_Elephant_ID]],'[1]Attributes(OUTDATED)'!$A$2:$N$19,13,FALSE)</f>
        <v>0.375</v>
      </c>
      <c r="AE11" s="13">
        <f>VLOOKUP(Table24[[#This Row],[3_Elephant_ID]],'[1]Attributes(OUTDATED)'!$A$2:$N$19,14,FALSE)</f>
        <v>0.37414375430996583</v>
      </c>
      <c r="AF11" s="13">
        <v>3</v>
      </c>
      <c r="AG11" s="13">
        <v>2</v>
      </c>
      <c r="AH11" s="13">
        <v>1</v>
      </c>
      <c r="AI11" s="13">
        <v>3</v>
      </c>
      <c r="AJ11" s="13">
        <f>VLOOKUP(Table24[[#This Row],[3_Elephant_ID]],'[1]Attributes(OUTDATED)'!$A$2:$P$19,16,FALSE)</f>
        <v>1</v>
      </c>
      <c r="AK11" s="13">
        <f>VLOOKUP(Table24[[#This Row],[3_Elephant_ID]],'[1]Attributes(OUTDATED)'!$A$2:$S$19,17,FALSE)</f>
        <v>48</v>
      </c>
      <c r="AL11" s="13">
        <f>VLOOKUP(Table24[[#This Row],[3_Elephant_ID]],'[1]Attributes(OUTDATED)'!$A$2:$S$19,18,FALSE)</f>
        <v>3</v>
      </c>
    </row>
    <row r="12" spans="1:38" ht="28" x14ac:dyDescent="0.15">
      <c r="A12" s="3">
        <v>67</v>
      </c>
      <c r="B12" s="6" t="s">
        <v>20</v>
      </c>
      <c r="C12" s="7">
        <v>2</v>
      </c>
      <c r="D12" s="7">
        <v>2</v>
      </c>
      <c r="E12" s="7">
        <v>2023</v>
      </c>
      <c r="F12" s="5">
        <v>44959</v>
      </c>
      <c r="G12" s="6" t="s">
        <v>1</v>
      </c>
      <c r="H12" s="17">
        <v>0.34357414448669199</v>
      </c>
      <c r="I12" s="3" t="str">
        <f>VLOOKUP(G12,'[1]Attributes(OUTDATED)'!$A$2:$C$19,2,FALSE)</f>
        <v>F</v>
      </c>
      <c r="J12" s="3" t="str">
        <f>VLOOKUP(G12,'[1]Attributes(OUTDATED)'!$A$2:$C$19,3,FALSE)</f>
        <v>A</v>
      </c>
      <c r="K12" s="3">
        <f>VLOOKUP(G12,'[1]Attributes(OUTDATED)'!$A$2:$H$19,8,FALSE)</f>
        <v>929</v>
      </c>
      <c r="L12" s="3" t="str">
        <f>J12&amp;I12</f>
        <v>AF</v>
      </c>
      <c r="M12" s="11">
        <v>44957</v>
      </c>
      <c r="N12" s="13">
        <v>31.5</v>
      </c>
      <c r="O12" s="13">
        <v>21.3</v>
      </c>
      <c r="P12" s="13">
        <v>12.3</v>
      </c>
      <c r="Q12" s="13">
        <f>Table24[[#This Row],[2_Temp_H]]-Table24[[#This Row],[2_Temp_L]]</f>
        <v>19.2</v>
      </c>
      <c r="R12" s="13">
        <v>29.1</v>
      </c>
      <c r="S12" s="13">
        <v>4.5</v>
      </c>
      <c r="T12" s="13">
        <v>1010.84</v>
      </c>
      <c r="U12" s="13">
        <v>1006.1</v>
      </c>
      <c r="V12" s="13">
        <v>0</v>
      </c>
      <c r="W12" s="13" t="s">
        <v>147</v>
      </c>
      <c r="X12" s="16" t="s">
        <v>171</v>
      </c>
      <c r="Y12" s="13" t="s">
        <v>137</v>
      </c>
      <c r="Z12" s="13" t="s">
        <v>142</v>
      </c>
      <c r="AA12" s="13" t="s">
        <v>145</v>
      </c>
      <c r="AB12" s="13" t="s">
        <v>137</v>
      </c>
      <c r="AC12" s="13">
        <f>VLOOKUP(Table24[[#This Row],[3_Elephant_ID]],'[1]Attributes(OUTDATED)'!$A$2:$N$19,12,FALSE)</f>
        <v>321</v>
      </c>
      <c r="AD12" s="13">
        <f>VLOOKUP(Table24[[#This Row],[3_Elephant_ID]],'[1]Attributes(OUTDATED)'!$A$2:$N$19,13,FALSE)</f>
        <v>0.17599999999999999</v>
      </c>
      <c r="AE12" s="13">
        <f>VLOOKUP(Table24[[#This Row],[3_Elephant_ID]],'[1]Attributes(OUTDATED)'!$A$2:$N$19,14,FALSE)</f>
        <v>0.17530262753188491</v>
      </c>
      <c r="AF12" s="13">
        <v>3</v>
      </c>
      <c r="AG12" s="13">
        <v>0</v>
      </c>
      <c r="AH12" s="13">
        <v>0</v>
      </c>
      <c r="AI12" s="13">
        <v>0</v>
      </c>
      <c r="AJ12" s="13">
        <f>VLOOKUP(Table24[[#This Row],[3_Elephant_ID]],'[1]Attributes(OUTDATED)'!$A$2:$P$19,16,FALSE)</f>
        <v>1</v>
      </c>
      <c r="AK12" s="13">
        <f>VLOOKUP(Table24[[#This Row],[3_Elephant_ID]],'[1]Attributes(OUTDATED)'!$A$2:$S$19,17,FALSE)</f>
        <v>6</v>
      </c>
      <c r="AL12" s="13">
        <f>VLOOKUP(Table24[[#This Row],[3_Elephant_ID]],'[1]Attributes(OUTDATED)'!$A$2:$S$19,18,FALSE)</f>
        <v>8</v>
      </c>
    </row>
    <row r="13" spans="1:38" ht="28" x14ac:dyDescent="0.15">
      <c r="A13" s="3">
        <v>69</v>
      </c>
      <c r="B13" s="6" t="s">
        <v>22</v>
      </c>
      <c r="C13" s="7">
        <v>2</v>
      </c>
      <c r="D13" s="7">
        <v>2</v>
      </c>
      <c r="E13" s="7">
        <v>2023</v>
      </c>
      <c r="F13" s="5">
        <v>44959</v>
      </c>
      <c r="G13" s="6" t="s">
        <v>13</v>
      </c>
      <c r="H13" s="17">
        <v>0.29466918714555757</v>
      </c>
      <c r="I13" s="3" t="str">
        <f>VLOOKUP(G13,'[1]Attributes(OUTDATED)'!$A$2:$C$19,2,FALSE)</f>
        <v>F</v>
      </c>
      <c r="J13" s="3" t="str">
        <f>VLOOKUP(G13,'[1]Attributes(OUTDATED)'!$A$2:$C$19,3,FALSE)</f>
        <v>A</v>
      </c>
      <c r="K13" s="3">
        <f>VLOOKUP(G13,'[1]Attributes(OUTDATED)'!$A$2:$H$19,8,FALSE)</f>
        <v>963</v>
      </c>
      <c r="L13" s="3" t="str">
        <f>J13&amp;I13</f>
        <v>AF</v>
      </c>
      <c r="M13" s="11">
        <v>44957</v>
      </c>
      <c r="N13" s="13">
        <v>31.5</v>
      </c>
      <c r="O13" s="13">
        <v>21.3</v>
      </c>
      <c r="P13" s="13">
        <v>12.3</v>
      </c>
      <c r="Q13" s="13">
        <f>Table24[[#This Row],[2_Temp_H]]-Table24[[#This Row],[2_Temp_L]]</f>
        <v>19.2</v>
      </c>
      <c r="R13" s="13">
        <v>29.1</v>
      </c>
      <c r="S13" s="13">
        <v>4.5</v>
      </c>
      <c r="T13" s="13">
        <v>1010.84</v>
      </c>
      <c r="U13" s="13">
        <v>1006.1</v>
      </c>
      <c r="V13" s="13">
        <v>0</v>
      </c>
      <c r="W13" s="13" t="s">
        <v>147</v>
      </c>
      <c r="X13" s="16" t="s">
        <v>171</v>
      </c>
      <c r="Y13" s="13" t="s">
        <v>137</v>
      </c>
      <c r="Z13" s="13" t="s">
        <v>142</v>
      </c>
      <c r="AA13" s="13" t="s">
        <v>145</v>
      </c>
      <c r="AB13" s="13" t="s">
        <v>137</v>
      </c>
      <c r="AC13" s="13">
        <f>VLOOKUP(Table24[[#This Row],[3_Elephant_ID]],'[1]Attributes(OUTDATED)'!$A$2:$N$19,12,FALSE)</f>
        <v>289</v>
      </c>
      <c r="AD13" s="13">
        <f>VLOOKUP(Table24[[#This Row],[3_Elephant_ID]],'[1]Attributes(OUTDATED)'!$A$2:$N$19,13,FALSE)</f>
        <v>0.32400000000000001</v>
      </c>
      <c r="AE13" s="13">
        <f>VLOOKUP(Table24[[#This Row],[3_Elephant_ID]],'[1]Attributes(OUTDATED)'!$A$2:$N$19,14,FALSE)</f>
        <v>0.32380809109629533</v>
      </c>
      <c r="AF13" s="13">
        <v>3</v>
      </c>
      <c r="AG13" s="13">
        <v>0</v>
      </c>
      <c r="AH13" s="13">
        <v>0</v>
      </c>
      <c r="AI13" s="13">
        <v>0</v>
      </c>
      <c r="AJ13" s="13">
        <f>VLOOKUP(Table24[[#This Row],[3_Elephant_ID]],'[1]Attributes(OUTDATED)'!$A$2:$P$19,16,FALSE)</f>
        <v>2</v>
      </c>
      <c r="AK13" s="13">
        <f>VLOOKUP(Table24[[#This Row],[3_Elephant_ID]],'[1]Attributes(OUTDATED)'!$A$2:$S$19,17,FALSE)</f>
        <v>9</v>
      </c>
      <c r="AL13" s="13">
        <f>VLOOKUP(Table24[[#This Row],[3_Elephant_ID]],'[1]Attributes(OUTDATED)'!$A$2:$S$19,18,FALSE)</f>
        <v>9</v>
      </c>
    </row>
    <row r="14" spans="1:38" ht="28" x14ac:dyDescent="0.15">
      <c r="A14" s="3">
        <v>65</v>
      </c>
      <c r="B14" s="6">
        <v>2102231509</v>
      </c>
      <c r="C14" s="7">
        <v>21</v>
      </c>
      <c r="D14" s="7">
        <v>2</v>
      </c>
      <c r="E14" s="7">
        <v>2023</v>
      </c>
      <c r="F14" s="5">
        <v>44978</v>
      </c>
      <c r="G14" s="6" t="s">
        <v>4</v>
      </c>
      <c r="H14" s="17">
        <v>0.30659340659340661</v>
      </c>
      <c r="I14" s="3" t="str">
        <f>VLOOKUP(G14,'[1]Attributes(OUTDATED)'!$A$2:$C$19,2,FALSE)</f>
        <v>M</v>
      </c>
      <c r="J14" s="3" t="str">
        <f>VLOOKUP(G14,'[1]Attributes(OUTDATED)'!$A$2:$C$19,3,FALSE)</f>
        <v>J</v>
      </c>
      <c r="K14" s="3">
        <f>VLOOKUP(G14,'[1]Attributes(OUTDATED)'!$A$2:$H$19,8,FALSE)</f>
        <v>1055</v>
      </c>
      <c r="L14" s="3" t="str">
        <f>J14&amp;I14</f>
        <v>JM</v>
      </c>
      <c r="M14" s="11">
        <v>44976</v>
      </c>
      <c r="N14" s="13">
        <v>30.7</v>
      </c>
      <c r="O14" s="13">
        <v>21.1</v>
      </c>
      <c r="P14" s="13">
        <v>15.2</v>
      </c>
      <c r="Q14" s="13">
        <f>Table24[[#This Row],[2_Temp_H]]-Table24[[#This Row],[2_Temp_L]]</f>
        <v>15.5</v>
      </c>
      <c r="R14" s="13">
        <v>21.1</v>
      </c>
      <c r="S14" s="13">
        <v>3.6</v>
      </c>
      <c r="T14" s="13">
        <v>1006.77</v>
      </c>
      <c r="U14" s="13">
        <v>996.95</v>
      </c>
      <c r="V14" s="13">
        <v>0</v>
      </c>
      <c r="W14" s="13" t="s">
        <v>147</v>
      </c>
      <c r="X14" s="16" t="s">
        <v>171</v>
      </c>
      <c r="Y14" s="13" t="s">
        <v>137</v>
      </c>
      <c r="Z14" s="13" t="s">
        <v>142</v>
      </c>
      <c r="AA14" s="13" t="s">
        <v>145</v>
      </c>
      <c r="AB14" s="13" t="s">
        <v>137</v>
      </c>
      <c r="AC14" s="13">
        <f>VLOOKUP(Table24[[#This Row],[3_Elephant_ID]],'[1]Attributes(OUTDATED)'!$A$2:$N$19,12,FALSE)</f>
        <v>181</v>
      </c>
      <c r="AD14" s="13">
        <f>VLOOKUP(Table24[[#This Row],[3_Elephant_ID]],'[1]Attributes(OUTDATED)'!$A$2:$N$19,13,FALSE)</f>
        <v>7.3999999999999996E-2</v>
      </c>
      <c r="AE14" s="13">
        <f>VLOOKUP(Table24[[#This Row],[3_Elephant_ID]],'[1]Attributes(OUTDATED)'!$A$2:$N$19,14,FALSE)</f>
        <v>7.3914663535330896E-2</v>
      </c>
      <c r="AF14" s="13">
        <v>0</v>
      </c>
      <c r="AG14" s="13">
        <v>0</v>
      </c>
      <c r="AH14" s="13">
        <v>0</v>
      </c>
      <c r="AI14" s="13">
        <v>0</v>
      </c>
      <c r="AJ14" s="13">
        <f>VLOOKUP(Table24[[#This Row],[3_Elephant_ID]],'[1]Attributes(OUTDATED)'!$A$2:$P$19,16,FALSE)</f>
        <v>1</v>
      </c>
      <c r="AK14" s="13">
        <f>VLOOKUP(Table24[[#This Row],[3_Elephant_ID]],'[1]Attributes(OUTDATED)'!$A$2:$S$19,17,FALSE)</f>
        <v>7</v>
      </c>
      <c r="AL14" s="13">
        <f>VLOOKUP(Table24[[#This Row],[3_Elephant_ID]],'[1]Attributes(OUTDATED)'!$A$2:$S$19,18,FALSE)</f>
        <v>9</v>
      </c>
    </row>
    <row r="15" spans="1:38" ht="28" x14ac:dyDescent="0.15">
      <c r="A15" s="3">
        <v>66</v>
      </c>
      <c r="B15" s="6">
        <v>2102231316</v>
      </c>
      <c r="C15" s="7">
        <v>21</v>
      </c>
      <c r="D15" s="7">
        <v>2</v>
      </c>
      <c r="E15" s="7">
        <v>2023</v>
      </c>
      <c r="F15" s="5">
        <v>44978</v>
      </c>
      <c r="G15" s="6" t="s">
        <v>1</v>
      </c>
      <c r="H15" s="17">
        <v>0.24855513307984792</v>
      </c>
      <c r="I15" s="3" t="str">
        <f>VLOOKUP(G15,'[1]Attributes(OUTDATED)'!$A$2:$C$19,2,FALSE)</f>
        <v>F</v>
      </c>
      <c r="J15" s="3" t="str">
        <f>VLOOKUP(G15,'[1]Attributes(OUTDATED)'!$A$2:$C$19,3,FALSE)</f>
        <v>A</v>
      </c>
      <c r="K15" s="3">
        <f>VLOOKUP(G15,'[1]Attributes(OUTDATED)'!$A$2:$H$19,8,FALSE)</f>
        <v>929</v>
      </c>
      <c r="L15" s="3" t="str">
        <f>J15&amp;I15</f>
        <v>AF</v>
      </c>
      <c r="M15" s="11">
        <v>44976</v>
      </c>
      <c r="N15" s="13">
        <v>30.7</v>
      </c>
      <c r="O15" s="13">
        <v>21.1</v>
      </c>
      <c r="P15" s="13">
        <v>15.2</v>
      </c>
      <c r="Q15" s="13">
        <f>Table24[[#This Row],[2_Temp_H]]-Table24[[#This Row],[2_Temp_L]]</f>
        <v>15.5</v>
      </c>
      <c r="R15" s="13">
        <v>21.1</v>
      </c>
      <c r="S15" s="13">
        <v>3.6</v>
      </c>
      <c r="T15" s="13">
        <v>1006.77</v>
      </c>
      <c r="U15" s="13">
        <v>996.95</v>
      </c>
      <c r="V15" s="13">
        <v>0</v>
      </c>
      <c r="W15" s="13" t="s">
        <v>147</v>
      </c>
      <c r="X15" s="16" t="s">
        <v>171</v>
      </c>
      <c r="Y15" s="13" t="s">
        <v>137</v>
      </c>
      <c r="Z15" s="13" t="s">
        <v>142</v>
      </c>
      <c r="AA15" s="13" t="s">
        <v>145</v>
      </c>
      <c r="AB15" s="13" t="s">
        <v>137</v>
      </c>
      <c r="AC15" s="13">
        <f>VLOOKUP(Table24[[#This Row],[3_Elephant_ID]],'[1]Attributes(OUTDATED)'!$A$2:$N$19,12,FALSE)</f>
        <v>321</v>
      </c>
      <c r="AD15" s="13">
        <f>VLOOKUP(Table24[[#This Row],[3_Elephant_ID]],'[1]Attributes(OUTDATED)'!$A$2:$N$19,13,FALSE)</f>
        <v>0.17599999999999999</v>
      </c>
      <c r="AE15" s="13">
        <f>VLOOKUP(Table24[[#This Row],[3_Elephant_ID]],'[1]Attributes(OUTDATED)'!$A$2:$N$19,14,FALSE)</f>
        <v>0.17530262753188491</v>
      </c>
      <c r="AF15" s="13">
        <v>0</v>
      </c>
      <c r="AG15" s="13">
        <v>0</v>
      </c>
      <c r="AH15" s="13">
        <v>0</v>
      </c>
      <c r="AI15" s="13">
        <v>0</v>
      </c>
      <c r="AJ15" s="13">
        <f>VLOOKUP(Table24[[#This Row],[3_Elephant_ID]],'[1]Attributes(OUTDATED)'!$A$2:$P$19,16,FALSE)</f>
        <v>1</v>
      </c>
      <c r="AK15" s="13">
        <f>VLOOKUP(Table24[[#This Row],[3_Elephant_ID]],'[1]Attributes(OUTDATED)'!$A$2:$S$19,17,FALSE)</f>
        <v>6</v>
      </c>
      <c r="AL15" s="13">
        <f>VLOOKUP(Table24[[#This Row],[3_Elephant_ID]],'[1]Attributes(OUTDATED)'!$A$2:$S$19,18,FALSE)</f>
        <v>8</v>
      </c>
    </row>
    <row r="16" spans="1:38" ht="28" x14ac:dyDescent="0.15">
      <c r="A16" s="3">
        <v>60</v>
      </c>
      <c r="B16" s="6">
        <v>2202231444</v>
      </c>
      <c r="C16" s="7">
        <v>22</v>
      </c>
      <c r="D16" s="7">
        <v>2</v>
      </c>
      <c r="E16" s="7">
        <v>2023</v>
      </c>
      <c r="F16" s="5">
        <v>44979</v>
      </c>
      <c r="G16" s="6" t="s">
        <v>3</v>
      </c>
      <c r="H16" s="17">
        <v>0.25275992438563322</v>
      </c>
      <c r="I16" s="3" t="str">
        <f>VLOOKUP(G16,'[1]Attributes(OUTDATED)'!$A$2:$C$19,2,FALSE)</f>
        <v>M</v>
      </c>
      <c r="J16" s="3" t="str">
        <f>VLOOKUP(G16,'[1]Attributes(OUTDATED)'!$A$2:$C$19,3,FALSE)</f>
        <v>J</v>
      </c>
      <c r="K16" s="3">
        <f>VLOOKUP(G16,'[1]Attributes(OUTDATED)'!$A$2:$H$19,8,FALSE)</f>
        <v>1031</v>
      </c>
      <c r="L16" s="3" t="str">
        <f>J16&amp;I16</f>
        <v>JM</v>
      </c>
      <c r="M16" s="11">
        <v>44977</v>
      </c>
      <c r="N16" s="13">
        <v>26.7</v>
      </c>
      <c r="O16" s="13">
        <v>20.399999999999999</v>
      </c>
      <c r="P16" s="13">
        <v>12.7</v>
      </c>
      <c r="Q16" s="13">
        <f>Table24[[#This Row],[2_Temp_H]]-Table24[[#This Row],[2_Temp_L]]</f>
        <v>14</v>
      </c>
      <c r="R16" s="13">
        <v>36.200000000000003</v>
      </c>
      <c r="S16" s="13">
        <v>11</v>
      </c>
      <c r="T16" s="13">
        <v>1006.1</v>
      </c>
      <c r="U16" s="13">
        <v>994.92</v>
      </c>
      <c r="V16" s="13">
        <v>1.02</v>
      </c>
      <c r="W16" s="13" t="s">
        <v>147</v>
      </c>
      <c r="X16" s="16" t="s">
        <v>171</v>
      </c>
      <c r="Y16" s="13" t="s">
        <v>137</v>
      </c>
      <c r="Z16" s="13" t="s">
        <v>142</v>
      </c>
      <c r="AA16" s="13" t="s">
        <v>145</v>
      </c>
      <c r="AB16" s="13" t="s">
        <v>137</v>
      </c>
      <c r="AC16" s="13">
        <f>VLOOKUP(Table24[[#This Row],[3_Elephant_ID]],'[1]Attributes(OUTDATED)'!$A$2:$N$19,12,FALSE)</f>
        <v>234</v>
      </c>
      <c r="AD16" s="13">
        <f>VLOOKUP(Table24[[#This Row],[3_Elephant_ID]],'[1]Attributes(OUTDATED)'!$A$2:$N$19,13,FALSE)</f>
        <v>0.16500000000000001</v>
      </c>
      <c r="AE16" s="13">
        <f>VLOOKUP(Table24[[#This Row],[3_Elephant_ID]],'[1]Attributes(OUTDATED)'!$A$2:$N$19,14,FALSE)</f>
        <v>0.16420161303383449</v>
      </c>
      <c r="AF16" s="13">
        <v>2</v>
      </c>
      <c r="AG16" s="13">
        <v>0</v>
      </c>
      <c r="AH16" s="13">
        <v>0</v>
      </c>
      <c r="AI16" s="13">
        <v>0</v>
      </c>
      <c r="AJ16" s="13">
        <f>VLOOKUP(Table24[[#This Row],[3_Elephant_ID]],'[1]Attributes(OUTDATED)'!$A$2:$P$19,16,FALSE)</f>
        <v>1</v>
      </c>
      <c r="AK16" s="13">
        <f>VLOOKUP(Table24[[#This Row],[3_Elephant_ID]],'[1]Attributes(OUTDATED)'!$A$2:$S$19,17,FALSE)</f>
        <v>9</v>
      </c>
      <c r="AL16" s="13">
        <f>VLOOKUP(Table24[[#This Row],[3_Elephant_ID]],'[1]Attributes(OUTDATED)'!$A$2:$S$19,18,FALSE)</f>
        <v>9</v>
      </c>
    </row>
    <row r="17" spans="1:38" ht="28" x14ac:dyDescent="0.15">
      <c r="A17" s="3">
        <v>61</v>
      </c>
      <c r="B17" s="6">
        <v>2202231427</v>
      </c>
      <c r="C17" s="7">
        <v>22</v>
      </c>
      <c r="D17" s="7">
        <v>2</v>
      </c>
      <c r="E17" s="7">
        <v>2023</v>
      </c>
      <c r="F17" s="5">
        <v>44979</v>
      </c>
      <c r="G17" s="6" t="s">
        <v>10</v>
      </c>
      <c r="H17" s="17">
        <v>0.20421550094517957</v>
      </c>
      <c r="I17" s="3" t="str">
        <f>VLOOKUP(G17,'[1]Attributes(OUTDATED)'!$A$2:$C$19,2,FALSE)</f>
        <v>F</v>
      </c>
      <c r="J17" s="3" t="str">
        <f>VLOOKUP(G17,'[1]Attributes(OUTDATED)'!$A$2:$C$19,3,FALSE)</f>
        <v>A</v>
      </c>
      <c r="K17" s="3">
        <f>VLOOKUP(G17,'[1]Attributes(OUTDATED)'!$A$2:$H$19,8,FALSE)</f>
        <v>1146</v>
      </c>
      <c r="L17" s="3" t="str">
        <f>J17&amp;I17</f>
        <v>AF</v>
      </c>
      <c r="M17" s="11">
        <v>44977</v>
      </c>
      <c r="N17" s="13">
        <v>26.7</v>
      </c>
      <c r="O17" s="13">
        <v>20.399999999999999</v>
      </c>
      <c r="P17" s="13">
        <v>12.7</v>
      </c>
      <c r="Q17" s="13">
        <f>Table24[[#This Row],[2_Temp_H]]-Table24[[#This Row],[2_Temp_L]]</f>
        <v>14</v>
      </c>
      <c r="R17" s="13">
        <v>36.200000000000003</v>
      </c>
      <c r="S17" s="13">
        <v>11</v>
      </c>
      <c r="T17" s="13">
        <v>1006.1</v>
      </c>
      <c r="U17" s="13">
        <v>994.92</v>
      </c>
      <c r="V17" s="13">
        <v>1.02</v>
      </c>
      <c r="W17" s="13" t="s">
        <v>147</v>
      </c>
      <c r="X17" s="16" t="s">
        <v>171</v>
      </c>
      <c r="Y17" s="13" t="s">
        <v>137</v>
      </c>
      <c r="Z17" s="13" t="s">
        <v>142</v>
      </c>
      <c r="AA17" s="13" t="s">
        <v>145</v>
      </c>
      <c r="AB17" s="13" t="s">
        <v>137</v>
      </c>
      <c r="AC17" s="13">
        <f>VLOOKUP(Table24[[#This Row],[3_Elephant_ID]],'[1]Attributes(OUTDATED)'!$A$2:$N$19,12,FALSE)</f>
        <v>424</v>
      </c>
      <c r="AD17" s="13">
        <f>VLOOKUP(Table24[[#This Row],[3_Elephant_ID]],'[1]Attributes(OUTDATED)'!$A$2:$N$19,13,FALSE)</f>
        <v>0.10299999999999999</v>
      </c>
      <c r="AE17" s="13">
        <f>VLOOKUP(Table24[[#This Row],[3_Elephant_ID]],'[1]Attributes(OUTDATED)'!$A$2:$N$19,14,FALSE)</f>
        <v>0.10282190709599449</v>
      </c>
      <c r="AF17" s="13">
        <v>2</v>
      </c>
      <c r="AG17" s="13">
        <v>0</v>
      </c>
      <c r="AH17" s="13">
        <v>0</v>
      </c>
      <c r="AI17" s="13">
        <v>0</v>
      </c>
      <c r="AJ17" s="13">
        <f>VLOOKUP(Table24[[#This Row],[3_Elephant_ID]],'[1]Attributes(OUTDATED)'!$A$2:$P$19,16,FALSE)</f>
        <v>1</v>
      </c>
      <c r="AK17" s="13">
        <f>VLOOKUP(Table24[[#This Row],[3_Elephant_ID]],'[1]Attributes(OUTDATED)'!$A$2:$S$19,17,FALSE)</f>
        <v>9</v>
      </c>
      <c r="AL17" s="13">
        <f>VLOOKUP(Table24[[#This Row],[3_Elephant_ID]],'[1]Attributes(OUTDATED)'!$A$2:$S$19,18,FALSE)</f>
        <v>8</v>
      </c>
    </row>
    <row r="18" spans="1:38" ht="28" x14ac:dyDescent="0.15">
      <c r="A18" s="3">
        <v>63</v>
      </c>
      <c r="B18" s="6">
        <v>2202230940</v>
      </c>
      <c r="C18" s="7">
        <v>22</v>
      </c>
      <c r="D18" s="7">
        <v>2</v>
      </c>
      <c r="E18" s="7">
        <v>2023</v>
      </c>
      <c r="F18" s="5">
        <v>44979</v>
      </c>
      <c r="G18" s="6" t="s">
        <v>10</v>
      </c>
      <c r="H18" s="17">
        <v>0.33439703153988865</v>
      </c>
      <c r="I18" s="3" t="str">
        <f>VLOOKUP(G18,'[1]Attributes(OUTDATED)'!$A$2:$C$19,2,FALSE)</f>
        <v>F</v>
      </c>
      <c r="J18" s="3" t="str">
        <f>VLOOKUP(G18,'[1]Attributes(OUTDATED)'!$A$2:$C$19,3,FALSE)</f>
        <v>A</v>
      </c>
      <c r="K18" s="3">
        <f>VLOOKUP(G18,'[1]Attributes(OUTDATED)'!$A$2:$H$19,8,FALSE)</f>
        <v>1146</v>
      </c>
      <c r="L18" s="3" t="str">
        <f>J18&amp;I18</f>
        <v>AF</v>
      </c>
      <c r="M18" s="11">
        <v>44977</v>
      </c>
      <c r="N18" s="13">
        <v>26.7</v>
      </c>
      <c r="O18" s="13">
        <v>20.399999999999999</v>
      </c>
      <c r="P18" s="13">
        <v>12.7</v>
      </c>
      <c r="Q18" s="13">
        <f>Table24[[#This Row],[2_Temp_H]]-Table24[[#This Row],[2_Temp_L]]</f>
        <v>14</v>
      </c>
      <c r="R18" s="13">
        <v>36.200000000000003</v>
      </c>
      <c r="S18" s="13">
        <v>11</v>
      </c>
      <c r="T18" s="13">
        <v>1006.1</v>
      </c>
      <c r="U18" s="13">
        <v>994.92</v>
      </c>
      <c r="V18" s="13">
        <v>1.02</v>
      </c>
      <c r="W18" s="13" t="s">
        <v>147</v>
      </c>
      <c r="X18" s="16" t="s">
        <v>171</v>
      </c>
      <c r="Y18" s="13" t="s">
        <v>137</v>
      </c>
      <c r="Z18" s="13" t="s">
        <v>142</v>
      </c>
      <c r="AA18" s="13" t="s">
        <v>145</v>
      </c>
      <c r="AB18" s="13" t="s">
        <v>137</v>
      </c>
      <c r="AC18" s="13">
        <f>VLOOKUP(Table24[[#This Row],[3_Elephant_ID]],'[1]Attributes(OUTDATED)'!$A$2:$N$19,12,FALSE)</f>
        <v>424</v>
      </c>
      <c r="AD18" s="13">
        <f>VLOOKUP(Table24[[#This Row],[3_Elephant_ID]],'[1]Attributes(OUTDATED)'!$A$2:$N$19,13,FALSE)</f>
        <v>0.10299999999999999</v>
      </c>
      <c r="AE18" s="13">
        <f>VLOOKUP(Table24[[#This Row],[3_Elephant_ID]],'[1]Attributes(OUTDATED)'!$A$2:$N$19,14,FALSE)</f>
        <v>0.10282190709599449</v>
      </c>
      <c r="AF18" s="13">
        <v>2</v>
      </c>
      <c r="AG18" s="13">
        <v>0</v>
      </c>
      <c r="AH18" s="13">
        <v>0</v>
      </c>
      <c r="AI18" s="13">
        <v>0</v>
      </c>
      <c r="AJ18" s="13">
        <f>VLOOKUP(Table24[[#This Row],[3_Elephant_ID]],'[1]Attributes(OUTDATED)'!$A$2:$P$19,16,FALSE)</f>
        <v>1</v>
      </c>
      <c r="AK18" s="13">
        <f>VLOOKUP(Table24[[#This Row],[3_Elephant_ID]],'[1]Attributes(OUTDATED)'!$A$2:$S$19,17,FALSE)</f>
        <v>9</v>
      </c>
      <c r="AL18" s="13">
        <f>VLOOKUP(Table24[[#This Row],[3_Elephant_ID]],'[1]Attributes(OUTDATED)'!$A$2:$S$19,18,FALSE)</f>
        <v>8</v>
      </c>
    </row>
    <row r="19" spans="1:38" ht="28" x14ac:dyDescent="0.15">
      <c r="A19" s="3">
        <v>64</v>
      </c>
      <c r="B19" s="6">
        <v>2202230930</v>
      </c>
      <c r="C19" s="7">
        <v>22</v>
      </c>
      <c r="D19" s="7">
        <v>2</v>
      </c>
      <c r="E19" s="7">
        <v>2023</v>
      </c>
      <c r="F19" s="5">
        <v>44979</v>
      </c>
      <c r="G19" s="6" t="s">
        <v>6</v>
      </c>
      <c r="H19" s="17">
        <v>0.38345351043643267</v>
      </c>
      <c r="I19" s="3" t="str">
        <f>VLOOKUP(G19,'[1]Attributes(OUTDATED)'!$A$2:$C$19,2,FALSE)</f>
        <v>F</v>
      </c>
      <c r="J19" s="3" t="str">
        <f>VLOOKUP(G19,'[1]Attributes(OUTDATED)'!$A$2:$C$19,3,FALSE)</f>
        <v>A</v>
      </c>
      <c r="K19" s="3">
        <f>VLOOKUP(G19,'[1]Attributes(OUTDATED)'!$A$2:$H$19,8,FALSE)</f>
        <v>1168</v>
      </c>
      <c r="L19" s="3" t="str">
        <f>J19&amp;I19</f>
        <v>AF</v>
      </c>
      <c r="M19" s="11">
        <v>44977</v>
      </c>
      <c r="N19" s="13">
        <v>26.7</v>
      </c>
      <c r="O19" s="13">
        <v>20.399999999999999</v>
      </c>
      <c r="P19" s="13">
        <v>12.7</v>
      </c>
      <c r="Q19" s="13">
        <f>Table24[[#This Row],[2_Temp_H]]-Table24[[#This Row],[2_Temp_L]]</f>
        <v>14</v>
      </c>
      <c r="R19" s="13">
        <v>36.200000000000003</v>
      </c>
      <c r="S19" s="13">
        <v>11</v>
      </c>
      <c r="T19" s="13">
        <v>1006.1</v>
      </c>
      <c r="U19" s="13">
        <v>994.92</v>
      </c>
      <c r="V19" s="13">
        <v>1.02</v>
      </c>
      <c r="W19" s="13" t="s">
        <v>147</v>
      </c>
      <c r="X19" s="16" t="s">
        <v>171</v>
      </c>
      <c r="Y19" s="13" t="s">
        <v>137</v>
      </c>
      <c r="Z19" s="13" t="s">
        <v>142</v>
      </c>
      <c r="AA19" s="13" t="s">
        <v>145</v>
      </c>
      <c r="AB19" s="13" t="s">
        <v>137</v>
      </c>
      <c r="AC19" s="13">
        <f>VLOOKUP(Table24[[#This Row],[3_Elephant_ID]],'[1]Attributes(OUTDATED)'!$A$2:$N$19,12,FALSE)</f>
        <v>286</v>
      </c>
      <c r="AD19" s="13">
        <f>VLOOKUP(Table24[[#This Row],[3_Elephant_ID]],'[1]Attributes(OUTDATED)'!$A$2:$N$19,13,FALSE)</f>
        <v>0.26800000000000002</v>
      </c>
      <c r="AE19" s="13">
        <f>VLOOKUP(Table24[[#This Row],[3_Elephant_ID]],'[1]Attributes(OUTDATED)'!$A$2:$N$19,14,FALSE)</f>
        <v>0.26721028245328138</v>
      </c>
      <c r="AF19" s="13">
        <v>2</v>
      </c>
      <c r="AG19" s="13">
        <v>1</v>
      </c>
      <c r="AH19" s="13">
        <v>0</v>
      </c>
      <c r="AI19" s="13">
        <v>1</v>
      </c>
      <c r="AJ19" s="13">
        <f>VLOOKUP(Table24[[#This Row],[3_Elephant_ID]],'[1]Attributes(OUTDATED)'!$A$2:$P$19,16,FALSE)</f>
        <v>2</v>
      </c>
      <c r="AK19" s="13">
        <f>VLOOKUP(Table24[[#This Row],[3_Elephant_ID]],'[1]Attributes(OUTDATED)'!$A$2:$S$19,17,FALSE)</f>
        <v>12</v>
      </c>
      <c r="AL19" s="13">
        <f>VLOOKUP(Table24[[#This Row],[3_Elephant_ID]],'[1]Attributes(OUTDATED)'!$A$2:$S$19,18,FALSE)</f>
        <v>5</v>
      </c>
    </row>
    <row r="20" spans="1:38" ht="28" x14ac:dyDescent="0.15">
      <c r="A20" s="3">
        <v>59</v>
      </c>
      <c r="B20" s="6">
        <v>2202231503</v>
      </c>
      <c r="C20" s="7">
        <v>22</v>
      </c>
      <c r="D20" s="7">
        <v>2</v>
      </c>
      <c r="E20" s="7">
        <v>2023</v>
      </c>
      <c r="F20" s="5">
        <v>44979</v>
      </c>
      <c r="G20" s="6" t="s">
        <v>1</v>
      </c>
      <c r="H20" s="17">
        <v>0.24982248520710065</v>
      </c>
      <c r="I20" s="3" t="str">
        <f>VLOOKUP(G20,'[1]Attributes(OUTDATED)'!$A$2:$C$19,2,FALSE)</f>
        <v>F</v>
      </c>
      <c r="J20" s="3" t="str">
        <f>VLOOKUP(G20,'[1]Attributes(OUTDATED)'!$A$2:$C$19,3,FALSE)</f>
        <v>A</v>
      </c>
      <c r="K20" s="3">
        <f>VLOOKUP(G20,'[1]Attributes(OUTDATED)'!$A$2:$H$19,8,FALSE)</f>
        <v>929</v>
      </c>
      <c r="L20" s="3" t="str">
        <f>J20&amp;I20</f>
        <v>AF</v>
      </c>
      <c r="M20" s="11">
        <v>44977</v>
      </c>
      <c r="N20" s="13">
        <v>26.7</v>
      </c>
      <c r="O20" s="13">
        <v>20.399999999999999</v>
      </c>
      <c r="P20" s="13">
        <v>12.7</v>
      </c>
      <c r="Q20" s="13">
        <f>Table24[[#This Row],[2_Temp_H]]-Table24[[#This Row],[2_Temp_L]]</f>
        <v>14</v>
      </c>
      <c r="R20" s="13">
        <v>36.200000000000003</v>
      </c>
      <c r="S20" s="13">
        <v>11</v>
      </c>
      <c r="T20" s="13">
        <v>1006.1</v>
      </c>
      <c r="U20" s="13">
        <v>994.92</v>
      </c>
      <c r="V20" s="13">
        <v>1.02</v>
      </c>
      <c r="W20" s="13" t="s">
        <v>147</v>
      </c>
      <c r="X20" s="16" t="s">
        <v>171</v>
      </c>
      <c r="Y20" s="13" t="s">
        <v>137</v>
      </c>
      <c r="Z20" s="13" t="s">
        <v>142</v>
      </c>
      <c r="AA20" s="13" t="s">
        <v>145</v>
      </c>
      <c r="AB20" s="13" t="s">
        <v>137</v>
      </c>
      <c r="AC20" s="13">
        <f>VLOOKUP(Table24[[#This Row],[3_Elephant_ID]],'[1]Attributes(OUTDATED)'!$A$2:$N$19,12,FALSE)</f>
        <v>321</v>
      </c>
      <c r="AD20" s="13">
        <f>VLOOKUP(Table24[[#This Row],[3_Elephant_ID]],'[1]Attributes(OUTDATED)'!$A$2:$N$19,13,FALSE)</f>
        <v>0.17599999999999999</v>
      </c>
      <c r="AE20" s="13">
        <f>VLOOKUP(Table24[[#This Row],[3_Elephant_ID]],'[1]Attributes(OUTDATED)'!$A$2:$N$19,14,FALSE)</f>
        <v>0.17530262753188491</v>
      </c>
      <c r="AF20" s="13">
        <v>2</v>
      </c>
      <c r="AG20" s="13">
        <v>0</v>
      </c>
      <c r="AH20" s="13">
        <v>0</v>
      </c>
      <c r="AI20" s="13">
        <v>0</v>
      </c>
      <c r="AJ20" s="13">
        <f>VLOOKUP(Table24[[#This Row],[3_Elephant_ID]],'[1]Attributes(OUTDATED)'!$A$2:$P$19,16,FALSE)</f>
        <v>1</v>
      </c>
      <c r="AK20" s="13">
        <f>VLOOKUP(Table24[[#This Row],[3_Elephant_ID]],'[1]Attributes(OUTDATED)'!$A$2:$S$19,17,FALSE)</f>
        <v>6</v>
      </c>
      <c r="AL20" s="13">
        <f>VLOOKUP(Table24[[#This Row],[3_Elephant_ID]],'[1]Attributes(OUTDATED)'!$A$2:$S$19,18,FALSE)</f>
        <v>8</v>
      </c>
    </row>
    <row r="21" spans="1:38" ht="28" x14ac:dyDescent="0.15">
      <c r="A21" s="3">
        <v>62</v>
      </c>
      <c r="B21" s="6">
        <v>2202231415</v>
      </c>
      <c r="C21" s="7">
        <v>22</v>
      </c>
      <c r="D21" s="7">
        <v>2</v>
      </c>
      <c r="E21" s="7">
        <v>2023</v>
      </c>
      <c r="F21" s="5">
        <v>44979</v>
      </c>
      <c r="G21" s="6" t="s">
        <v>2</v>
      </c>
      <c r="H21" s="17">
        <v>0.30871345029239766</v>
      </c>
      <c r="I21" s="3" t="str">
        <f>VLOOKUP(G21,'[1]Attributes(OUTDATED)'!$A$2:$C$19,2,FALSE)</f>
        <v>F</v>
      </c>
      <c r="J21" s="3" t="str">
        <f>VLOOKUP(G21,'[1]Attributes(OUTDATED)'!$A$2:$C$19,3,FALSE)</f>
        <v>A</v>
      </c>
      <c r="K21" s="3">
        <f>VLOOKUP(G21,'[1]Attributes(OUTDATED)'!$A$2:$H$19,8,FALSE)</f>
        <v>892</v>
      </c>
      <c r="L21" s="3" t="str">
        <f>J21&amp;I21</f>
        <v>AF</v>
      </c>
      <c r="M21" s="11">
        <v>44977</v>
      </c>
      <c r="N21" s="13">
        <v>26.7</v>
      </c>
      <c r="O21" s="13">
        <v>20.399999999999999</v>
      </c>
      <c r="P21" s="13">
        <v>12.7</v>
      </c>
      <c r="Q21" s="13">
        <f>Table24[[#This Row],[2_Temp_H]]-Table24[[#This Row],[2_Temp_L]]</f>
        <v>14</v>
      </c>
      <c r="R21" s="13">
        <v>36.200000000000003</v>
      </c>
      <c r="S21" s="13">
        <v>11</v>
      </c>
      <c r="T21" s="13">
        <v>1006.1</v>
      </c>
      <c r="U21" s="13">
        <v>994.92</v>
      </c>
      <c r="V21" s="13">
        <v>1.02</v>
      </c>
      <c r="W21" s="13" t="s">
        <v>147</v>
      </c>
      <c r="X21" s="16" t="s">
        <v>171</v>
      </c>
      <c r="Y21" s="13" t="s">
        <v>137</v>
      </c>
      <c r="Z21" s="13" t="s">
        <v>142</v>
      </c>
      <c r="AA21" s="13" t="s">
        <v>145</v>
      </c>
      <c r="AB21" s="13" t="s">
        <v>137</v>
      </c>
      <c r="AC21" s="13">
        <f>VLOOKUP(Table24[[#This Row],[3_Elephant_ID]],'[1]Attributes(OUTDATED)'!$A$2:$N$19,12,FALSE)</f>
        <v>378</v>
      </c>
      <c r="AD21" s="13">
        <f>VLOOKUP(Table24[[#This Row],[3_Elephant_ID]],'[1]Attributes(OUTDATED)'!$A$2:$N$19,13,FALSE)</f>
        <v>8.6999999999999994E-2</v>
      </c>
      <c r="AE21" s="13">
        <f>VLOOKUP(Table24[[#This Row],[3_Elephant_ID]],'[1]Attributes(OUTDATED)'!$A$2:$N$19,14,FALSE)</f>
        <v>8.6599138783086713E-2</v>
      </c>
      <c r="AF21" s="13">
        <v>2</v>
      </c>
      <c r="AG21" s="13">
        <v>0</v>
      </c>
      <c r="AH21" s="13">
        <v>0</v>
      </c>
      <c r="AI21" s="13">
        <v>0</v>
      </c>
      <c r="AJ21" s="13">
        <f>VLOOKUP(Table24[[#This Row],[3_Elephant_ID]],'[1]Attributes(OUTDATED)'!$A$2:$P$19,16,FALSE)</f>
        <v>1</v>
      </c>
      <c r="AK21" s="13">
        <f>VLOOKUP(Table24[[#This Row],[3_Elephant_ID]],'[1]Attributes(OUTDATED)'!$A$2:$S$19,17,FALSE)</f>
        <v>4</v>
      </c>
      <c r="AL21" s="13">
        <f>VLOOKUP(Table24[[#This Row],[3_Elephant_ID]],'[1]Attributes(OUTDATED)'!$A$2:$S$19,18,FALSE)</f>
        <v>20</v>
      </c>
    </row>
    <row r="22" spans="1:38" ht="28" x14ac:dyDescent="0.15">
      <c r="A22" s="3">
        <v>58</v>
      </c>
      <c r="B22" s="6">
        <v>2402231514</v>
      </c>
      <c r="C22" s="7">
        <v>24</v>
      </c>
      <c r="D22" s="7">
        <v>2</v>
      </c>
      <c r="E22" s="7">
        <v>2023</v>
      </c>
      <c r="F22" s="5">
        <v>44981</v>
      </c>
      <c r="G22" s="6" t="s">
        <v>4</v>
      </c>
      <c r="H22" s="17">
        <v>0.33609108159392792</v>
      </c>
      <c r="I22" s="3" t="str">
        <f>VLOOKUP(G22,'[1]Attributes(OUTDATED)'!$A$2:$C$19,2,FALSE)</f>
        <v>M</v>
      </c>
      <c r="J22" s="3" t="str">
        <f>VLOOKUP(G22,'[1]Attributes(OUTDATED)'!$A$2:$C$19,3,FALSE)</f>
        <v>J</v>
      </c>
      <c r="K22" s="3">
        <f>VLOOKUP(G22,'[1]Attributes(OUTDATED)'!$A$2:$H$19,8,FALSE)</f>
        <v>1055</v>
      </c>
      <c r="L22" s="3" t="str">
        <f>J22&amp;I22</f>
        <v>JM</v>
      </c>
      <c r="M22" s="11">
        <v>44979</v>
      </c>
      <c r="N22" s="13">
        <v>31</v>
      </c>
      <c r="O22" s="13">
        <v>20.3</v>
      </c>
      <c r="P22" s="13">
        <v>7.4</v>
      </c>
      <c r="Q22" s="13">
        <f>Table24[[#This Row],[2_Temp_H]]-Table24[[#This Row],[2_Temp_L]]</f>
        <v>23.6</v>
      </c>
      <c r="R22" s="13">
        <v>16.399999999999999</v>
      </c>
      <c r="S22" s="13">
        <v>4</v>
      </c>
      <c r="T22" s="13">
        <v>1014.9</v>
      </c>
      <c r="U22" s="13">
        <v>1011.85</v>
      </c>
      <c r="V22" s="13">
        <v>0</v>
      </c>
      <c r="W22" s="13" t="s">
        <v>147</v>
      </c>
      <c r="X22" s="16" t="s">
        <v>171</v>
      </c>
      <c r="Y22" s="13" t="s">
        <v>137</v>
      </c>
      <c r="Z22" s="13" t="s">
        <v>142</v>
      </c>
      <c r="AA22" s="13" t="s">
        <v>145</v>
      </c>
      <c r="AB22" s="13" t="s">
        <v>137</v>
      </c>
      <c r="AC22" s="13">
        <f>VLOOKUP(Table24[[#This Row],[3_Elephant_ID]],'[1]Attributes(OUTDATED)'!$A$2:$N$19,12,FALSE)</f>
        <v>181</v>
      </c>
      <c r="AD22" s="13">
        <f>VLOOKUP(Table24[[#This Row],[3_Elephant_ID]],'[1]Attributes(OUTDATED)'!$A$2:$N$19,13,FALSE)</f>
        <v>7.3999999999999996E-2</v>
      </c>
      <c r="AE22" s="13">
        <f>VLOOKUP(Table24[[#This Row],[3_Elephant_ID]],'[1]Attributes(OUTDATED)'!$A$2:$N$19,14,FALSE)</f>
        <v>7.3914663535330896E-2</v>
      </c>
      <c r="AF22" s="13">
        <v>1</v>
      </c>
      <c r="AG22" s="13">
        <v>0</v>
      </c>
      <c r="AH22" s="13">
        <v>0</v>
      </c>
      <c r="AI22" s="13">
        <v>0</v>
      </c>
      <c r="AJ22" s="13">
        <f>VLOOKUP(Table24[[#This Row],[3_Elephant_ID]],'[1]Attributes(OUTDATED)'!$A$2:$P$19,16,FALSE)</f>
        <v>1</v>
      </c>
      <c r="AK22" s="13">
        <f>VLOOKUP(Table24[[#This Row],[3_Elephant_ID]],'[1]Attributes(OUTDATED)'!$A$2:$S$19,17,FALSE)</f>
        <v>7</v>
      </c>
      <c r="AL22" s="13">
        <f>VLOOKUP(Table24[[#This Row],[3_Elephant_ID]],'[1]Attributes(OUTDATED)'!$A$2:$S$19,18,FALSE)</f>
        <v>9</v>
      </c>
    </row>
    <row r="23" spans="1:38" ht="28" x14ac:dyDescent="0.15">
      <c r="A23" s="3">
        <v>57</v>
      </c>
      <c r="B23" s="6">
        <v>2502230959</v>
      </c>
      <c r="C23" s="7">
        <v>25</v>
      </c>
      <c r="D23" s="7">
        <v>2</v>
      </c>
      <c r="E23" s="7">
        <v>2023</v>
      </c>
      <c r="F23" s="5">
        <v>44982</v>
      </c>
      <c r="G23" s="6" t="s">
        <v>12</v>
      </c>
      <c r="H23" s="17">
        <v>0.31184971098265896</v>
      </c>
      <c r="I23" s="3" t="str">
        <f>VLOOKUP(G23,'[1]Attributes(OUTDATED)'!$A$2:$C$19,2,FALSE)</f>
        <v>M</v>
      </c>
      <c r="J23" s="3" t="str">
        <f>VLOOKUP(G23,'[1]Attributes(OUTDATED)'!$A$2:$C$19,3,FALSE)</f>
        <v>A</v>
      </c>
      <c r="K23" s="3">
        <f>VLOOKUP(G23,'[1]Attributes(OUTDATED)'!$A$2:$H$19,8,FALSE)</f>
        <v>1509</v>
      </c>
      <c r="L23" s="3" t="str">
        <f>J23&amp;I23</f>
        <v>AM</v>
      </c>
      <c r="M23" s="11">
        <v>44980</v>
      </c>
      <c r="N23" s="13">
        <v>36.4</v>
      </c>
      <c r="O23" s="13">
        <v>23.7</v>
      </c>
      <c r="P23" s="13">
        <v>10.7</v>
      </c>
      <c r="Q23" s="13">
        <f>Table24[[#This Row],[2_Temp_H]]-Table24[[#This Row],[2_Temp_L]]</f>
        <v>25.7</v>
      </c>
      <c r="R23" s="13">
        <v>23.3</v>
      </c>
      <c r="S23" s="13">
        <v>4.3</v>
      </c>
      <c r="T23" s="13">
        <v>1013.88</v>
      </c>
      <c r="U23" s="13">
        <v>1007.79</v>
      </c>
      <c r="V23" s="13">
        <v>0</v>
      </c>
      <c r="W23" s="13" t="s">
        <v>147</v>
      </c>
      <c r="X23" s="16" t="s">
        <v>171</v>
      </c>
      <c r="Y23" s="13" t="s">
        <v>137</v>
      </c>
      <c r="Z23" s="13" t="s">
        <v>142</v>
      </c>
      <c r="AA23" s="13" t="s">
        <v>145</v>
      </c>
      <c r="AB23" s="13" t="s">
        <v>137</v>
      </c>
      <c r="AC23" s="13">
        <f>VLOOKUP(Table24[[#This Row],[3_Elephant_ID]],'[1]Attributes(OUTDATED)'!$A$2:$N$19,12,FALSE)</f>
        <v>450</v>
      </c>
      <c r="AD23" s="13">
        <f>VLOOKUP(Table24[[#This Row],[3_Elephant_ID]],'[1]Attributes(OUTDATED)'!$A$2:$N$19,13,FALSE)</f>
        <v>0.375</v>
      </c>
      <c r="AE23" s="13">
        <f>VLOOKUP(Table24[[#This Row],[3_Elephant_ID]],'[1]Attributes(OUTDATED)'!$A$2:$N$19,14,FALSE)</f>
        <v>0.37414375430996583</v>
      </c>
      <c r="AF23" s="13">
        <v>0</v>
      </c>
      <c r="AG23" s="13">
        <v>0</v>
      </c>
      <c r="AH23" s="13">
        <v>0</v>
      </c>
      <c r="AI23" s="13">
        <v>0</v>
      </c>
      <c r="AJ23" s="13">
        <f>VLOOKUP(Table24[[#This Row],[3_Elephant_ID]],'[1]Attributes(OUTDATED)'!$A$2:$P$19,16,FALSE)</f>
        <v>1</v>
      </c>
      <c r="AK23" s="13">
        <f>VLOOKUP(Table24[[#This Row],[3_Elephant_ID]],'[1]Attributes(OUTDATED)'!$A$2:$S$19,17,FALSE)</f>
        <v>48</v>
      </c>
      <c r="AL23" s="13">
        <f>VLOOKUP(Table24[[#This Row],[3_Elephant_ID]],'[1]Attributes(OUTDATED)'!$A$2:$S$19,18,FALSE)</f>
        <v>3</v>
      </c>
    </row>
    <row r="24" spans="1:38" ht="28" x14ac:dyDescent="0.15">
      <c r="A24" s="3">
        <v>56</v>
      </c>
      <c r="B24" s="6">
        <v>2502231046</v>
      </c>
      <c r="C24" s="7">
        <v>25</v>
      </c>
      <c r="D24" s="7">
        <v>2</v>
      </c>
      <c r="E24" s="7">
        <v>2023</v>
      </c>
      <c r="F24" s="5">
        <v>44982</v>
      </c>
      <c r="G24" s="6" t="s">
        <v>2</v>
      </c>
      <c r="H24" s="17">
        <v>0.27569060773480664</v>
      </c>
      <c r="I24" s="3" t="str">
        <f>VLOOKUP(G24,'[1]Attributes(OUTDATED)'!$A$2:$C$19,2,FALSE)</f>
        <v>F</v>
      </c>
      <c r="J24" s="3" t="str">
        <f>VLOOKUP(G24,'[1]Attributes(OUTDATED)'!$A$2:$C$19,3,FALSE)</f>
        <v>A</v>
      </c>
      <c r="K24" s="3">
        <f>VLOOKUP(G24,'[1]Attributes(OUTDATED)'!$A$2:$H$19,8,FALSE)</f>
        <v>892</v>
      </c>
      <c r="L24" s="3" t="str">
        <f>J24&amp;I24</f>
        <v>AF</v>
      </c>
      <c r="M24" s="11">
        <v>44980</v>
      </c>
      <c r="N24" s="13">
        <v>36.4</v>
      </c>
      <c r="O24" s="13">
        <v>23.7</v>
      </c>
      <c r="P24" s="13">
        <v>10.7</v>
      </c>
      <c r="Q24" s="13">
        <f>Table24[[#This Row],[2_Temp_H]]-Table24[[#This Row],[2_Temp_L]]</f>
        <v>25.7</v>
      </c>
      <c r="R24" s="13">
        <v>23.3</v>
      </c>
      <c r="S24" s="13">
        <v>4.3</v>
      </c>
      <c r="T24" s="13">
        <v>1013.88</v>
      </c>
      <c r="U24" s="13">
        <v>1007.79</v>
      </c>
      <c r="V24" s="13">
        <v>0</v>
      </c>
      <c r="W24" s="13" t="s">
        <v>147</v>
      </c>
      <c r="X24" s="16" t="s">
        <v>171</v>
      </c>
      <c r="Y24" s="13" t="s">
        <v>137</v>
      </c>
      <c r="Z24" s="13" t="s">
        <v>142</v>
      </c>
      <c r="AA24" s="13" t="s">
        <v>145</v>
      </c>
      <c r="AB24" s="13" t="s">
        <v>137</v>
      </c>
      <c r="AC24" s="13">
        <f>VLOOKUP(Table24[[#This Row],[3_Elephant_ID]],'[1]Attributes(OUTDATED)'!$A$2:$N$19,12,FALSE)</f>
        <v>378</v>
      </c>
      <c r="AD24" s="13">
        <f>VLOOKUP(Table24[[#This Row],[3_Elephant_ID]],'[1]Attributes(OUTDATED)'!$A$2:$N$19,13,FALSE)</f>
        <v>8.6999999999999994E-2</v>
      </c>
      <c r="AE24" s="13">
        <f>VLOOKUP(Table24[[#This Row],[3_Elephant_ID]],'[1]Attributes(OUTDATED)'!$A$2:$N$19,14,FALSE)</f>
        <v>8.6599138783086713E-2</v>
      </c>
      <c r="AF24" s="13">
        <v>0</v>
      </c>
      <c r="AG24" s="13">
        <v>0</v>
      </c>
      <c r="AH24" s="13">
        <v>0</v>
      </c>
      <c r="AI24" s="13">
        <v>0</v>
      </c>
      <c r="AJ24" s="13">
        <f>VLOOKUP(Table24[[#This Row],[3_Elephant_ID]],'[1]Attributes(OUTDATED)'!$A$2:$P$19,16,FALSE)</f>
        <v>1</v>
      </c>
      <c r="AK24" s="13">
        <f>VLOOKUP(Table24[[#This Row],[3_Elephant_ID]],'[1]Attributes(OUTDATED)'!$A$2:$S$19,17,FALSE)</f>
        <v>4</v>
      </c>
      <c r="AL24" s="13">
        <f>VLOOKUP(Table24[[#This Row],[3_Elephant_ID]],'[1]Attributes(OUTDATED)'!$A$2:$S$19,18,FALSE)</f>
        <v>20</v>
      </c>
    </row>
    <row r="25" spans="1:38" ht="28" x14ac:dyDescent="0.15">
      <c r="A25" s="3">
        <v>55</v>
      </c>
      <c r="B25" s="6">
        <v>2502231058</v>
      </c>
      <c r="C25" s="7">
        <v>25</v>
      </c>
      <c r="D25" s="7">
        <v>2</v>
      </c>
      <c r="E25" s="7">
        <v>2023</v>
      </c>
      <c r="F25" s="5">
        <v>44982</v>
      </c>
      <c r="G25" s="6" t="s">
        <v>16</v>
      </c>
      <c r="H25" s="17">
        <v>0.31726415094339622</v>
      </c>
      <c r="I25" s="3" t="str">
        <f>VLOOKUP(G25,'[1]Attributes(OUTDATED)'!$A$2:$C$19,2,FALSE)</f>
        <v>F</v>
      </c>
      <c r="J25" s="3" t="str">
        <f>VLOOKUP(G25,'[1]Attributes(OUTDATED)'!$A$2:$C$19,3,FALSE)</f>
        <v>A</v>
      </c>
      <c r="K25" s="3">
        <f>VLOOKUP(G25,'[1]Attributes(OUTDATED)'!$A$2:$H$19,8,FALSE)</f>
        <v>1346</v>
      </c>
      <c r="L25" s="3" t="str">
        <f>J25&amp;I25</f>
        <v>AF</v>
      </c>
      <c r="M25" s="11">
        <v>44980</v>
      </c>
      <c r="N25" s="13">
        <v>36.4</v>
      </c>
      <c r="O25" s="13">
        <v>23.7</v>
      </c>
      <c r="P25" s="13">
        <v>10.7</v>
      </c>
      <c r="Q25" s="13">
        <f>Table24[[#This Row],[2_Temp_H]]-Table24[[#This Row],[2_Temp_L]]</f>
        <v>25.7</v>
      </c>
      <c r="R25" s="13">
        <v>23.3</v>
      </c>
      <c r="S25" s="13">
        <v>4.3</v>
      </c>
      <c r="T25" s="13">
        <v>1013.88</v>
      </c>
      <c r="U25" s="13">
        <v>1007.79</v>
      </c>
      <c r="V25" s="13">
        <v>0</v>
      </c>
      <c r="W25" s="13" t="s">
        <v>147</v>
      </c>
      <c r="X25" s="16" t="s">
        <v>171</v>
      </c>
      <c r="Y25" s="13" t="s">
        <v>137</v>
      </c>
      <c r="Z25" s="13" t="s">
        <v>142</v>
      </c>
      <c r="AA25" s="13" t="s">
        <v>145</v>
      </c>
      <c r="AB25" s="13" t="s">
        <v>137</v>
      </c>
      <c r="AC25" s="13">
        <f>VLOOKUP(Table24[[#This Row],[3_Elephant_ID]],'[1]Attributes(OUTDATED)'!$A$2:$N$19,12,FALSE)</f>
        <v>474</v>
      </c>
      <c r="AD25" s="13">
        <f>VLOOKUP(Table24[[#This Row],[3_Elephant_ID]],'[1]Attributes(OUTDATED)'!$A$2:$N$19,13,FALSE)</f>
        <v>0.121</v>
      </c>
      <c r="AE25" s="13">
        <f>VLOOKUP(Table24[[#This Row],[3_Elephant_ID]],'[1]Attributes(OUTDATED)'!$A$2:$N$19,14,FALSE)</f>
        <v>0.1206993463154281</v>
      </c>
      <c r="AF25" s="13">
        <v>0</v>
      </c>
      <c r="AG25" s="13">
        <v>0</v>
      </c>
      <c r="AH25" s="13">
        <v>0</v>
      </c>
      <c r="AI25" s="13">
        <v>0</v>
      </c>
      <c r="AJ25" s="13">
        <f>VLOOKUP(Table24[[#This Row],[3_Elephant_ID]],'[1]Attributes(OUTDATED)'!$A$2:$P$19,16,FALSE)</f>
        <v>1</v>
      </c>
      <c r="AK25" s="13">
        <f>VLOOKUP(Table24[[#This Row],[3_Elephant_ID]],'[1]Attributes(OUTDATED)'!$A$2:$S$19,17,FALSE)</f>
        <v>16</v>
      </c>
      <c r="AL25" s="13">
        <f>VLOOKUP(Table24[[#This Row],[3_Elephant_ID]],'[1]Attributes(OUTDATED)'!$A$2:$S$19,18,FALSE)</f>
        <v>1</v>
      </c>
    </row>
    <row r="26" spans="1:38" ht="28" x14ac:dyDescent="0.15">
      <c r="A26" s="3">
        <v>54</v>
      </c>
      <c r="B26" s="6">
        <v>2602230956</v>
      </c>
      <c r="C26" s="7">
        <v>26</v>
      </c>
      <c r="D26" s="7">
        <v>2</v>
      </c>
      <c r="E26" s="7">
        <v>2023</v>
      </c>
      <c r="F26" s="5">
        <v>44983</v>
      </c>
      <c r="G26" s="6" t="s">
        <v>9</v>
      </c>
      <c r="H26" s="17">
        <v>0.38208092485549139</v>
      </c>
      <c r="I26" s="3" t="str">
        <f>VLOOKUP(G26,'[1]Attributes(OUTDATED)'!$A$2:$C$19,2,FALSE)</f>
        <v>F</v>
      </c>
      <c r="J26" s="3" t="str">
        <f>VLOOKUP(G26,'[1]Attributes(OUTDATED)'!$A$2:$C$19,3,FALSE)</f>
        <v>J</v>
      </c>
      <c r="K26" s="3">
        <f>VLOOKUP(G26,'[1]Attributes(OUTDATED)'!$A$2:$H$19,8,FALSE)</f>
        <v>820</v>
      </c>
      <c r="L26" s="3" t="str">
        <f>J26&amp;I26</f>
        <v>JF</v>
      </c>
      <c r="M26" s="11">
        <v>44981</v>
      </c>
      <c r="N26" s="13">
        <v>36.1</v>
      </c>
      <c r="O26" s="13">
        <v>23.9</v>
      </c>
      <c r="P26" s="13">
        <v>13.3</v>
      </c>
      <c r="Q26" s="13">
        <f>Table24[[#This Row],[2_Temp_H]]-Table24[[#This Row],[2_Temp_L]]</f>
        <v>22.8</v>
      </c>
      <c r="R26" s="13">
        <v>32</v>
      </c>
      <c r="S26" s="13">
        <v>6</v>
      </c>
      <c r="T26" s="13">
        <v>1009.82</v>
      </c>
      <c r="U26" s="13">
        <v>1005.08</v>
      </c>
      <c r="V26" s="13">
        <v>0</v>
      </c>
      <c r="W26" s="13" t="s">
        <v>147</v>
      </c>
      <c r="X26" s="16" t="s">
        <v>171</v>
      </c>
      <c r="Y26" s="13" t="s">
        <v>137</v>
      </c>
      <c r="Z26" s="13" t="s">
        <v>142</v>
      </c>
      <c r="AA26" s="13" t="s">
        <v>145</v>
      </c>
      <c r="AB26" s="13" t="s">
        <v>137</v>
      </c>
      <c r="AC26" s="13">
        <f>VLOOKUP(Table24[[#This Row],[3_Elephant_ID]],'[1]Attributes(OUTDATED)'!$A$2:$N$19,12,FALSE)</f>
        <v>305</v>
      </c>
      <c r="AD26" s="13">
        <f>VLOOKUP(Table24[[#This Row],[3_Elephant_ID]],'[1]Attributes(OUTDATED)'!$A$2:$N$19,13,FALSE)</f>
        <v>0.17499999999999999</v>
      </c>
      <c r="AE26" s="13">
        <f>VLOOKUP(Table24[[#This Row],[3_Elephant_ID]],'[1]Attributes(OUTDATED)'!$A$2:$N$19,14,FALSE)</f>
        <v>0.17467336145108631</v>
      </c>
      <c r="AF26" s="13">
        <v>1</v>
      </c>
      <c r="AG26" s="13">
        <v>0</v>
      </c>
      <c r="AH26" s="13">
        <v>0</v>
      </c>
      <c r="AI26" s="13">
        <v>0</v>
      </c>
      <c r="AJ26" s="13">
        <f>VLOOKUP(Table24[[#This Row],[3_Elephant_ID]],'[1]Attributes(OUTDATED)'!$A$2:$P$19,16,FALSE)</f>
        <v>2</v>
      </c>
      <c r="AK26" s="13">
        <f>VLOOKUP(Table24[[#This Row],[3_Elephant_ID]],'[1]Attributes(OUTDATED)'!$A$2:$S$19,17,FALSE)</f>
        <v>0</v>
      </c>
      <c r="AL26" s="13">
        <f>VLOOKUP(Table24[[#This Row],[3_Elephant_ID]],'[1]Attributes(OUTDATED)'!$A$2:$S$19,18,FALSE)</f>
        <v>4</v>
      </c>
    </row>
    <row r="27" spans="1:38" ht="28" x14ac:dyDescent="0.15">
      <c r="A27" s="3">
        <v>53</v>
      </c>
      <c r="B27" s="6">
        <v>2602231016</v>
      </c>
      <c r="C27" s="7">
        <v>26</v>
      </c>
      <c r="D27" s="7">
        <v>2</v>
      </c>
      <c r="E27" s="7">
        <v>2023</v>
      </c>
      <c r="F27" s="5">
        <v>44983</v>
      </c>
      <c r="G27" s="6" t="s">
        <v>13</v>
      </c>
      <c r="H27" s="17">
        <v>0.52618042226487527</v>
      </c>
      <c r="I27" s="3" t="str">
        <f>VLOOKUP(G27,'[1]Attributes(OUTDATED)'!$A$2:$C$19,2,FALSE)</f>
        <v>F</v>
      </c>
      <c r="J27" s="3" t="str">
        <f>VLOOKUP(G27,'[1]Attributes(OUTDATED)'!$A$2:$C$19,3,FALSE)</f>
        <v>A</v>
      </c>
      <c r="K27" s="3">
        <f>VLOOKUP(G27,'[1]Attributes(OUTDATED)'!$A$2:$H$19,8,FALSE)</f>
        <v>963</v>
      </c>
      <c r="L27" s="3" t="str">
        <f>J27&amp;I27</f>
        <v>AF</v>
      </c>
      <c r="M27" s="11">
        <v>44981</v>
      </c>
      <c r="N27" s="13">
        <v>36.1</v>
      </c>
      <c r="O27" s="13">
        <v>23.9</v>
      </c>
      <c r="P27" s="13">
        <v>13.3</v>
      </c>
      <c r="Q27" s="13">
        <f>Table24[[#This Row],[2_Temp_H]]-Table24[[#This Row],[2_Temp_L]]</f>
        <v>22.8</v>
      </c>
      <c r="R27" s="13">
        <v>32</v>
      </c>
      <c r="S27" s="13">
        <v>6</v>
      </c>
      <c r="T27" s="13">
        <v>1009.82</v>
      </c>
      <c r="U27" s="13">
        <v>1005.08</v>
      </c>
      <c r="V27" s="13">
        <v>0</v>
      </c>
      <c r="W27" s="13" t="s">
        <v>147</v>
      </c>
      <c r="X27" s="16" t="s">
        <v>171</v>
      </c>
      <c r="Y27" s="13" t="s">
        <v>137</v>
      </c>
      <c r="Z27" s="13" t="s">
        <v>142</v>
      </c>
      <c r="AA27" s="13" t="s">
        <v>145</v>
      </c>
      <c r="AB27" s="13" t="s">
        <v>137</v>
      </c>
      <c r="AC27" s="13">
        <f>VLOOKUP(Table24[[#This Row],[3_Elephant_ID]],'[1]Attributes(OUTDATED)'!$A$2:$N$19,12,FALSE)</f>
        <v>289</v>
      </c>
      <c r="AD27" s="13">
        <f>VLOOKUP(Table24[[#This Row],[3_Elephant_ID]],'[1]Attributes(OUTDATED)'!$A$2:$N$19,13,FALSE)</f>
        <v>0.32400000000000001</v>
      </c>
      <c r="AE27" s="13">
        <f>VLOOKUP(Table24[[#This Row],[3_Elephant_ID]],'[1]Attributes(OUTDATED)'!$A$2:$N$19,14,FALSE)</f>
        <v>0.32380809109629533</v>
      </c>
      <c r="AF27" s="13">
        <v>1</v>
      </c>
      <c r="AG27" s="13">
        <v>0</v>
      </c>
      <c r="AH27" s="13">
        <v>0</v>
      </c>
      <c r="AI27" s="13">
        <v>0</v>
      </c>
      <c r="AJ27" s="13">
        <f>VLOOKUP(Table24[[#This Row],[3_Elephant_ID]],'[1]Attributes(OUTDATED)'!$A$2:$P$19,16,FALSE)</f>
        <v>2</v>
      </c>
      <c r="AK27" s="13">
        <f>VLOOKUP(Table24[[#This Row],[3_Elephant_ID]],'[1]Attributes(OUTDATED)'!$A$2:$S$19,17,FALSE)</f>
        <v>9</v>
      </c>
      <c r="AL27" s="13">
        <f>VLOOKUP(Table24[[#This Row],[3_Elephant_ID]],'[1]Attributes(OUTDATED)'!$A$2:$S$19,18,FALSE)</f>
        <v>9</v>
      </c>
    </row>
    <row r="28" spans="1:38" ht="28" x14ac:dyDescent="0.15">
      <c r="A28" s="3">
        <v>51</v>
      </c>
      <c r="B28" s="6">
        <v>2702231314</v>
      </c>
      <c r="C28" s="7">
        <v>27</v>
      </c>
      <c r="D28" s="7">
        <v>2</v>
      </c>
      <c r="E28" s="7">
        <v>2023</v>
      </c>
      <c r="F28" s="5">
        <v>44984</v>
      </c>
      <c r="G28" s="6" t="s">
        <v>8</v>
      </c>
      <c r="H28" s="17">
        <v>0.31161849710982659</v>
      </c>
      <c r="I28" s="3" t="str">
        <f>VLOOKUP(G28,'[1]Attributes(OUTDATED)'!$A$2:$C$19,2,FALSE)</f>
        <v>F</v>
      </c>
      <c r="J28" s="3" t="str">
        <f>VLOOKUP(G28,'[1]Attributes(OUTDATED)'!$A$2:$C$19,3,FALSE)</f>
        <v>A</v>
      </c>
      <c r="K28" s="3">
        <f>VLOOKUP(G28,'[1]Attributes(OUTDATED)'!$A$2:$H$19,8,FALSE)</f>
        <v>1096</v>
      </c>
      <c r="L28" s="3" t="str">
        <f>J28&amp;I28</f>
        <v>AF</v>
      </c>
      <c r="M28" s="11">
        <v>44982</v>
      </c>
      <c r="N28" s="13">
        <v>24.5</v>
      </c>
      <c r="O28" s="13">
        <v>17.100000000000001</v>
      </c>
      <c r="P28" s="13">
        <v>11.3</v>
      </c>
      <c r="Q28" s="13">
        <f>Table24[[#This Row],[2_Temp_H]]-Table24[[#This Row],[2_Temp_L]]</f>
        <v>13.2</v>
      </c>
      <c r="R28" s="13">
        <v>16.100000000000001</v>
      </c>
      <c r="S28" s="13">
        <v>4</v>
      </c>
      <c r="T28" s="13">
        <v>1012.87</v>
      </c>
      <c r="U28" s="13">
        <v>1008.81</v>
      </c>
      <c r="V28" s="13">
        <v>0.25</v>
      </c>
      <c r="W28" s="13" t="s">
        <v>147</v>
      </c>
      <c r="X28" s="16" t="s">
        <v>171</v>
      </c>
      <c r="Y28" s="13" t="s">
        <v>137</v>
      </c>
      <c r="Z28" s="13" t="s">
        <v>142</v>
      </c>
      <c r="AA28" s="13" t="s">
        <v>145</v>
      </c>
      <c r="AB28" s="13" t="s">
        <v>137</v>
      </c>
      <c r="AC28" s="13">
        <f>VLOOKUP(Table24[[#This Row],[3_Elephant_ID]],'[1]Attributes(OUTDATED)'!$A$2:$N$19,12,FALSE)</f>
        <v>346</v>
      </c>
      <c r="AD28" s="13">
        <f>VLOOKUP(Table24[[#This Row],[3_Elephant_ID]],'[1]Attributes(OUTDATED)'!$A$2:$N$19,13,FALSE)</f>
        <v>0.28999999999999998</v>
      </c>
      <c r="AE28" s="13">
        <f>VLOOKUP(Table24[[#This Row],[3_Elephant_ID]],'[1]Attributes(OUTDATED)'!$A$2:$N$19,14,FALSE)</f>
        <v>0.28929989906834258</v>
      </c>
      <c r="AF28" s="13">
        <v>3</v>
      </c>
      <c r="AG28" s="13">
        <v>0</v>
      </c>
      <c r="AH28" s="13">
        <v>1</v>
      </c>
      <c r="AI28" s="13">
        <v>1</v>
      </c>
      <c r="AJ28" s="13">
        <f>VLOOKUP(Table24[[#This Row],[3_Elephant_ID]],'[1]Attributes(OUTDATED)'!$A$2:$P$19,16,FALSE)</f>
        <v>1</v>
      </c>
      <c r="AK28" s="13">
        <f>VLOOKUP(Table24[[#This Row],[3_Elephant_ID]],'[1]Attributes(OUTDATED)'!$A$2:$S$19,17,FALSE)</f>
        <v>11</v>
      </c>
      <c r="AL28" s="13">
        <f>VLOOKUP(Table24[[#This Row],[3_Elephant_ID]],'[1]Attributes(OUTDATED)'!$A$2:$S$19,18,FALSE)</f>
        <v>7</v>
      </c>
    </row>
    <row r="29" spans="1:38" ht="28" x14ac:dyDescent="0.15">
      <c r="A29" s="3">
        <v>52</v>
      </c>
      <c r="B29" s="6">
        <v>2702231313</v>
      </c>
      <c r="C29" s="7">
        <v>27</v>
      </c>
      <c r="D29" s="7">
        <v>2</v>
      </c>
      <c r="E29" s="7">
        <v>2023</v>
      </c>
      <c r="F29" s="5">
        <v>44984</v>
      </c>
      <c r="G29" s="6" t="s">
        <v>16</v>
      </c>
      <c r="H29" s="17">
        <v>0.340996015936255</v>
      </c>
      <c r="I29" s="3" t="str">
        <f>VLOOKUP(G29,'[1]Attributes(OUTDATED)'!$A$2:$C$19,2,FALSE)</f>
        <v>F</v>
      </c>
      <c r="J29" s="3" t="str">
        <f>VLOOKUP(G29,'[1]Attributes(OUTDATED)'!$A$2:$C$19,3,FALSE)</f>
        <v>A</v>
      </c>
      <c r="K29" s="3">
        <f>VLOOKUP(G29,'[1]Attributes(OUTDATED)'!$A$2:$H$19,8,FALSE)</f>
        <v>1346</v>
      </c>
      <c r="L29" s="3" t="str">
        <f>J29&amp;I29</f>
        <v>AF</v>
      </c>
      <c r="M29" s="11">
        <v>44982</v>
      </c>
      <c r="N29" s="13">
        <v>24.5</v>
      </c>
      <c r="O29" s="13">
        <v>17.100000000000001</v>
      </c>
      <c r="P29" s="13">
        <v>11.3</v>
      </c>
      <c r="Q29" s="13">
        <f>Table24[[#This Row],[2_Temp_H]]-Table24[[#This Row],[2_Temp_L]]</f>
        <v>13.2</v>
      </c>
      <c r="R29" s="13">
        <v>16.100000000000001</v>
      </c>
      <c r="S29" s="13">
        <v>4</v>
      </c>
      <c r="T29" s="13">
        <v>1012.87</v>
      </c>
      <c r="U29" s="13">
        <v>1008.81</v>
      </c>
      <c r="V29" s="13">
        <v>0.25</v>
      </c>
      <c r="W29" s="13" t="s">
        <v>147</v>
      </c>
      <c r="X29" s="16" t="s">
        <v>171</v>
      </c>
      <c r="Y29" s="13" t="s">
        <v>137</v>
      </c>
      <c r="Z29" s="13" t="s">
        <v>142</v>
      </c>
      <c r="AA29" s="13" t="s">
        <v>145</v>
      </c>
      <c r="AB29" s="13" t="s">
        <v>137</v>
      </c>
      <c r="AC29" s="13">
        <f>VLOOKUP(Table24[[#This Row],[3_Elephant_ID]],'[1]Attributes(OUTDATED)'!$A$2:$N$19,12,FALSE)</f>
        <v>474</v>
      </c>
      <c r="AD29" s="13">
        <f>VLOOKUP(Table24[[#This Row],[3_Elephant_ID]],'[1]Attributes(OUTDATED)'!$A$2:$N$19,13,FALSE)</f>
        <v>0.121</v>
      </c>
      <c r="AE29" s="13">
        <f>VLOOKUP(Table24[[#This Row],[3_Elephant_ID]],'[1]Attributes(OUTDATED)'!$A$2:$N$19,14,FALSE)</f>
        <v>0.1206993463154281</v>
      </c>
      <c r="AF29" s="13">
        <v>3</v>
      </c>
      <c r="AG29" s="13">
        <v>0</v>
      </c>
      <c r="AH29" s="13">
        <v>0</v>
      </c>
      <c r="AI29" s="13">
        <v>0</v>
      </c>
      <c r="AJ29" s="13">
        <f>VLOOKUP(Table24[[#This Row],[3_Elephant_ID]],'[1]Attributes(OUTDATED)'!$A$2:$P$19,16,FALSE)</f>
        <v>1</v>
      </c>
      <c r="AK29" s="13">
        <f>VLOOKUP(Table24[[#This Row],[3_Elephant_ID]],'[1]Attributes(OUTDATED)'!$A$2:$S$19,17,FALSE)</f>
        <v>16</v>
      </c>
      <c r="AL29" s="13">
        <f>VLOOKUP(Table24[[#This Row],[3_Elephant_ID]],'[1]Attributes(OUTDATED)'!$A$2:$S$19,18,FALSE)</f>
        <v>1</v>
      </c>
    </row>
    <row r="30" spans="1:38" ht="28" x14ac:dyDescent="0.15">
      <c r="A30" s="3">
        <v>50</v>
      </c>
      <c r="B30" s="6" t="s">
        <v>19</v>
      </c>
      <c r="C30" s="7">
        <v>2</v>
      </c>
      <c r="D30" s="7">
        <v>3</v>
      </c>
      <c r="E30" s="7">
        <v>2023</v>
      </c>
      <c r="F30" s="5">
        <v>44987</v>
      </c>
      <c r="G30" s="6" t="s">
        <v>17</v>
      </c>
      <c r="H30" s="17">
        <v>0.21968688845401174</v>
      </c>
      <c r="I30" s="3" t="str">
        <f>VLOOKUP(G30,'[1]Attributes(OUTDATED)'!$A$2:$C$19,2,FALSE)</f>
        <v>M</v>
      </c>
      <c r="J30" s="3" t="str">
        <f>VLOOKUP(G30,'[1]Attributes(OUTDATED)'!$A$2:$C$19,3,FALSE)</f>
        <v>J</v>
      </c>
      <c r="K30" s="3">
        <f>VLOOKUP(G30,'[1]Attributes(OUTDATED)'!$A$2:$H$19,8,FALSE)</f>
        <v>699</v>
      </c>
      <c r="L30" s="3" t="str">
        <f>J30&amp;I30</f>
        <v>JM</v>
      </c>
      <c r="M30" s="11">
        <v>44985</v>
      </c>
      <c r="N30" s="13">
        <v>31</v>
      </c>
      <c r="O30" s="13">
        <v>20.5</v>
      </c>
      <c r="P30" s="13">
        <v>10.4</v>
      </c>
      <c r="Q30" s="13">
        <f>Table24[[#This Row],[2_Temp_H]]-Table24[[#This Row],[2_Temp_L]]</f>
        <v>20.6</v>
      </c>
      <c r="R30" s="13">
        <v>21.1</v>
      </c>
      <c r="S30" s="13">
        <v>4.0999999999999996</v>
      </c>
      <c r="T30" s="13">
        <v>1012.87</v>
      </c>
      <c r="U30" s="13">
        <v>1007.79</v>
      </c>
      <c r="V30" s="13">
        <v>0</v>
      </c>
      <c r="W30" s="13" t="s">
        <v>147</v>
      </c>
      <c r="X30" s="16" t="s">
        <v>171</v>
      </c>
      <c r="Y30" s="13" t="s">
        <v>137</v>
      </c>
      <c r="Z30" s="13" t="s">
        <v>142</v>
      </c>
      <c r="AA30" s="13" t="s">
        <v>145</v>
      </c>
      <c r="AB30" s="13" t="s">
        <v>137</v>
      </c>
      <c r="AC30" s="13">
        <f>VLOOKUP(Table24[[#This Row],[3_Elephant_ID]],'[1]Attributes(OUTDATED)'!$A$2:$N$19,12,FALSE)</f>
        <v>343</v>
      </c>
      <c r="AD30" s="13">
        <f>VLOOKUP(Table24[[#This Row],[3_Elephant_ID]],'[1]Attributes(OUTDATED)'!$A$2:$N$19,13,FALSE)</f>
        <v>0.81</v>
      </c>
      <c r="AE30" s="13">
        <f>VLOOKUP(Table24[[#This Row],[3_Elephant_ID]],'[1]Attributes(OUTDATED)'!$A$2:$N$19,14,FALSE)</f>
        <v>0.80966774571167055</v>
      </c>
      <c r="AF30" s="13">
        <v>0</v>
      </c>
      <c r="AG30" s="13">
        <v>0</v>
      </c>
      <c r="AH30" s="13">
        <v>0</v>
      </c>
      <c r="AI30" s="13">
        <v>0</v>
      </c>
      <c r="AJ30" s="13">
        <f>VLOOKUP(Table24[[#This Row],[3_Elephant_ID]],'[1]Attributes(OUTDATED)'!$A$2:$P$19,16,FALSE)</f>
        <v>1</v>
      </c>
      <c r="AK30" s="13">
        <f>VLOOKUP(Table24[[#This Row],[3_Elephant_ID]],'[1]Attributes(OUTDATED)'!$A$2:$S$19,17,FALSE)</f>
        <v>0</v>
      </c>
      <c r="AL30" s="13">
        <f>VLOOKUP(Table24[[#This Row],[3_Elephant_ID]],'[1]Attributes(OUTDATED)'!$A$2:$S$19,18,FALSE)</f>
        <v>8</v>
      </c>
    </row>
    <row r="31" spans="1:38" ht="28" x14ac:dyDescent="0.15">
      <c r="A31" s="3">
        <v>46</v>
      </c>
      <c r="B31" s="6">
        <v>1003231201</v>
      </c>
      <c r="C31" s="7">
        <v>10</v>
      </c>
      <c r="D31" s="7">
        <v>3</v>
      </c>
      <c r="E31" s="7">
        <v>2023</v>
      </c>
      <c r="F31" s="5">
        <v>44995</v>
      </c>
      <c r="G31" s="6" t="s">
        <v>3</v>
      </c>
      <c r="H31" s="17">
        <v>0.20650095602294455</v>
      </c>
      <c r="I31" s="3" t="str">
        <f>VLOOKUP(G31,'[1]Attributes(OUTDATED)'!$A$2:$C$19,2,FALSE)</f>
        <v>M</v>
      </c>
      <c r="J31" s="3" t="str">
        <f>VLOOKUP(G31,'[1]Attributes(OUTDATED)'!$A$2:$C$19,3,FALSE)</f>
        <v>J</v>
      </c>
      <c r="K31" s="3">
        <f>VLOOKUP(G31,'[1]Attributes(OUTDATED)'!$A$2:$H$19,8,FALSE)</f>
        <v>1031</v>
      </c>
      <c r="L31" s="3" t="str">
        <f>J31&amp;I31</f>
        <v>JM</v>
      </c>
      <c r="M31" s="11">
        <v>44993</v>
      </c>
      <c r="N31" s="13">
        <v>30.3</v>
      </c>
      <c r="O31" s="13">
        <v>20.5</v>
      </c>
      <c r="P31" s="13">
        <v>14.3</v>
      </c>
      <c r="Q31" s="13">
        <f>Table24[[#This Row],[2_Temp_H]]-Table24[[#This Row],[2_Temp_L]]</f>
        <v>16</v>
      </c>
      <c r="R31" s="13">
        <v>28.5</v>
      </c>
      <c r="S31" s="13">
        <v>5.9</v>
      </c>
      <c r="T31" s="13">
        <v>1013.75</v>
      </c>
      <c r="U31" s="13">
        <v>1008.88</v>
      </c>
      <c r="V31" s="13">
        <v>0</v>
      </c>
      <c r="W31" s="13" t="s">
        <v>147</v>
      </c>
      <c r="X31" s="16" t="s">
        <v>171</v>
      </c>
      <c r="Y31" s="13" t="s">
        <v>137</v>
      </c>
      <c r="Z31" s="13" t="s">
        <v>142</v>
      </c>
      <c r="AA31" s="13" t="s">
        <v>145</v>
      </c>
      <c r="AB31" s="13" t="s">
        <v>137</v>
      </c>
      <c r="AC31" s="13">
        <f>VLOOKUP(Table24[[#This Row],[3_Elephant_ID]],'[1]Attributes(OUTDATED)'!$A$2:$N$19,12,FALSE)</f>
        <v>234</v>
      </c>
      <c r="AD31" s="13">
        <f>VLOOKUP(Table24[[#This Row],[3_Elephant_ID]],'[1]Attributes(OUTDATED)'!$A$2:$N$19,13,FALSE)</f>
        <v>0.16500000000000001</v>
      </c>
      <c r="AE31" s="13">
        <f>VLOOKUP(Table24[[#This Row],[3_Elephant_ID]],'[1]Attributes(OUTDATED)'!$A$2:$N$19,14,FALSE)</f>
        <v>0.16420161303383449</v>
      </c>
      <c r="AF31" s="13">
        <v>0</v>
      </c>
      <c r="AG31" s="13">
        <v>0</v>
      </c>
      <c r="AH31" s="13">
        <v>0</v>
      </c>
      <c r="AI31" s="13">
        <v>0</v>
      </c>
      <c r="AJ31" s="13">
        <f>VLOOKUP(Table24[[#This Row],[3_Elephant_ID]],'[1]Attributes(OUTDATED)'!$A$2:$P$19,16,FALSE)</f>
        <v>1</v>
      </c>
      <c r="AK31" s="13">
        <f>VLOOKUP(Table24[[#This Row],[3_Elephant_ID]],'[1]Attributes(OUTDATED)'!$A$2:$S$19,17,FALSE)</f>
        <v>9</v>
      </c>
      <c r="AL31" s="13">
        <f>VLOOKUP(Table24[[#This Row],[3_Elephant_ID]],'[1]Attributes(OUTDATED)'!$A$2:$S$19,18,FALSE)</f>
        <v>9</v>
      </c>
    </row>
    <row r="32" spans="1:38" ht="28" x14ac:dyDescent="0.15">
      <c r="A32" s="3">
        <v>45</v>
      </c>
      <c r="B32" s="6">
        <v>1003231155</v>
      </c>
      <c r="C32" s="7">
        <v>10</v>
      </c>
      <c r="D32" s="7">
        <v>3</v>
      </c>
      <c r="E32" s="7">
        <v>2023</v>
      </c>
      <c r="F32" s="5">
        <v>44995</v>
      </c>
      <c r="G32" s="6" t="s">
        <v>5</v>
      </c>
      <c r="H32" s="17">
        <v>0.29360000000000003</v>
      </c>
      <c r="I32" s="3" t="str">
        <f>VLOOKUP(G32,'[1]Attributes(OUTDATED)'!$A$2:$C$19,2,FALSE)</f>
        <v>M</v>
      </c>
      <c r="J32" s="3" t="str">
        <f>VLOOKUP(G32,'[1]Attributes(OUTDATED)'!$A$2:$C$19,3,FALSE)</f>
        <v>J</v>
      </c>
      <c r="K32" s="3">
        <f>VLOOKUP(G32,'[1]Attributes(OUTDATED)'!$A$2:$H$19,8,FALSE)</f>
        <v>940</v>
      </c>
      <c r="L32" s="3" t="str">
        <f>J32&amp;I32</f>
        <v>JM</v>
      </c>
      <c r="M32" s="11">
        <v>44993</v>
      </c>
      <c r="N32" s="13">
        <v>30.3</v>
      </c>
      <c r="O32" s="13">
        <v>20.5</v>
      </c>
      <c r="P32" s="13">
        <v>14.3</v>
      </c>
      <c r="Q32" s="13">
        <f>Table24[[#This Row],[2_Temp_H]]-Table24[[#This Row],[2_Temp_L]]</f>
        <v>16</v>
      </c>
      <c r="R32" s="13">
        <v>28.5</v>
      </c>
      <c r="S32" s="13">
        <v>5.9</v>
      </c>
      <c r="T32" s="13">
        <v>1013.75</v>
      </c>
      <c r="U32" s="13">
        <v>1008.88</v>
      </c>
      <c r="V32" s="13">
        <v>0</v>
      </c>
      <c r="W32" s="13" t="s">
        <v>147</v>
      </c>
      <c r="X32" s="16" t="s">
        <v>171</v>
      </c>
      <c r="Y32" s="13" t="s">
        <v>137</v>
      </c>
      <c r="Z32" s="13" t="s">
        <v>142</v>
      </c>
      <c r="AA32" s="13" t="s">
        <v>145</v>
      </c>
      <c r="AB32" s="13" t="s">
        <v>137</v>
      </c>
      <c r="AC32" s="13">
        <f>VLOOKUP(Table24[[#This Row],[3_Elephant_ID]],'[1]Attributes(OUTDATED)'!$A$2:$N$19,12,FALSE)</f>
        <v>361</v>
      </c>
      <c r="AD32" s="13">
        <f>VLOOKUP(Table24[[#This Row],[3_Elephant_ID]],'[1]Attributes(OUTDATED)'!$A$2:$N$19,13,FALSE)</f>
        <v>0.40600000000000003</v>
      </c>
      <c r="AE32" s="13">
        <f>VLOOKUP(Table24[[#This Row],[3_Elephant_ID]],'[1]Attributes(OUTDATED)'!$A$2:$N$19,14,FALSE)</f>
        <v>0.40590323220736402</v>
      </c>
      <c r="AF32" s="13">
        <v>0</v>
      </c>
      <c r="AG32" s="13">
        <v>0</v>
      </c>
      <c r="AH32" s="13">
        <v>0</v>
      </c>
      <c r="AI32" s="13">
        <v>0</v>
      </c>
      <c r="AJ32" s="13">
        <f>VLOOKUP(Table24[[#This Row],[3_Elephant_ID]],'[1]Attributes(OUTDATED)'!$A$2:$P$19,16,FALSE)</f>
        <v>1</v>
      </c>
      <c r="AK32" s="13">
        <f>VLOOKUP(Table24[[#This Row],[3_Elephant_ID]],'[1]Attributes(OUTDATED)'!$A$2:$S$19,17,FALSE)</f>
        <v>2</v>
      </c>
      <c r="AL32" s="13">
        <f>VLOOKUP(Table24[[#This Row],[3_Elephant_ID]],'[1]Attributes(OUTDATED)'!$A$2:$S$19,18,FALSE)</f>
        <v>7</v>
      </c>
    </row>
    <row r="33" spans="1:38" ht="28" x14ac:dyDescent="0.15">
      <c r="A33" s="3">
        <v>47</v>
      </c>
      <c r="B33" s="6">
        <v>1003231204</v>
      </c>
      <c r="C33" s="7">
        <v>10</v>
      </c>
      <c r="D33" s="7">
        <v>3</v>
      </c>
      <c r="E33" s="7">
        <v>2023</v>
      </c>
      <c r="F33" s="5">
        <v>44995</v>
      </c>
      <c r="G33" s="6" t="s">
        <v>8</v>
      </c>
      <c r="H33" s="17">
        <v>0.35592452830188681</v>
      </c>
      <c r="I33" s="3" t="str">
        <f>VLOOKUP(G33,'[1]Attributes(OUTDATED)'!$A$2:$C$19,2,FALSE)</f>
        <v>F</v>
      </c>
      <c r="J33" s="3" t="str">
        <f>VLOOKUP(G33,'[1]Attributes(OUTDATED)'!$A$2:$C$19,3,FALSE)</f>
        <v>A</v>
      </c>
      <c r="K33" s="3">
        <f>VLOOKUP(G33,'[1]Attributes(OUTDATED)'!$A$2:$H$19,8,FALSE)</f>
        <v>1096</v>
      </c>
      <c r="L33" s="3" t="str">
        <f>J33&amp;I33</f>
        <v>AF</v>
      </c>
      <c r="M33" s="11">
        <v>44993</v>
      </c>
      <c r="N33" s="13">
        <v>30.3</v>
      </c>
      <c r="O33" s="13">
        <v>20.5</v>
      </c>
      <c r="P33" s="13">
        <v>14.3</v>
      </c>
      <c r="Q33" s="13">
        <f>Table24[[#This Row],[2_Temp_H]]-Table24[[#This Row],[2_Temp_L]]</f>
        <v>16</v>
      </c>
      <c r="R33" s="13">
        <v>28.5</v>
      </c>
      <c r="S33" s="13">
        <v>5.9</v>
      </c>
      <c r="T33" s="13">
        <v>1013.75</v>
      </c>
      <c r="U33" s="13">
        <v>1008.88</v>
      </c>
      <c r="V33" s="13">
        <v>0</v>
      </c>
      <c r="W33" s="13" t="s">
        <v>147</v>
      </c>
      <c r="X33" s="16" t="s">
        <v>171</v>
      </c>
      <c r="Y33" s="13" t="s">
        <v>137</v>
      </c>
      <c r="Z33" s="13" t="s">
        <v>142</v>
      </c>
      <c r="AA33" s="13" t="s">
        <v>145</v>
      </c>
      <c r="AB33" s="13" t="s">
        <v>137</v>
      </c>
      <c r="AC33" s="13">
        <f>VLOOKUP(Table24[[#This Row],[3_Elephant_ID]],'[1]Attributes(OUTDATED)'!$A$2:$N$19,12,FALSE)</f>
        <v>346</v>
      </c>
      <c r="AD33" s="13">
        <f>VLOOKUP(Table24[[#This Row],[3_Elephant_ID]],'[1]Attributes(OUTDATED)'!$A$2:$N$19,13,FALSE)</f>
        <v>0.28999999999999998</v>
      </c>
      <c r="AE33" s="13">
        <f>VLOOKUP(Table24[[#This Row],[3_Elephant_ID]],'[1]Attributes(OUTDATED)'!$A$2:$N$19,14,FALSE)</f>
        <v>0.28929989906834258</v>
      </c>
      <c r="AF33" s="13">
        <v>0</v>
      </c>
      <c r="AG33" s="13">
        <v>0</v>
      </c>
      <c r="AH33" s="13">
        <v>0</v>
      </c>
      <c r="AI33" s="13">
        <v>0</v>
      </c>
      <c r="AJ33" s="13">
        <f>VLOOKUP(Table24[[#This Row],[3_Elephant_ID]],'[1]Attributes(OUTDATED)'!$A$2:$P$19,16,FALSE)</f>
        <v>1</v>
      </c>
      <c r="AK33" s="13">
        <f>VLOOKUP(Table24[[#This Row],[3_Elephant_ID]],'[1]Attributes(OUTDATED)'!$A$2:$S$19,17,FALSE)</f>
        <v>11</v>
      </c>
      <c r="AL33" s="13">
        <f>VLOOKUP(Table24[[#This Row],[3_Elephant_ID]],'[1]Attributes(OUTDATED)'!$A$2:$S$19,18,FALSE)</f>
        <v>7</v>
      </c>
    </row>
    <row r="34" spans="1:38" ht="28" x14ac:dyDescent="0.15">
      <c r="A34" s="3">
        <v>48</v>
      </c>
      <c r="B34" s="6">
        <v>1003231148</v>
      </c>
      <c r="C34" s="7">
        <v>10</v>
      </c>
      <c r="D34" s="7">
        <v>3</v>
      </c>
      <c r="E34" s="7">
        <v>2023</v>
      </c>
      <c r="F34" s="5">
        <v>44995</v>
      </c>
      <c r="G34" s="6" t="s">
        <v>9</v>
      </c>
      <c r="H34" s="17">
        <v>0.33080152671755714</v>
      </c>
      <c r="I34" s="3" t="str">
        <f>VLOOKUP(G34,'[1]Attributes(OUTDATED)'!$A$2:$C$19,2,FALSE)</f>
        <v>F</v>
      </c>
      <c r="J34" s="3" t="str">
        <f>VLOOKUP(G34,'[1]Attributes(OUTDATED)'!$A$2:$C$19,3,FALSE)</f>
        <v>J</v>
      </c>
      <c r="K34" s="3">
        <f>VLOOKUP(G34,'[1]Attributes(OUTDATED)'!$A$2:$H$19,8,FALSE)</f>
        <v>820</v>
      </c>
      <c r="L34" s="3" t="str">
        <f>J34&amp;I34</f>
        <v>JF</v>
      </c>
      <c r="M34" s="11">
        <v>44993</v>
      </c>
      <c r="N34" s="13">
        <v>30.3</v>
      </c>
      <c r="O34" s="13">
        <v>20.5</v>
      </c>
      <c r="P34" s="13">
        <v>14.3</v>
      </c>
      <c r="Q34" s="13">
        <f>Table24[[#This Row],[2_Temp_H]]-Table24[[#This Row],[2_Temp_L]]</f>
        <v>16</v>
      </c>
      <c r="R34" s="13">
        <v>28.5</v>
      </c>
      <c r="S34" s="13">
        <v>5.9</v>
      </c>
      <c r="T34" s="13">
        <v>1013.75</v>
      </c>
      <c r="U34" s="13">
        <v>1008.88</v>
      </c>
      <c r="V34" s="13">
        <v>0</v>
      </c>
      <c r="W34" s="13" t="s">
        <v>147</v>
      </c>
      <c r="X34" s="16" t="s">
        <v>171</v>
      </c>
      <c r="Y34" s="13" t="s">
        <v>137</v>
      </c>
      <c r="Z34" s="13" t="s">
        <v>142</v>
      </c>
      <c r="AA34" s="13" t="s">
        <v>145</v>
      </c>
      <c r="AB34" s="13" t="s">
        <v>137</v>
      </c>
      <c r="AC34" s="13">
        <f>VLOOKUP(Table24[[#This Row],[3_Elephant_ID]],'[1]Attributes(OUTDATED)'!$A$2:$N$19,12,FALSE)</f>
        <v>305</v>
      </c>
      <c r="AD34" s="13">
        <f>VLOOKUP(Table24[[#This Row],[3_Elephant_ID]],'[1]Attributes(OUTDATED)'!$A$2:$N$19,13,FALSE)</f>
        <v>0.17499999999999999</v>
      </c>
      <c r="AE34" s="13">
        <f>VLOOKUP(Table24[[#This Row],[3_Elephant_ID]],'[1]Attributes(OUTDATED)'!$A$2:$N$19,14,FALSE)</f>
        <v>0.17467336145108631</v>
      </c>
      <c r="AF34" s="13">
        <v>0</v>
      </c>
      <c r="AG34" s="13">
        <v>0</v>
      </c>
      <c r="AH34" s="13">
        <v>0</v>
      </c>
      <c r="AI34" s="13">
        <v>0</v>
      </c>
      <c r="AJ34" s="13">
        <f>VLOOKUP(Table24[[#This Row],[3_Elephant_ID]],'[1]Attributes(OUTDATED)'!$A$2:$P$19,16,FALSE)</f>
        <v>2</v>
      </c>
      <c r="AK34" s="13">
        <f>VLOOKUP(Table24[[#This Row],[3_Elephant_ID]],'[1]Attributes(OUTDATED)'!$A$2:$S$19,17,FALSE)</f>
        <v>0</v>
      </c>
      <c r="AL34" s="13">
        <f>VLOOKUP(Table24[[#This Row],[3_Elephant_ID]],'[1]Attributes(OUTDATED)'!$A$2:$S$19,18,FALSE)</f>
        <v>4</v>
      </c>
    </row>
    <row r="35" spans="1:38" ht="28" x14ac:dyDescent="0.15">
      <c r="A35" s="3">
        <v>49</v>
      </c>
      <c r="B35" s="6">
        <v>1003231140</v>
      </c>
      <c r="C35" s="7">
        <v>10</v>
      </c>
      <c r="D35" s="7">
        <v>3</v>
      </c>
      <c r="E35" s="7">
        <v>2023</v>
      </c>
      <c r="F35" s="5">
        <v>44995</v>
      </c>
      <c r="G35" s="6" t="s">
        <v>15</v>
      </c>
      <c r="H35" s="17">
        <v>0.30034220532319389</v>
      </c>
      <c r="I35" s="3" t="str">
        <f>VLOOKUP(G35,'[1]Attributes(OUTDATED)'!$A$2:$C$19,2,FALSE)</f>
        <v>M</v>
      </c>
      <c r="J35" s="3" t="str">
        <f>VLOOKUP(G35,'[1]Attributes(OUTDATED)'!$A$2:$C$19,3,FALSE)</f>
        <v>J</v>
      </c>
      <c r="K35" s="3">
        <f>VLOOKUP(G35,'[1]Attributes(OUTDATED)'!$A$2:$H$19,8,FALSE)</f>
        <v>828</v>
      </c>
      <c r="L35" s="3" t="str">
        <f>J35&amp;I35</f>
        <v>JM</v>
      </c>
      <c r="M35" s="11">
        <v>44993</v>
      </c>
      <c r="N35" s="13">
        <v>30.3</v>
      </c>
      <c r="O35" s="13">
        <v>20.5</v>
      </c>
      <c r="P35" s="13">
        <v>14.3</v>
      </c>
      <c r="Q35" s="13">
        <f>Table24[[#This Row],[2_Temp_H]]-Table24[[#This Row],[2_Temp_L]]</f>
        <v>16</v>
      </c>
      <c r="R35" s="13">
        <v>28.5</v>
      </c>
      <c r="S35" s="13">
        <v>5.9</v>
      </c>
      <c r="T35" s="13">
        <v>1013.75</v>
      </c>
      <c r="U35" s="13">
        <v>1008.88</v>
      </c>
      <c r="V35" s="13">
        <v>0</v>
      </c>
      <c r="W35" s="13" t="s">
        <v>147</v>
      </c>
      <c r="X35" s="16" t="s">
        <v>171</v>
      </c>
      <c r="Y35" s="13" t="s">
        <v>137</v>
      </c>
      <c r="Z35" s="13" t="s">
        <v>142</v>
      </c>
      <c r="AA35" s="13" t="s">
        <v>145</v>
      </c>
      <c r="AB35" s="13" t="s">
        <v>137</v>
      </c>
      <c r="AC35" s="13">
        <f>VLOOKUP(Table24[[#This Row],[3_Elephant_ID]],'[1]Attributes(OUTDATED)'!$A$2:$N$19,12,FALSE)</f>
        <v>219</v>
      </c>
      <c r="AD35" s="13">
        <f>VLOOKUP(Table24[[#This Row],[3_Elephant_ID]],'[1]Attributes(OUTDATED)'!$A$2:$N$19,13,FALSE)</f>
        <v>0.32300000000000001</v>
      </c>
      <c r="AE35" s="13">
        <f>VLOOKUP(Table24[[#This Row],[3_Elephant_ID]],'[1]Attributes(OUTDATED)'!$A$2:$N$19,14,FALSE)</f>
        <v>0.32257531484312868</v>
      </c>
      <c r="AF35" s="13">
        <v>0</v>
      </c>
      <c r="AG35" s="13">
        <v>0</v>
      </c>
      <c r="AH35" s="13">
        <v>0</v>
      </c>
      <c r="AI35" s="13">
        <v>0</v>
      </c>
      <c r="AJ35" s="13">
        <f>VLOOKUP(Table24[[#This Row],[3_Elephant_ID]],'[1]Attributes(OUTDATED)'!$A$2:$P$19,16,FALSE)</f>
        <v>2</v>
      </c>
      <c r="AK35" s="13">
        <f>VLOOKUP(Table24[[#This Row],[3_Elephant_ID]],'[1]Attributes(OUTDATED)'!$A$2:$S$19,17,FALSE)</f>
        <v>1</v>
      </c>
      <c r="AL35" s="13">
        <f>VLOOKUP(Table24[[#This Row],[3_Elephant_ID]],'[1]Attributes(OUTDATED)'!$A$2:$S$19,18,FALSE)</f>
        <v>6</v>
      </c>
    </row>
    <row r="36" spans="1:38" ht="28" x14ac:dyDescent="0.15">
      <c r="A36" s="3">
        <v>42</v>
      </c>
      <c r="B36" s="6">
        <v>1203231226</v>
      </c>
      <c r="C36" s="7">
        <v>12</v>
      </c>
      <c r="D36" s="7">
        <v>3</v>
      </c>
      <c r="E36" s="7">
        <v>2023</v>
      </c>
      <c r="F36" s="5">
        <v>44997</v>
      </c>
      <c r="G36" s="6" t="s">
        <v>17</v>
      </c>
      <c r="H36" s="17">
        <v>0.23329608938547497</v>
      </c>
      <c r="I36" s="3" t="str">
        <f>VLOOKUP(G36,'[1]Attributes(OUTDATED)'!$A$2:$C$19,2,FALSE)</f>
        <v>M</v>
      </c>
      <c r="J36" s="3" t="str">
        <f>VLOOKUP(G36,'[1]Attributes(OUTDATED)'!$A$2:$C$19,3,FALSE)</f>
        <v>J</v>
      </c>
      <c r="K36" s="3">
        <f>VLOOKUP(G36,'[1]Attributes(OUTDATED)'!$A$2:$H$19,8,FALSE)</f>
        <v>699</v>
      </c>
      <c r="L36" s="3" t="str">
        <f>J36&amp;I36</f>
        <v>JM</v>
      </c>
      <c r="M36" s="11">
        <v>44995</v>
      </c>
      <c r="N36" s="13">
        <v>33.299999999999997</v>
      </c>
      <c r="O36" s="13">
        <v>26.7</v>
      </c>
      <c r="P36" s="13">
        <v>9.1999999999999993</v>
      </c>
      <c r="Q36" s="13">
        <f>Table24[[#This Row],[2_Temp_H]]-Table24[[#This Row],[2_Temp_L]]</f>
        <v>24.099999999999998</v>
      </c>
      <c r="R36" s="13">
        <v>28.3</v>
      </c>
      <c r="S36" s="13">
        <v>6.5</v>
      </c>
      <c r="T36" s="13">
        <v>1008.81</v>
      </c>
      <c r="U36" s="13">
        <v>1004.06</v>
      </c>
      <c r="V36" s="13">
        <v>0</v>
      </c>
      <c r="W36" s="13" t="s">
        <v>147</v>
      </c>
      <c r="X36" s="16" t="s">
        <v>171</v>
      </c>
      <c r="Y36" s="13" t="s">
        <v>137</v>
      </c>
      <c r="Z36" s="13" t="s">
        <v>142</v>
      </c>
      <c r="AA36" s="13" t="s">
        <v>145</v>
      </c>
      <c r="AB36" s="13" t="s">
        <v>137</v>
      </c>
      <c r="AC36" s="13">
        <f>VLOOKUP(Table24[[#This Row],[3_Elephant_ID]],'[1]Attributes(OUTDATED)'!$A$2:$N$19,12,FALSE)</f>
        <v>343</v>
      </c>
      <c r="AD36" s="13">
        <f>VLOOKUP(Table24[[#This Row],[3_Elephant_ID]],'[1]Attributes(OUTDATED)'!$A$2:$N$19,13,FALSE)</f>
        <v>0.81</v>
      </c>
      <c r="AE36" s="13">
        <f>VLOOKUP(Table24[[#This Row],[3_Elephant_ID]],'[1]Attributes(OUTDATED)'!$A$2:$N$19,14,FALSE)</f>
        <v>0.80966774571167055</v>
      </c>
      <c r="AF36" s="13">
        <v>0</v>
      </c>
      <c r="AG36" s="13">
        <v>0</v>
      </c>
      <c r="AH36" s="13">
        <v>0</v>
      </c>
      <c r="AI36" s="13">
        <v>0</v>
      </c>
      <c r="AJ36" s="13">
        <f>VLOOKUP(Table24[[#This Row],[3_Elephant_ID]],'[1]Attributes(OUTDATED)'!$A$2:$P$19,16,FALSE)</f>
        <v>1</v>
      </c>
      <c r="AK36" s="13">
        <f>VLOOKUP(Table24[[#This Row],[3_Elephant_ID]],'[1]Attributes(OUTDATED)'!$A$2:$S$19,17,FALSE)</f>
        <v>0</v>
      </c>
      <c r="AL36" s="13">
        <f>VLOOKUP(Table24[[#This Row],[3_Elephant_ID]],'[1]Attributes(OUTDATED)'!$A$2:$S$19,18,FALSE)</f>
        <v>8</v>
      </c>
    </row>
    <row r="37" spans="1:38" ht="28" x14ac:dyDescent="0.15">
      <c r="A37" s="3">
        <v>39</v>
      </c>
      <c r="B37" s="6">
        <v>1203231543</v>
      </c>
      <c r="C37" s="7">
        <v>12</v>
      </c>
      <c r="D37" s="7">
        <v>3</v>
      </c>
      <c r="E37" s="7">
        <v>2023</v>
      </c>
      <c r="F37" s="5">
        <v>44997</v>
      </c>
      <c r="G37" s="6" t="s">
        <v>5</v>
      </c>
      <c r="H37" s="17">
        <v>0.22095940959409596</v>
      </c>
      <c r="I37" s="3" t="str">
        <f>VLOOKUP(G37,'[1]Attributes(OUTDATED)'!$A$2:$C$19,2,FALSE)</f>
        <v>M</v>
      </c>
      <c r="J37" s="3" t="str">
        <f>VLOOKUP(G37,'[1]Attributes(OUTDATED)'!$A$2:$C$19,3,FALSE)</f>
        <v>J</v>
      </c>
      <c r="K37" s="3">
        <f>VLOOKUP(G37,'[1]Attributes(OUTDATED)'!$A$2:$H$19,8,FALSE)</f>
        <v>940</v>
      </c>
      <c r="L37" s="3" t="str">
        <f>J37&amp;I37</f>
        <v>JM</v>
      </c>
      <c r="M37" s="11">
        <v>44995</v>
      </c>
      <c r="N37" s="13">
        <v>33.299999999999997</v>
      </c>
      <c r="O37" s="13">
        <v>26.7</v>
      </c>
      <c r="P37" s="13">
        <v>9.1999999999999993</v>
      </c>
      <c r="Q37" s="13">
        <f>Table24[[#This Row],[2_Temp_H]]-Table24[[#This Row],[2_Temp_L]]</f>
        <v>24.099999999999998</v>
      </c>
      <c r="R37" s="13">
        <v>28.3</v>
      </c>
      <c r="S37" s="13">
        <v>6.5</v>
      </c>
      <c r="T37" s="13">
        <v>1008.81</v>
      </c>
      <c r="U37" s="13">
        <v>1004.06</v>
      </c>
      <c r="V37" s="13">
        <v>0</v>
      </c>
      <c r="W37" s="13" t="s">
        <v>147</v>
      </c>
      <c r="X37" s="16" t="s">
        <v>171</v>
      </c>
      <c r="Y37" s="13" t="s">
        <v>137</v>
      </c>
      <c r="Z37" s="13" t="s">
        <v>142</v>
      </c>
      <c r="AA37" s="13" t="s">
        <v>145</v>
      </c>
      <c r="AB37" s="13" t="s">
        <v>137</v>
      </c>
      <c r="AC37" s="13">
        <f>VLOOKUP(Table24[[#This Row],[3_Elephant_ID]],'[1]Attributes(OUTDATED)'!$A$2:$N$19,12,FALSE)</f>
        <v>361</v>
      </c>
      <c r="AD37" s="13">
        <f>VLOOKUP(Table24[[#This Row],[3_Elephant_ID]],'[1]Attributes(OUTDATED)'!$A$2:$N$19,13,FALSE)</f>
        <v>0.40600000000000003</v>
      </c>
      <c r="AE37" s="13">
        <f>VLOOKUP(Table24[[#This Row],[3_Elephant_ID]],'[1]Attributes(OUTDATED)'!$A$2:$N$19,14,FALSE)</f>
        <v>0.40590323220736402</v>
      </c>
      <c r="AF37" s="13">
        <v>0</v>
      </c>
      <c r="AG37" s="13">
        <v>0</v>
      </c>
      <c r="AH37" s="13">
        <v>0</v>
      </c>
      <c r="AI37" s="13">
        <v>0</v>
      </c>
      <c r="AJ37" s="13">
        <f>VLOOKUP(Table24[[#This Row],[3_Elephant_ID]],'[1]Attributes(OUTDATED)'!$A$2:$P$19,16,FALSE)</f>
        <v>1</v>
      </c>
      <c r="AK37" s="13">
        <f>VLOOKUP(Table24[[#This Row],[3_Elephant_ID]],'[1]Attributes(OUTDATED)'!$A$2:$S$19,17,FALSE)</f>
        <v>2</v>
      </c>
      <c r="AL37" s="13">
        <f>VLOOKUP(Table24[[#This Row],[3_Elephant_ID]],'[1]Attributes(OUTDATED)'!$A$2:$S$19,18,FALSE)</f>
        <v>7</v>
      </c>
    </row>
    <row r="38" spans="1:38" ht="28" x14ac:dyDescent="0.15">
      <c r="A38" s="3">
        <v>38</v>
      </c>
      <c r="B38" s="6">
        <v>1203231354</v>
      </c>
      <c r="C38" s="7">
        <v>12</v>
      </c>
      <c r="D38" s="7">
        <v>3</v>
      </c>
      <c r="E38" s="7">
        <v>2023</v>
      </c>
      <c r="F38" s="5">
        <v>44997</v>
      </c>
      <c r="G38" s="6" t="s">
        <v>11</v>
      </c>
      <c r="H38" s="17">
        <v>0.18222634508348792</v>
      </c>
      <c r="I38" s="3" t="str">
        <f>VLOOKUP(G38,'[1]Attributes(OUTDATED)'!$A$2:$C$19,2,FALSE)</f>
        <v>M</v>
      </c>
      <c r="J38" s="3" t="str">
        <f>VLOOKUP(G38,'[1]Attributes(OUTDATED)'!$A$2:$C$19,3,FALSE)</f>
        <v>A</v>
      </c>
      <c r="K38" s="3">
        <f>VLOOKUP(G38,'[1]Attributes(OUTDATED)'!$A$2:$H$19,8,FALSE)</f>
        <v>1223</v>
      </c>
      <c r="L38" s="3" t="str">
        <f>J38&amp;I38</f>
        <v>AM</v>
      </c>
      <c r="M38" s="11">
        <v>44995</v>
      </c>
      <c r="N38" s="13">
        <v>33.299999999999997</v>
      </c>
      <c r="O38" s="13">
        <v>26.7</v>
      </c>
      <c r="P38" s="13">
        <v>9.1999999999999993</v>
      </c>
      <c r="Q38" s="13">
        <f>Table24[[#This Row],[2_Temp_H]]-Table24[[#This Row],[2_Temp_L]]</f>
        <v>24.099999999999998</v>
      </c>
      <c r="R38" s="13">
        <v>28.3</v>
      </c>
      <c r="S38" s="13">
        <v>6.5</v>
      </c>
      <c r="T38" s="13">
        <v>1008.81</v>
      </c>
      <c r="U38" s="13">
        <v>1004.06</v>
      </c>
      <c r="V38" s="13">
        <v>0</v>
      </c>
      <c r="W38" s="13" t="s">
        <v>147</v>
      </c>
      <c r="X38" s="16" t="s">
        <v>171</v>
      </c>
      <c r="Y38" s="13" t="s">
        <v>137</v>
      </c>
      <c r="Z38" s="13" t="s">
        <v>142</v>
      </c>
      <c r="AA38" s="13" t="s">
        <v>145</v>
      </c>
      <c r="AB38" s="13" t="s">
        <v>137</v>
      </c>
      <c r="AC38" s="13">
        <f>VLOOKUP(Table24[[#This Row],[3_Elephant_ID]],'[1]Attributes(OUTDATED)'!$A$2:$N$19,12,FALSE)</f>
        <v>404</v>
      </c>
      <c r="AD38" s="13">
        <f>VLOOKUP(Table24[[#This Row],[3_Elephant_ID]],'[1]Attributes(OUTDATED)'!$A$2:$N$19,13,FALSE)</f>
        <v>0.91700000000000004</v>
      </c>
      <c r="AE38" s="13">
        <f>VLOOKUP(Table24[[#This Row],[3_Elephant_ID]],'[1]Attributes(OUTDATED)'!$A$2:$N$19,14,FALSE)</f>
        <v>0.91664628583929353</v>
      </c>
      <c r="AF38" s="13">
        <v>0</v>
      </c>
      <c r="AG38" s="13">
        <v>0</v>
      </c>
      <c r="AH38" s="13">
        <v>0</v>
      </c>
      <c r="AI38" s="13">
        <v>0</v>
      </c>
      <c r="AJ38" s="13">
        <f>VLOOKUP(Table24[[#This Row],[3_Elephant_ID]],'[1]Attributes(OUTDATED)'!$A$2:$P$19,16,FALSE)</f>
        <v>1</v>
      </c>
      <c r="AK38" s="13">
        <f>VLOOKUP(Table24[[#This Row],[3_Elephant_ID]],'[1]Attributes(OUTDATED)'!$A$2:$S$19,17,FALSE)</f>
        <v>14</v>
      </c>
      <c r="AL38" s="13">
        <f>VLOOKUP(Table24[[#This Row],[3_Elephant_ID]],'[1]Attributes(OUTDATED)'!$A$2:$S$19,18,FALSE)</f>
        <v>17</v>
      </c>
    </row>
    <row r="39" spans="1:38" ht="28" x14ac:dyDescent="0.15">
      <c r="A39" s="3">
        <v>43</v>
      </c>
      <c r="B39" s="6">
        <v>1203231117</v>
      </c>
      <c r="C39" s="7">
        <v>12</v>
      </c>
      <c r="D39" s="7">
        <v>3</v>
      </c>
      <c r="E39" s="7">
        <v>2023</v>
      </c>
      <c r="F39" s="5">
        <v>44997</v>
      </c>
      <c r="G39" s="6" t="s">
        <v>9</v>
      </c>
      <c r="H39" s="17">
        <v>0.25571428571428573</v>
      </c>
      <c r="I39" s="3" t="str">
        <f>VLOOKUP(G39,'[1]Attributes(OUTDATED)'!$A$2:$C$19,2,FALSE)</f>
        <v>F</v>
      </c>
      <c r="J39" s="3" t="str">
        <f>VLOOKUP(G39,'[1]Attributes(OUTDATED)'!$A$2:$C$19,3,FALSE)</f>
        <v>J</v>
      </c>
      <c r="K39" s="3">
        <f>VLOOKUP(G39,'[1]Attributes(OUTDATED)'!$A$2:$H$19,8,FALSE)</f>
        <v>820</v>
      </c>
      <c r="L39" s="3" t="str">
        <f>J39&amp;I39</f>
        <v>JF</v>
      </c>
      <c r="M39" s="11">
        <v>44995</v>
      </c>
      <c r="N39" s="13">
        <v>33.299999999999997</v>
      </c>
      <c r="O39" s="13">
        <v>26.7</v>
      </c>
      <c r="P39" s="13">
        <v>9.1999999999999993</v>
      </c>
      <c r="Q39" s="13">
        <f>Table24[[#This Row],[2_Temp_H]]-Table24[[#This Row],[2_Temp_L]]</f>
        <v>24.099999999999998</v>
      </c>
      <c r="R39" s="13">
        <v>28.3</v>
      </c>
      <c r="S39" s="13">
        <v>6.5</v>
      </c>
      <c r="T39" s="13">
        <v>1008.81</v>
      </c>
      <c r="U39" s="13">
        <v>1004.06</v>
      </c>
      <c r="V39" s="13">
        <v>0</v>
      </c>
      <c r="W39" s="13" t="s">
        <v>147</v>
      </c>
      <c r="X39" s="16" t="s">
        <v>171</v>
      </c>
      <c r="Y39" s="13" t="s">
        <v>137</v>
      </c>
      <c r="Z39" s="13" t="s">
        <v>142</v>
      </c>
      <c r="AA39" s="13" t="s">
        <v>145</v>
      </c>
      <c r="AB39" s="13" t="s">
        <v>137</v>
      </c>
      <c r="AC39" s="13">
        <f>VLOOKUP(Table24[[#This Row],[3_Elephant_ID]],'[1]Attributes(OUTDATED)'!$A$2:$N$19,12,FALSE)</f>
        <v>305</v>
      </c>
      <c r="AD39" s="13">
        <f>VLOOKUP(Table24[[#This Row],[3_Elephant_ID]],'[1]Attributes(OUTDATED)'!$A$2:$N$19,13,FALSE)</f>
        <v>0.17499999999999999</v>
      </c>
      <c r="AE39" s="13">
        <f>VLOOKUP(Table24[[#This Row],[3_Elephant_ID]],'[1]Attributes(OUTDATED)'!$A$2:$N$19,14,FALSE)</f>
        <v>0.17467336145108631</v>
      </c>
      <c r="AF39" s="13">
        <v>0</v>
      </c>
      <c r="AG39" s="13">
        <v>0</v>
      </c>
      <c r="AH39" s="13">
        <v>0</v>
      </c>
      <c r="AI39" s="13">
        <v>0</v>
      </c>
      <c r="AJ39" s="13">
        <f>VLOOKUP(Table24[[#This Row],[3_Elephant_ID]],'[1]Attributes(OUTDATED)'!$A$2:$P$19,16,FALSE)</f>
        <v>2</v>
      </c>
      <c r="AK39" s="13">
        <f>VLOOKUP(Table24[[#This Row],[3_Elephant_ID]],'[1]Attributes(OUTDATED)'!$A$2:$S$19,17,FALSE)</f>
        <v>0</v>
      </c>
      <c r="AL39" s="13">
        <f>VLOOKUP(Table24[[#This Row],[3_Elephant_ID]],'[1]Attributes(OUTDATED)'!$A$2:$S$19,18,FALSE)</f>
        <v>4</v>
      </c>
    </row>
    <row r="40" spans="1:38" ht="28" x14ac:dyDescent="0.15">
      <c r="A40" s="3">
        <v>44</v>
      </c>
      <c r="B40" s="6">
        <v>1203230949</v>
      </c>
      <c r="C40" s="7">
        <v>12</v>
      </c>
      <c r="D40" s="7">
        <v>3</v>
      </c>
      <c r="E40" s="7">
        <v>2023</v>
      </c>
      <c r="F40" s="5">
        <v>44997</v>
      </c>
      <c r="G40" s="6" t="s">
        <v>2</v>
      </c>
      <c r="H40" s="17">
        <v>0.24981412639405204</v>
      </c>
      <c r="I40" s="3" t="str">
        <f>VLOOKUP(G40,'[1]Attributes(OUTDATED)'!$A$2:$C$19,2,FALSE)</f>
        <v>F</v>
      </c>
      <c r="J40" s="3" t="str">
        <f>VLOOKUP(G40,'[1]Attributes(OUTDATED)'!$A$2:$C$19,3,FALSE)</f>
        <v>A</v>
      </c>
      <c r="K40" s="3">
        <f>VLOOKUP(G40,'[1]Attributes(OUTDATED)'!$A$2:$H$19,8,FALSE)</f>
        <v>892</v>
      </c>
      <c r="L40" s="3" t="str">
        <f>J40&amp;I40</f>
        <v>AF</v>
      </c>
      <c r="M40" s="11">
        <v>44995</v>
      </c>
      <c r="N40" s="13">
        <v>33.299999999999997</v>
      </c>
      <c r="O40" s="13">
        <v>26.7</v>
      </c>
      <c r="P40" s="13">
        <v>9.1999999999999993</v>
      </c>
      <c r="Q40" s="13">
        <f>Table24[[#This Row],[2_Temp_H]]-Table24[[#This Row],[2_Temp_L]]</f>
        <v>24.099999999999998</v>
      </c>
      <c r="R40" s="13">
        <v>28.3</v>
      </c>
      <c r="S40" s="13">
        <v>6.5</v>
      </c>
      <c r="T40" s="13">
        <v>1008.81</v>
      </c>
      <c r="U40" s="13">
        <v>1004.06</v>
      </c>
      <c r="V40" s="13">
        <v>0</v>
      </c>
      <c r="W40" s="13" t="s">
        <v>147</v>
      </c>
      <c r="X40" s="16" t="s">
        <v>171</v>
      </c>
      <c r="Y40" s="13" t="s">
        <v>137</v>
      </c>
      <c r="Z40" s="13" t="s">
        <v>142</v>
      </c>
      <c r="AA40" s="13" t="s">
        <v>145</v>
      </c>
      <c r="AB40" s="13" t="s">
        <v>137</v>
      </c>
      <c r="AC40" s="13">
        <f>VLOOKUP(Table24[[#This Row],[3_Elephant_ID]],'[1]Attributes(OUTDATED)'!$A$2:$N$19,12,FALSE)</f>
        <v>378</v>
      </c>
      <c r="AD40" s="13">
        <f>VLOOKUP(Table24[[#This Row],[3_Elephant_ID]],'[1]Attributes(OUTDATED)'!$A$2:$N$19,13,FALSE)</f>
        <v>8.6999999999999994E-2</v>
      </c>
      <c r="AE40" s="13">
        <f>VLOOKUP(Table24[[#This Row],[3_Elephant_ID]],'[1]Attributes(OUTDATED)'!$A$2:$N$19,14,FALSE)</f>
        <v>8.6599138783086713E-2</v>
      </c>
      <c r="AF40" s="13">
        <v>0</v>
      </c>
      <c r="AG40" s="13">
        <v>0</v>
      </c>
      <c r="AH40" s="13">
        <v>0</v>
      </c>
      <c r="AI40" s="13">
        <v>0</v>
      </c>
      <c r="AJ40" s="13">
        <f>VLOOKUP(Table24[[#This Row],[3_Elephant_ID]],'[1]Attributes(OUTDATED)'!$A$2:$P$19,16,FALSE)</f>
        <v>1</v>
      </c>
      <c r="AK40" s="13">
        <f>VLOOKUP(Table24[[#This Row],[3_Elephant_ID]],'[1]Attributes(OUTDATED)'!$A$2:$S$19,17,FALSE)</f>
        <v>4</v>
      </c>
      <c r="AL40" s="13">
        <f>VLOOKUP(Table24[[#This Row],[3_Elephant_ID]],'[1]Attributes(OUTDATED)'!$A$2:$S$19,18,FALSE)</f>
        <v>20</v>
      </c>
    </row>
    <row r="41" spans="1:38" ht="28" x14ac:dyDescent="0.15">
      <c r="A41" s="3">
        <v>37</v>
      </c>
      <c r="B41" s="6">
        <v>1203231614</v>
      </c>
      <c r="C41" s="7">
        <v>12</v>
      </c>
      <c r="D41" s="7">
        <v>3</v>
      </c>
      <c r="E41" s="7">
        <v>2023</v>
      </c>
      <c r="F41" s="5">
        <v>44997</v>
      </c>
      <c r="G41" s="6" t="s">
        <v>13</v>
      </c>
      <c r="H41" s="17">
        <v>0.28303846153846146</v>
      </c>
      <c r="I41" s="3" t="str">
        <f>VLOOKUP(G41,'[1]Attributes(OUTDATED)'!$A$2:$C$19,2,FALSE)</f>
        <v>F</v>
      </c>
      <c r="J41" s="3" t="str">
        <f>VLOOKUP(G41,'[1]Attributes(OUTDATED)'!$A$2:$C$19,3,FALSE)</f>
        <v>A</v>
      </c>
      <c r="K41" s="3">
        <f>VLOOKUP(G41,'[1]Attributes(OUTDATED)'!$A$2:$H$19,8,FALSE)</f>
        <v>963</v>
      </c>
      <c r="L41" s="3" t="str">
        <f>J41&amp;I41</f>
        <v>AF</v>
      </c>
      <c r="M41" s="11">
        <v>44995</v>
      </c>
      <c r="N41" s="13">
        <v>33.299999999999997</v>
      </c>
      <c r="O41" s="13">
        <v>26.7</v>
      </c>
      <c r="P41" s="13">
        <v>9.1999999999999993</v>
      </c>
      <c r="Q41" s="13">
        <f>Table24[[#This Row],[2_Temp_H]]-Table24[[#This Row],[2_Temp_L]]</f>
        <v>24.099999999999998</v>
      </c>
      <c r="R41" s="13">
        <v>28.3</v>
      </c>
      <c r="S41" s="13">
        <v>6.5</v>
      </c>
      <c r="T41" s="13">
        <v>1008.81</v>
      </c>
      <c r="U41" s="13">
        <v>1004.06</v>
      </c>
      <c r="V41" s="13">
        <v>0</v>
      </c>
      <c r="W41" s="13" t="s">
        <v>147</v>
      </c>
      <c r="X41" s="16" t="s">
        <v>171</v>
      </c>
      <c r="Y41" s="13" t="s">
        <v>137</v>
      </c>
      <c r="Z41" s="13" t="s">
        <v>142</v>
      </c>
      <c r="AA41" s="13" t="s">
        <v>145</v>
      </c>
      <c r="AB41" s="13" t="s">
        <v>137</v>
      </c>
      <c r="AC41" s="13">
        <f>VLOOKUP(Table24[[#This Row],[3_Elephant_ID]],'[1]Attributes(OUTDATED)'!$A$2:$N$19,12,FALSE)</f>
        <v>289</v>
      </c>
      <c r="AD41" s="13">
        <f>VLOOKUP(Table24[[#This Row],[3_Elephant_ID]],'[1]Attributes(OUTDATED)'!$A$2:$N$19,13,FALSE)</f>
        <v>0.32400000000000001</v>
      </c>
      <c r="AE41" s="13">
        <f>VLOOKUP(Table24[[#This Row],[3_Elephant_ID]],'[1]Attributes(OUTDATED)'!$A$2:$N$19,14,FALSE)</f>
        <v>0.32380809109629533</v>
      </c>
      <c r="AF41" s="13">
        <v>0</v>
      </c>
      <c r="AG41" s="13">
        <v>0</v>
      </c>
      <c r="AH41" s="13">
        <v>0</v>
      </c>
      <c r="AI41" s="13">
        <v>0</v>
      </c>
      <c r="AJ41" s="13">
        <f>VLOOKUP(Table24[[#This Row],[3_Elephant_ID]],'[1]Attributes(OUTDATED)'!$A$2:$P$19,16,FALSE)</f>
        <v>2</v>
      </c>
      <c r="AK41" s="13">
        <f>VLOOKUP(Table24[[#This Row],[3_Elephant_ID]],'[1]Attributes(OUTDATED)'!$A$2:$S$19,17,FALSE)</f>
        <v>9</v>
      </c>
      <c r="AL41" s="13">
        <f>VLOOKUP(Table24[[#This Row],[3_Elephant_ID]],'[1]Attributes(OUTDATED)'!$A$2:$S$19,18,FALSE)</f>
        <v>9</v>
      </c>
    </row>
    <row r="42" spans="1:38" ht="28" x14ac:dyDescent="0.15">
      <c r="A42" s="3">
        <v>40</v>
      </c>
      <c r="B42" s="6">
        <v>1203231546</v>
      </c>
      <c r="C42" s="7">
        <v>12</v>
      </c>
      <c r="D42" s="7">
        <v>3</v>
      </c>
      <c r="E42" s="7">
        <v>2023</v>
      </c>
      <c r="F42" s="5">
        <v>44997</v>
      </c>
      <c r="G42" s="6" t="s">
        <v>15</v>
      </c>
      <c r="H42" s="17">
        <v>0.35037105751391462</v>
      </c>
      <c r="I42" s="3" t="str">
        <f>VLOOKUP(G42,'[1]Attributes(OUTDATED)'!$A$2:$C$19,2,FALSE)</f>
        <v>M</v>
      </c>
      <c r="J42" s="3" t="str">
        <f>VLOOKUP(G42,'[1]Attributes(OUTDATED)'!$A$2:$C$19,3,FALSE)</f>
        <v>J</v>
      </c>
      <c r="K42" s="3">
        <f>VLOOKUP(G42,'[1]Attributes(OUTDATED)'!$A$2:$H$19,8,FALSE)</f>
        <v>828</v>
      </c>
      <c r="L42" s="3" t="str">
        <f>J42&amp;I42</f>
        <v>JM</v>
      </c>
      <c r="M42" s="11">
        <v>44995</v>
      </c>
      <c r="N42" s="13">
        <v>33.299999999999997</v>
      </c>
      <c r="O42" s="13">
        <v>26.7</v>
      </c>
      <c r="P42" s="13">
        <v>9.1999999999999993</v>
      </c>
      <c r="Q42" s="13">
        <f>Table24[[#This Row],[2_Temp_H]]-Table24[[#This Row],[2_Temp_L]]</f>
        <v>24.099999999999998</v>
      </c>
      <c r="R42" s="13">
        <v>28.3</v>
      </c>
      <c r="S42" s="13">
        <v>6.5</v>
      </c>
      <c r="T42" s="13">
        <v>1008.81</v>
      </c>
      <c r="U42" s="13">
        <v>1004.06</v>
      </c>
      <c r="V42" s="13">
        <v>0</v>
      </c>
      <c r="W42" s="13" t="s">
        <v>147</v>
      </c>
      <c r="X42" s="16" t="s">
        <v>171</v>
      </c>
      <c r="Y42" s="13" t="s">
        <v>137</v>
      </c>
      <c r="Z42" s="13" t="s">
        <v>142</v>
      </c>
      <c r="AA42" s="13" t="s">
        <v>145</v>
      </c>
      <c r="AB42" s="13" t="s">
        <v>137</v>
      </c>
      <c r="AC42" s="13">
        <f>VLOOKUP(Table24[[#This Row],[3_Elephant_ID]],'[1]Attributes(OUTDATED)'!$A$2:$N$19,12,FALSE)</f>
        <v>219</v>
      </c>
      <c r="AD42" s="13">
        <f>VLOOKUP(Table24[[#This Row],[3_Elephant_ID]],'[1]Attributes(OUTDATED)'!$A$2:$N$19,13,FALSE)</f>
        <v>0.32300000000000001</v>
      </c>
      <c r="AE42" s="13">
        <f>VLOOKUP(Table24[[#This Row],[3_Elephant_ID]],'[1]Attributes(OUTDATED)'!$A$2:$N$19,14,FALSE)</f>
        <v>0.32257531484312868</v>
      </c>
      <c r="AF42" s="13">
        <v>0</v>
      </c>
      <c r="AG42" s="13">
        <v>0</v>
      </c>
      <c r="AH42" s="13">
        <v>0</v>
      </c>
      <c r="AI42" s="13">
        <v>0</v>
      </c>
      <c r="AJ42" s="13">
        <f>VLOOKUP(Table24[[#This Row],[3_Elephant_ID]],'[1]Attributes(OUTDATED)'!$A$2:$P$19,16,FALSE)</f>
        <v>2</v>
      </c>
      <c r="AK42" s="13">
        <f>VLOOKUP(Table24[[#This Row],[3_Elephant_ID]],'[1]Attributes(OUTDATED)'!$A$2:$S$19,17,FALSE)</f>
        <v>1</v>
      </c>
      <c r="AL42" s="13">
        <f>VLOOKUP(Table24[[#This Row],[3_Elephant_ID]],'[1]Attributes(OUTDATED)'!$A$2:$S$19,18,FALSE)</f>
        <v>6</v>
      </c>
    </row>
    <row r="43" spans="1:38" ht="28" x14ac:dyDescent="0.15">
      <c r="A43" s="3">
        <v>41</v>
      </c>
      <c r="B43" s="6">
        <v>1203231459</v>
      </c>
      <c r="C43" s="7">
        <v>12</v>
      </c>
      <c r="D43" s="7">
        <v>3</v>
      </c>
      <c r="E43" s="7">
        <v>2023</v>
      </c>
      <c r="F43" s="5">
        <v>44997</v>
      </c>
      <c r="G43" s="6" t="s">
        <v>16</v>
      </c>
      <c r="H43" s="17">
        <v>0.46671586715867164</v>
      </c>
      <c r="I43" s="3" t="str">
        <f>VLOOKUP(G43,'[1]Attributes(OUTDATED)'!$A$2:$C$19,2,FALSE)</f>
        <v>F</v>
      </c>
      <c r="J43" s="3" t="str">
        <f>VLOOKUP(G43,'[1]Attributes(OUTDATED)'!$A$2:$C$19,3,FALSE)</f>
        <v>A</v>
      </c>
      <c r="K43" s="3">
        <f>VLOOKUP(G43,'[1]Attributes(OUTDATED)'!$A$2:$H$19,8,FALSE)</f>
        <v>1346</v>
      </c>
      <c r="L43" s="3" t="str">
        <f>J43&amp;I43</f>
        <v>AF</v>
      </c>
      <c r="M43" s="11">
        <v>44995</v>
      </c>
      <c r="N43" s="13">
        <v>33.299999999999997</v>
      </c>
      <c r="O43" s="13">
        <v>26.7</v>
      </c>
      <c r="P43" s="13">
        <v>9.1999999999999993</v>
      </c>
      <c r="Q43" s="13">
        <f>Table24[[#This Row],[2_Temp_H]]-Table24[[#This Row],[2_Temp_L]]</f>
        <v>24.099999999999998</v>
      </c>
      <c r="R43" s="13">
        <v>28.3</v>
      </c>
      <c r="S43" s="13">
        <v>6.5</v>
      </c>
      <c r="T43" s="13">
        <v>1008.81</v>
      </c>
      <c r="U43" s="13">
        <v>1004.06</v>
      </c>
      <c r="V43" s="13">
        <v>0</v>
      </c>
      <c r="W43" s="13" t="s">
        <v>147</v>
      </c>
      <c r="X43" s="16" t="s">
        <v>171</v>
      </c>
      <c r="Y43" s="13" t="s">
        <v>137</v>
      </c>
      <c r="Z43" s="13" t="s">
        <v>142</v>
      </c>
      <c r="AA43" s="13" t="s">
        <v>145</v>
      </c>
      <c r="AB43" s="13" t="s">
        <v>137</v>
      </c>
      <c r="AC43" s="13">
        <f>VLOOKUP(Table24[[#This Row],[3_Elephant_ID]],'[1]Attributes(OUTDATED)'!$A$2:$N$19,12,FALSE)</f>
        <v>474</v>
      </c>
      <c r="AD43" s="13">
        <f>VLOOKUP(Table24[[#This Row],[3_Elephant_ID]],'[1]Attributes(OUTDATED)'!$A$2:$N$19,13,FALSE)</f>
        <v>0.121</v>
      </c>
      <c r="AE43" s="13">
        <f>VLOOKUP(Table24[[#This Row],[3_Elephant_ID]],'[1]Attributes(OUTDATED)'!$A$2:$N$19,14,FALSE)</f>
        <v>0.1206993463154281</v>
      </c>
      <c r="AF43" s="13">
        <v>0</v>
      </c>
      <c r="AG43" s="13">
        <v>0</v>
      </c>
      <c r="AH43" s="13">
        <v>0</v>
      </c>
      <c r="AI43" s="13">
        <v>0</v>
      </c>
      <c r="AJ43" s="13">
        <f>VLOOKUP(Table24[[#This Row],[3_Elephant_ID]],'[1]Attributes(OUTDATED)'!$A$2:$P$19,16,FALSE)</f>
        <v>1</v>
      </c>
      <c r="AK43" s="13">
        <f>VLOOKUP(Table24[[#This Row],[3_Elephant_ID]],'[1]Attributes(OUTDATED)'!$A$2:$S$19,17,FALSE)</f>
        <v>16</v>
      </c>
      <c r="AL43" s="13">
        <f>VLOOKUP(Table24[[#This Row],[3_Elephant_ID]],'[1]Attributes(OUTDATED)'!$A$2:$S$19,18,FALSE)</f>
        <v>1</v>
      </c>
    </row>
    <row r="44" spans="1:38" ht="28" x14ac:dyDescent="0.15">
      <c r="A44" s="3">
        <v>32</v>
      </c>
      <c r="B44" s="6">
        <v>1303231138</v>
      </c>
      <c r="C44" s="7">
        <v>13</v>
      </c>
      <c r="D44" s="7">
        <v>3</v>
      </c>
      <c r="E44" s="7">
        <v>2023</v>
      </c>
      <c r="F44" s="5">
        <v>44998</v>
      </c>
      <c r="G44" s="6" t="s">
        <v>14</v>
      </c>
      <c r="H44" s="17">
        <v>0.35825242718446604</v>
      </c>
      <c r="I44" s="3" t="str">
        <f>VLOOKUP(G44,'[1]Attributes(OUTDATED)'!$A$2:$C$19,2,FALSE)</f>
        <v>F</v>
      </c>
      <c r="J44" s="3" t="str">
        <f>VLOOKUP(G44,'[1]Attributes(OUTDATED)'!$A$2:$C$19,3,FALSE)</f>
        <v>J</v>
      </c>
      <c r="K44" s="3">
        <f>VLOOKUP(G44,'[1]Attributes(OUTDATED)'!$A$2:$H$19,8,FALSE)</f>
        <v>879</v>
      </c>
      <c r="L44" s="3" t="str">
        <f>J44&amp;I44</f>
        <v>JF</v>
      </c>
      <c r="M44" s="11">
        <v>44996</v>
      </c>
      <c r="N44" s="13">
        <v>27.6</v>
      </c>
      <c r="O44" s="13">
        <v>22.3</v>
      </c>
      <c r="P44" s="13">
        <v>13.4</v>
      </c>
      <c r="Q44" s="13">
        <f>Table24[[#This Row],[2_Temp_H]]-Table24[[#This Row],[2_Temp_L]]</f>
        <v>14.200000000000001</v>
      </c>
      <c r="R44" s="13">
        <v>26.9</v>
      </c>
      <c r="S44" s="13">
        <v>7.4</v>
      </c>
      <c r="T44" s="13">
        <v>1013.88</v>
      </c>
      <c r="U44" s="13">
        <v>1004.06</v>
      </c>
      <c r="V44" s="13">
        <v>0</v>
      </c>
      <c r="W44" s="13" t="s">
        <v>147</v>
      </c>
      <c r="X44" s="16" t="s">
        <v>171</v>
      </c>
      <c r="Y44" s="13" t="s">
        <v>137</v>
      </c>
      <c r="Z44" s="13" t="s">
        <v>142</v>
      </c>
      <c r="AA44" s="13" t="s">
        <v>145</v>
      </c>
      <c r="AB44" s="13" t="s">
        <v>137</v>
      </c>
      <c r="AC44" s="13">
        <f>VLOOKUP(Table24[[#This Row],[3_Elephant_ID]],'[1]Attributes(OUTDATED)'!$A$2:$N$19,12,FALSE)</f>
        <v>269</v>
      </c>
      <c r="AD44" s="13">
        <f>VLOOKUP(Table24[[#This Row],[3_Elephant_ID]],'[1]Attributes(OUTDATED)'!$A$2:$N$19,13,FALSE)</f>
        <v>0.65800000000000003</v>
      </c>
      <c r="AE44" s="13">
        <f>VLOOKUP(Table24[[#This Row],[3_Elephant_ID]],'[1]Attributes(OUTDATED)'!$A$2:$N$19,14,FALSE)</f>
        <v>0.65767064449315993</v>
      </c>
      <c r="AF44" s="13">
        <v>0</v>
      </c>
      <c r="AG44" s="13">
        <v>0</v>
      </c>
      <c r="AH44" s="13">
        <v>0</v>
      </c>
      <c r="AI44" s="13">
        <v>0</v>
      </c>
      <c r="AJ44" s="13">
        <f>VLOOKUP(Table24[[#This Row],[3_Elephant_ID]],'[1]Attributes(OUTDATED)'!$A$2:$P$19,16,FALSE)</f>
        <v>1</v>
      </c>
      <c r="AK44" s="13">
        <f>VLOOKUP(Table24[[#This Row],[3_Elephant_ID]],'[1]Attributes(OUTDATED)'!$A$2:$S$19,17,FALSE)</f>
        <v>3</v>
      </c>
      <c r="AL44" s="13">
        <f>VLOOKUP(Table24[[#This Row],[3_Elephant_ID]],'[1]Attributes(OUTDATED)'!$A$2:$S$19,18,FALSE)</f>
        <v>9</v>
      </c>
    </row>
    <row r="45" spans="1:38" ht="28" x14ac:dyDescent="0.15">
      <c r="A45" s="3">
        <v>36</v>
      </c>
      <c r="B45" s="6">
        <v>1303231112</v>
      </c>
      <c r="C45" s="7">
        <v>13</v>
      </c>
      <c r="D45" s="7">
        <v>3</v>
      </c>
      <c r="E45" s="7">
        <v>2023</v>
      </c>
      <c r="F45" s="5">
        <v>44998</v>
      </c>
      <c r="G45" s="6" t="s">
        <v>11</v>
      </c>
      <c r="H45" s="17">
        <v>0.29005714285714285</v>
      </c>
      <c r="I45" s="3" t="str">
        <f>VLOOKUP(G45,'[1]Attributes(OUTDATED)'!$A$2:$C$19,2,FALSE)</f>
        <v>M</v>
      </c>
      <c r="J45" s="3" t="str">
        <f>VLOOKUP(G45,'[1]Attributes(OUTDATED)'!$A$2:$C$19,3,FALSE)</f>
        <v>A</v>
      </c>
      <c r="K45" s="3">
        <f>VLOOKUP(G45,'[1]Attributes(OUTDATED)'!$A$2:$H$19,8,FALSE)</f>
        <v>1223</v>
      </c>
      <c r="L45" s="3" t="str">
        <f>J45&amp;I45</f>
        <v>AM</v>
      </c>
      <c r="M45" s="11">
        <v>44996</v>
      </c>
      <c r="N45" s="13">
        <v>27.6</v>
      </c>
      <c r="O45" s="13">
        <v>22.3</v>
      </c>
      <c r="P45" s="13">
        <v>13.4</v>
      </c>
      <c r="Q45" s="13">
        <f>Table24[[#This Row],[2_Temp_H]]-Table24[[#This Row],[2_Temp_L]]</f>
        <v>14.200000000000001</v>
      </c>
      <c r="R45" s="13">
        <v>26.9</v>
      </c>
      <c r="S45" s="13">
        <v>7.4</v>
      </c>
      <c r="T45" s="13">
        <v>1013.88</v>
      </c>
      <c r="U45" s="13">
        <v>1004.06</v>
      </c>
      <c r="V45" s="13">
        <v>0</v>
      </c>
      <c r="W45" s="13" t="s">
        <v>147</v>
      </c>
      <c r="X45" s="16" t="s">
        <v>171</v>
      </c>
      <c r="Y45" s="13" t="s">
        <v>137</v>
      </c>
      <c r="Z45" s="13" t="s">
        <v>142</v>
      </c>
      <c r="AA45" s="13" t="s">
        <v>145</v>
      </c>
      <c r="AB45" s="13" t="s">
        <v>137</v>
      </c>
      <c r="AC45" s="13">
        <f>VLOOKUP(Table24[[#This Row],[3_Elephant_ID]],'[1]Attributes(OUTDATED)'!$A$2:$N$19,12,FALSE)</f>
        <v>404</v>
      </c>
      <c r="AD45" s="13">
        <f>VLOOKUP(Table24[[#This Row],[3_Elephant_ID]],'[1]Attributes(OUTDATED)'!$A$2:$N$19,13,FALSE)</f>
        <v>0.91700000000000004</v>
      </c>
      <c r="AE45" s="13">
        <f>VLOOKUP(Table24[[#This Row],[3_Elephant_ID]],'[1]Attributes(OUTDATED)'!$A$2:$N$19,14,FALSE)</f>
        <v>0.91664628583929353</v>
      </c>
      <c r="AF45" s="13">
        <v>0</v>
      </c>
      <c r="AG45" s="13">
        <v>0</v>
      </c>
      <c r="AH45" s="13">
        <v>0</v>
      </c>
      <c r="AI45" s="13">
        <v>0</v>
      </c>
      <c r="AJ45" s="13">
        <f>VLOOKUP(Table24[[#This Row],[3_Elephant_ID]],'[1]Attributes(OUTDATED)'!$A$2:$P$19,16,FALSE)</f>
        <v>1</v>
      </c>
      <c r="AK45" s="13">
        <f>VLOOKUP(Table24[[#This Row],[3_Elephant_ID]],'[1]Attributes(OUTDATED)'!$A$2:$S$19,17,FALSE)</f>
        <v>14</v>
      </c>
      <c r="AL45" s="13">
        <f>VLOOKUP(Table24[[#This Row],[3_Elephant_ID]],'[1]Attributes(OUTDATED)'!$A$2:$S$19,18,FALSE)</f>
        <v>17</v>
      </c>
    </row>
    <row r="46" spans="1:38" ht="28" x14ac:dyDescent="0.15">
      <c r="A46" s="3">
        <v>34</v>
      </c>
      <c r="B46" s="6">
        <v>1303231035</v>
      </c>
      <c r="C46" s="7">
        <v>13</v>
      </c>
      <c r="D46" s="7">
        <v>3</v>
      </c>
      <c r="E46" s="7">
        <v>2023</v>
      </c>
      <c r="F46" s="5">
        <v>44998</v>
      </c>
      <c r="G46" s="6" t="s">
        <v>6</v>
      </c>
      <c r="H46" s="17">
        <v>0.37458100558659224</v>
      </c>
      <c r="I46" s="3" t="str">
        <f>VLOOKUP(G46,'[1]Attributes(OUTDATED)'!$A$2:$C$19,2,FALSE)</f>
        <v>F</v>
      </c>
      <c r="J46" s="3" t="str">
        <f>VLOOKUP(G46,'[1]Attributes(OUTDATED)'!$A$2:$C$19,3,FALSE)</f>
        <v>A</v>
      </c>
      <c r="K46" s="3">
        <f>VLOOKUP(G46,'[1]Attributes(OUTDATED)'!$A$2:$H$19,8,FALSE)</f>
        <v>1168</v>
      </c>
      <c r="L46" s="3" t="str">
        <f>J46&amp;I46</f>
        <v>AF</v>
      </c>
      <c r="M46" s="11">
        <v>44996</v>
      </c>
      <c r="N46" s="13">
        <v>27.6</v>
      </c>
      <c r="O46" s="13">
        <v>22.3</v>
      </c>
      <c r="P46" s="13">
        <v>13.4</v>
      </c>
      <c r="Q46" s="13">
        <f>Table24[[#This Row],[2_Temp_H]]-Table24[[#This Row],[2_Temp_L]]</f>
        <v>14.200000000000001</v>
      </c>
      <c r="R46" s="13">
        <v>26.9</v>
      </c>
      <c r="S46" s="13">
        <v>7.4</v>
      </c>
      <c r="T46" s="13">
        <v>1013.88</v>
      </c>
      <c r="U46" s="13">
        <v>1004.06</v>
      </c>
      <c r="V46" s="13">
        <v>0</v>
      </c>
      <c r="W46" s="13" t="s">
        <v>147</v>
      </c>
      <c r="X46" s="16" t="s">
        <v>171</v>
      </c>
      <c r="Y46" s="13" t="s">
        <v>137</v>
      </c>
      <c r="Z46" s="13" t="s">
        <v>142</v>
      </c>
      <c r="AA46" s="13" t="s">
        <v>145</v>
      </c>
      <c r="AB46" s="13" t="s">
        <v>137</v>
      </c>
      <c r="AC46" s="13">
        <f>VLOOKUP(Table24[[#This Row],[3_Elephant_ID]],'[1]Attributes(OUTDATED)'!$A$2:$N$19,12,FALSE)</f>
        <v>286</v>
      </c>
      <c r="AD46" s="13">
        <f>VLOOKUP(Table24[[#This Row],[3_Elephant_ID]],'[1]Attributes(OUTDATED)'!$A$2:$N$19,13,FALSE)</f>
        <v>0.26800000000000002</v>
      </c>
      <c r="AE46" s="13">
        <f>VLOOKUP(Table24[[#This Row],[3_Elephant_ID]],'[1]Attributes(OUTDATED)'!$A$2:$N$19,14,FALSE)</f>
        <v>0.26721028245328138</v>
      </c>
      <c r="AF46" s="13">
        <v>0</v>
      </c>
      <c r="AG46" s="13">
        <v>0</v>
      </c>
      <c r="AH46" s="13">
        <v>0</v>
      </c>
      <c r="AI46" s="13">
        <v>0</v>
      </c>
      <c r="AJ46" s="13">
        <f>VLOOKUP(Table24[[#This Row],[3_Elephant_ID]],'[1]Attributes(OUTDATED)'!$A$2:$P$19,16,FALSE)</f>
        <v>2</v>
      </c>
      <c r="AK46" s="13">
        <f>VLOOKUP(Table24[[#This Row],[3_Elephant_ID]],'[1]Attributes(OUTDATED)'!$A$2:$S$19,17,FALSE)</f>
        <v>12</v>
      </c>
      <c r="AL46" s="13">
        <f>VLOOKUP(Table24[[#This Row],[3_Elephant_ID]],'[1]Attributes(OUTDATED)'!$A$2:$S$19,18,FALSE)</f>
        <v>5</v>
      </c>
    </row>
    <row r="47" spans="1:38" ht="28" x14ac:dyDescent="0.15">
      <c r="A47" s="3">
        <v>33</v>
      </c>
      <c r="B47" s="6">
        <v>1303231136</v>
      </c>
      <c r="C47" s="7">
        <v>13</v>
      </c>
      <c r="D47" s="7">
        <v>3</v>
      </c>
      <c r="E47" s="7">
        <v>2023</v>
      </c>
      <c r="F47" s="5">
        <v>44998</v>
      </c>
      <c r="G47" s="6" t="s">
        <v>7</v>
      </c>
      <c r="H47" s="17">
        <v>0.18304428044280446</v>
      </c>
      <c r="I47" s="3" t="str">
        <f>VLOOKUP(G47,'[1]Attributes(OUTDATED)'!$A$2:$C$19,2,FALSE)</f>
        <v>F</v>
      </c>
      <c r="J47" s="3" t="str">
        <f>VLOOKUP(G47,'[1]Attributes(OUTDATED)'!$A$2:$C$19,3,FALSE)</f>
        <v>J</v>
      </c>
      <c r="K47" s="3">
        <f>VLOOKUP(G47,'[1]Attributes(OUTDATED)'!$A$2:$H$19,8,FALSE)</f>
        <v>711</v>
      </c>
      <c r="L47" s="3" t="str">
        <f>J47&amp;I47</f>
        <v>JF</v>
      </c>
      <c r="M47" s="11">
        <v>44996</v>
      </c>
      <c r="N47" s="13">
        <v>27.6</v>
      </c>
      <c r="O47" s="13">
        <v>22.3</v>
      </c>
      <c r="P47" s="13">
        <v>13.4</v>
      </c>
      <c r="Q47" s="13">
        <f>Table24[[#This Row],[2_Temp_H]]-Table24[[#This Row],[2_Temp_L]]</f>
        <v>14.200000000000001</v>
      </c>
      <c r="R47" s="13">
        <v>26.9</v>
      </c>
      <c r="S47" s="13">
        <v>7.4</v>
      </c>
      <c r="T47" s="13">
        <v>1013.88</v>
      </c>
      <c r="U47" s="13">
        <v>1004.06</v>
      </c>
      <c r="V47" s="13">
        <v>0</v>
      </c>
      <c r="W47" s="13" t="s">
        <v>147</v>
      </c>
      <c r="X47" s="16" t="s">
        <v>171</v>
      </c>
      <c r="Y47" s="13" t="s">
        <v>137</v>
      </c>
      <c r="Z47" s="13" t="s">
        <v>142</v>
      </c>
      <c r="AA47" s="13" t="s">
        <v>145</v>
      </c>
      <c r="AB47" s="13" t="s">
        <v>137</v>
      </c>
      <c r="AC47" s="13">
        <f>VLOOKUP(Table24[[#This Row],[3_Elephant_ID]],'[1]Attributes(OUTDATED)'!$A$2:$N$19,12,FALSE)</f>
        <v>398</v>
      </c>
      <c r="AD47" s="13">
        <f>VLOOKUP(Table24[[#This Row],[3_Elephant_ID]],'[1]Attributes(OUTDATED)'!$A$2:$N$19,13,FALSE)</f>
        <v>0.47899999999999998</v>
      </c>
      <c r="AE47" s="13">
        <f>VLOOKUP(Table24[[#This Row],[3_Elephant_ID]],'[1]Attributes(OUTDATED)'!$A$2:$N$19,14,FALSE)</f>
        <v>0.47820662037086947</v>
      </c>
      <c r="AF47" s="13">
        <v>0</v>
      </c>
      <c r="AG47" s="13">
        <v>0</v>
      </c>
      <c r="AH47" s="13">
        <v>0</v>
      </c>
      <c r="AI47" s="13">
        <v>0</v>
      </c>
      <c r="AJ47" s="13">
        <f>VLOOKUP(Table24[[#This Row],[3_Elephant_ID]],'[1]Attributes(OUTDATED)'!$A$2:$P$19,16,FALSE)</f>
        <v>1</v>
      </c>
      <c r="AK47" s="13">
        <f>VLOOKUP(Table24[[#This Row],[3_Elephant_ID]],'[1]Attributes(OUTDATED)'!$A$2:$S$19,17,FALSE)</f>
        <v>0</v>
      </c>
      <c r="AL47" s="13">
        <f>VLOOKUP(Table24[[#This Row],[3_Elephant_ID]],'[1]Attributes(OUTDATED)'!$A$2:$S$19,18,FALSE)</f>
        <v>12</v>
      </c>
    </row>
    <row r="48" spans="1:38" ht="28" x14ac:dyDescent="0.15">
      <c r="A48" s="3">
        <v>35</v>
      </c>
      <c r="B48" s="6">
        <v>1303231049</v>
      </c>
      <c r="C48" s="7">
        <v>13</v>
      </c>
      <c r="D48" s="7">
        <v>3</v>
      </c>
      <c r="E48" s="7">
        <v>2023</v>
      </c>
      <c r="F48" s="5">
        <v>44998</v>
      </c>
      <c r="G48" s="6" t="s">
        <v>7</v>
      </c>
      <c r="H48" s="17">
        <v>0.18181640625000001</v>
      </c>
      <c r="I48" s="3" t="str">
        <f>VLOOKUP(G48,'[1]Attributes(OUTDATED)'!$A$2:$C$19,2,FALSE)</f>
        <v>F</v>
      </c>
      <c r="J48" s="3" t="str">
        <f>VLOOKUP(G48,'[1]Attributes(OUTDATED)'!$A$2:$C$19,3,FALSE)</f>
        <v>J</v>
      </c>
      <c r="K48" s="3">
        <f>VLOOKUP(G48,'[1]Attributes(OUTDATED)'!$A$2:$H$19,8,FALSE)</f>
        <v>711</v>
      </c>
      <c r="L48" s="3" t="str">
        <f>J48&amp;I48</f>
        <v>JF</v>
      </c>
      <c r="M48" s="11">
        <v>44996</v>
      </c>
      <c r="N48" s="13">
        <v>27.6</v>
      </c>
      <c r="O48" s="13">
        <v>22.3</v>
      </c>
      <c r="P48" s="13">
        <v>13.4</v>
      </c>
      <c r="Q48" s="13">
        <f>Table24[[#This Row],[2_Temp_H]]-Table24[[#This Row],[2_Temp_L]]</f>
        <v>14.200000000000001</v>
      </c>
      <c r="R48" s="13">
        <v>26.9</v>
      </c>
      <c r="S48" s="13">
        <v>7.4</v>
      </c>
      <c r="T48" s="13">
        <v>1013.88</v>
      </c>
      <c r="U48" s="13">
        <v>1004.06</v>
      </c>
      <c r="V48" s="13">
        <v>0</v>
      </c>
      <c r="W48" s="13" t="s">
        <v>147</v>
      </c>
      <c r="X48" s="16" t="s">
        <v>171</v>
      </c>
      <c r="Y48" s="13" t="s">
        <v>137</v>
      </c>
      <c r="Z48" s="13" t="s">
        <v>142</v>
      </c>
      <c r="AA48" s="13" t="s">
        <v>145</v>
      </c>
      <c r="AB48" s="13" t="s">
        <v>137</v>
      </c>
      <c r="AC48" s="13">
        <f>VLOOKUP(Table24[[#This Row],[3_Elephant_ID]],'[1]Attributes(OUTDATED)'!$A$2:$N$19,12,FALSE)</f>
        <v>398</v>
      </c>
      <c r="AD48" s="13">
        <f>VLOOKUP(Table24[[#This Row],[3_Elephant_ID]],'[1]Attributes(OUTDATED)'!$A$2:$N$19,13,FALSE)</f>
        <v>0.47899999999999998</v>
      </c>
      <c r="AE48" s="13">
        <f>VLOOKUP(Table24[[#This Row],[3_Elephant_ID]],'[1]Attributes(OUTDATED)'!$A$2:$N$19,14,FALSE)</f>
        <v>0.47820662037086947</v>
      </c>
      <c r="AF48" s="13">
        <v>0</v>
      </c>
      <c r="AG48" s="13">
        <v>0</v>
      </c>
      <c r="AH48" s="13">
        <v>0</v>
      </c>
      <c r="AI48" s="13">
        <v>0</v>
      </c>
      <c r="AJ48" s="13">
        <f>VLOOKUP(Table24[[#This Row],[3_Elephant_ID]],'[1]Attributes(OUTDATED)'!$A$2:$P$19,16,FALSE)</f>
        <v>1</v>
      </c>
      <c r="AK48" s="13">
        <f>VLOOKUP(Table24[[#This Row],[3_Elephant_ID]],'[1]Attributes(OUTDATED)'!$A$2:$S$19,17,FALSE)</f>
        <v>0</v>
      </c>
      <c r="AL48" s="13">
        <f>VLOOKUP(Table24[[#This Row],[3_Elephant_ID]],'[1]Attributes(OUTDATED)'!$A$2:$S$19,18,FALSE)</f>
        <v>12</v>
      </c>
    </row>
    <row r="49" spans="1:38" ht="28" x14ac:dyDescent="0.15">
      <c r="A49" s="3">
        <v>28</v>
      </c>
      <c r="B49" s="6">
        <v>1403231006</v>
      </c>
      <c r="C49" s="7">
        <v>14</v>
      </c>
      <c r="D49" s="7">
        <v>3</v>
      </c>
      <c r="E49" s="7">
        <v>2023</v>
      </c>
      <c r="F49" s="5">
        <v>44999</v>
      </c>
      <c r="G49" s="6" t="s">
        <v>5</v>
      </c>
      <c r="H49" s="17">
        <v>0.17907335907335908</v>
      </c>
      <c r="I49" s="3" t="str">
        <f>VLOOKUP(G49,'[1]Attributes(OUTDATED)'!$A$2:$C$19,2,FALSE)</f>
        <v>M</v>
      </c>
      <c r="J49" s="3" t="str">
        <f>VLOOKUP(G49,'[1]Attributes(OUTDATED)'!$A$2:$C$19,3,FALSE)</f>
        <v>J</v>
      </c>
      <c r="K49" s="3">
        <f>VLOOKUP(G49,'[1]Attributes(OUTDATED)'!$A$2:$H$19,8,FALSE)</f>
        <v>940</v>
      </c>
      <c r="L49" s="3" t="str">
        <f>J49&amp;I49</f>
        <v>JM</v>
      </c>
      <c r="M49" s="11">
        <v>44997</v>
      </c>
      <c r="N49" s="13">
        <v>27.7</v>
      </c>
      <c r="O49" s="13">
        <v>19.600000000000001</v>
      </c>
      <c r="P49" s="13">
        <v>11.6</v>
      </c>
      <c r="Q49" s="13">
        <f>Table24[[#This Row],[2_Temp_H]]-Table24[[#This Row],[2_Temp_L]]</f>
        <v>16.100000000000001</v>
      </c>
      <c r="R49" s="13">
        <v>21.1</v>
      </c>
      <c r="S49" s="13">
        <v>4.5</v>
      </c>
      <c r="T49" s="13">
        <v>1014.9</v>
      </c>
      <c r="U49" s="13">
        <v>1010.84</v>
      </c>
      <c r="V49" s="13">
        <v>0</v>
      </c>
      <c r="W49" s="13" t="s">
        <v>147</v>
      </c>
      <c r="X49" s="13" t="s">
        <v>141</v>
      </c>
      <c r="Y49" s="13" t="s">
        <v>26</v>
      </c>
      <c r="Z49" s="13" t="s">
        <v>142</v>
      </c>
      <c r="AA49" s="13" t="s">
        <v>145</v>
      </c>
      <c r="AB49" s="13" t="s">
        <v>137</v>
      </c>
      <c r="AC49" s="13">
        <f>VLOOKUP(Table24[[#This Row],[3_Elephant_ID]],'[1]Attributes(OUTDATED)'!$A$2:$N$19,12,FALSE)</f>
        <v>361</v>
      </c>
      <c r="AD49" s="13">
        <f>VLOOKUP(Table24[[#This Row],[3_Elephant_ID]],'[1]Attributes(OUTDATED)'!$A$2:$N$19,13,FALSE)</f>
        <v>0.40600000000000003</v>
      </c>
      <c r="AE49" s="13">
        <f>VLOOKUP(Table24[[#This Row],[3_Elephant_ID]],'[1]Attributes(OUTDATED)'!$A$2:$N$19,14,FALSE)</f>
        <v>0.40590323220736402</v>
      </c>
      <c r="AF49" s="13">
        <v>7</v>
      </c>
      <c r="AG49" s="13">
        <v>0</v>
      </c>
      <c r="AH49" s="13">
        <v>0</v>
      </c>
      <c r="AI49" s="13">
        <v>0</v>
      </c>
      <c r="AJ49" s="13">
        <f>VLOOKUP(Table24[[#This Row],[3_Elephant_ID]],'[1]Attributes(OUTDATED)'!$A$2:$P$19,16,FALSE)</f>
        <v>1</v>
      </c>
      <c r="AK49" s="13">
        <f>VLOOKUP(Table24[[#This Row],[3_Elephant_ID]],'[1]Attributes(OUTDATED)'!$A$2:$S$19,17,FALSE)</f>
        <v>2</v>
      </c>
      <c r="AL49" s="13">
        <f>VLOOKUP(Table24[[#This Row],[3_Elephant_ID]],'[1]Attributes(OUTDATED)'!$A$2:$S$19,18,FALSE)</f>
        <v>7</v>
      </c>
    </row>
    <row r="50" spans="1:38" ht="28" x14ac:dyDescent="0.15">
      <c r="A50" s="3">
        <v>26</v>
      </c>
      <c r="B50" s="6">
        <v>1403231211</v>
      </c>
      <c r="C50" s="7">
        <v>14</v>
      </c>
      <c r="D50" s="7">
        <v>3</v>
      </c>
      <c r="E50" s="7">
        <v>2023</v>
      </c>
      <c r="F50" s="5">
        <v>44999</v>
      </c>
      <c r="G50" s="6" t="s">
        <v>11</v>
      </c>
      <c r="H50" s="17">
        <v>0.2503544776119403</v>
      </c>
      <c r="I50" s="3" t="str">
        <f>VLOOKUP(G50,'[1]Attributes(OUTDATED)'!$A$2:$C$19,2,FALSE)</f>
        <v>M</v>
      </c>
      <c r="J50" s="3" t="str">
        <f>VLOOKUP(G50,'[1]Attributes(OUTDATED)'!$A$2:$C$19,3,FALSE)</f>
        <v>A</v>
      </c>
      <c r="K50" s="3">
        <f>VLOOKUP(G50,'[1]Attributes(OUTDATED)'!$A$2:$H$19,8,FALSE)</f>
        <v>1223</v>
      </c>
      <c r="L50" s="3" t="str">
        <f>J50&amp;I50</f>
        <v>AM</v>
      </c>
      <c r="M50" s="11">
        <v>44997</v>
      </c>
      <c r="N50" s="13">
        <v>27.7</v>
      </c>
      <c r="O50" s="13">
        <v>19.600000000000001</v>
      </c>
      <c r="P50" s="13">
        <v>11.6</v>
      </c>
      <c r="Q50" s="13">
        <f>Table24[[#This Row],[2_Temp_H]]-Table24[[#This Row],[2_Temp_L]]</f>
        <v>16.100000000000001</v>
      </c>
      <c r="R50" s="13">
        <v>21.1</v>
      </c>
      <c r="S50" s="13">
        <v>4.5</v>
      </c>
      <c r="T50" s="13">
        <v>1014.9</v>
      </c>
      <c r="U50" s="13">
        <v>1010.84</v>
      </c>
      <c r="V50" s="13">
        <v>0</v>
      </c>
      <c r="W50" s="13" t="s">
        <v>147</v>
      </c>
      <c r="X50" s="13" t="s">
        <v>141</v>
      </c>
      <c r="Y50" s="13" t="s">
        <v>26</v>
      </c>
      <c r="Z50" s="13" t="s">
        <v>142</v>
      </c>
      <c r="AA50" s="13" t="s">
        <v>145</v>
      </c>
      <c r="AB50" s="13" t="s">
        <v>137</v>
      </c>
      <c r="AC50" s="13">
        <f>VLOOKUP(Table24[[#This Row],[3_Elephant_ID]],'[1]Attributes(OUTDATED)'!$A$2:$N$19,12,FALSE)</f>
        <v>404</v>
      </c>
      <c r="AD50" s="13">
        <f>VLOOKUP(Table24[[#This Row],[3_Elephant_ID]],'[1]Attributes(OUTDATED)'!$A$2:$N$19,13,FALSE)</f>
        <v>0.91700000000000004</v>
      </c>
      <c r="AE50" s="13">
        <f>VLOOKUP(Table24[[#This Row],[3_Elephant_ID]],'[1]Attributes(OUTDATED)'!$A$2:$N$19,14,FALSE)</f>
        <v>0.91664628583929353</v>
      </c>
      <c r="AF50" s="13">
        <v>7</v>
      </c>
      <c r="AG50" s="13">
        <v>1</v>
      </c>
      <c r="AH50" s="13">
        <v>1</v>
      </c>
      <c r="AI50" s="13">
        <v>2</v>
      </c>
      <c r="AJ50" s="13">
        <f>VLOOKUP(Table24[[#This Row],[3_Elephant_ID]],'[1]Attributes(OUTDATED)'!$A$2:$P$19,16,FALSE)</f>
        <v>1</v>
      </c>
      <c r="AK50" s="13">
        <f>VLOOKUP(Table24[[#This Row],[3_Elephant_ID]],'[1]Attributes(OUTDATED)'!$A$2:$S$19,17,FALSE)</f>
        <v>14</v>
      </c>
      <c r="AL50" s="13">
        <f>VLOOKUP(Table24[[#This Row],[3_Elephant_ID]],'[1]Attributes(OUTDATED)'!$A$2:$S$19,18,FALSE)</f>
        <v>17</v>
      </c>
    </row>
    <row r="51" spans="1:38" ht="28" x14ac:dyDescent="0.15">
      <c r="A51" s="3">
        <v>29</v>
      </c>
      <c r="B51" s="6">
        <v>1403231004</v>
      </c>
      <c r="C51" s="7">
        <v>14</v>
      </c>
      <c r="D51" s="7">
        <v>3</v>
      </c>
      <c r="E51" s="7">
        <v>2023</v>
      </c>
      <c r="F51" s="5">
        <v>44999</v>
      </c>
      <c r="G51" s="6" t="s">
        <v>11</v>
      </c>
      <c r="H51" s="17">
        <v>0.20528650646950089</v>
      </c>
      <c r="I51" s="3" t="str">
        <f>VLOOKUP(G51,'[1]Attributes(OUTDATED)'!$A$2:$C$19,2,FALSE)</f>
        <v>M</v>
      </c>
      <c r="J51" s="3" t="str">
        <f>VLOOKUP(G51,'[1]Attributes(OUTDATED)'!$A$2:$C$19,3,FALSE)</f>
        <v>A</v>
      </c>
      <c r="K51" s="3">
        <f>VLOOKUP(G51,'[1]Attributes(OUTDATED)'!$A$2:$H$19,8,FALSE)</f>
        <v>1223</v>
      </c>
      <c r="L51" s="3" t="str">
        <f>J51&amp;I51</f>
        <v>AM</v>
      </c>
      <c r="M51" s="11">
        <v>44997</v>
      </c>
      <c r="N51" s="13">
        <v>27.7</v>
      </c>
      <c r="O51" s="13">
        <v>19.600000000000001</v>
      </c>
      <c r="P51" s="13">
        <v>11.6</v>
      </c>
      <c r="Q51" s="13">
        <f>Table24[[#This Row],[2_Temp_H]]-Table24[[#This Row],[2_Temp_L]]</f>
        <v>16.100000000000001</v>
      </c>
      <c r="R51" s="13">
        <v>21.1</v>
      </c>
      <c r="S51" s="13">
        <v>4.5</v>
      </c>
      <c r="T51" s="13">
        <v>1014.9</v>
      </c>
      <c r="U51" s="13">
        <v>1010.84</v>
      </c>
      <c r="V51" s="13">
        <v>0</v>
      </c>
      <c r="W51" s="13" t="s">
        <v>147</v>
      </c>
      <c r="X51" s="13" t="s">
        <v>141</v>
      </c>
      <c r="Y51" s="13" t="s">
        <v>26</v>
      </c>
      <c r="Z51" s="13" t="s">
        <v>142</v>
      </c>
      <c r="AA51" s="13" t="s">
        <v>145</v>
      </c>
      <c r="AB51" s="13" t="s">
        <v>137</v>
      </c>
      <c r="AC51" s="13">
        <f>VLOOKUP(Table24[[#This Row],[3_Elephant_ID]],'[1]Attributes(OUTDATED)'!$A$2:$N$19,12,FALSE)</f>
        <v>404</v>
      </c>
      <c r="AD51" s="13">
        <f>VLOOKUP(Table24[[#This Row],[3_Elephant_ID]],'[1]Attributes(OUTDATED)'!$A$2:$N$19,13,FALSE)</f>
        <v>0.91700000000000004</v>
      </c>
      <c r="AE51" s="13">
        <f>VLOOKUP(Table24[[#This Row],[3_Elephant_ID]],'[1]Attributes(OUTDATED)'!$A$2:$N$19,14,FALSE)</f>
        <v>0.91664628583929353</v>
      </c>
      <c r="AF51" s="13">
        <v>7</v>
      </c>
      <c r="AG51" s="13">
        <v>1</v>
      </c>
      <c r="AH51" s="13">
        <v>1</v>
      </c>
      <c r="AI51" s="13">
        <v>2</v>
      </c>
      <c r="AJ51" s="13">
        <f>VLOOKUP(Table24[[#This Row],[3_Elephant_ID]],'[1]Attributes(OUTDATED)'!$A$2:$P$19,16,FALSE)</f>
        <v>1</v>
      </c>
      <c r="AK51" s="13">
        <f>VLOOKUP(Table24[[#This Row],[3_Elephant_ID]],'[1]Attributes(OUTDATED)'!$A$2:$S$19,17,FALSE)</f>
        <v>14</v>
      </c>
      <c r="AL51" s="13">
        <f>VLOOKUP(Table24[[#This Row],[3_Elephant_ID]],'[1]Attributes(OUTDATED)'!$A$2:$S$19,18,FALSE)</f>
        <v>17</v>
      </c>
    </row>
    <row r="52" spans="1:38" ht="28" x14ac:dyDescent="0.15">
      <c r="A52" s="3">
        <v>31</v>
      </c>
      <c r="B52" s="6">
        <v>1403231035</v>
      </c>
      <c r="C52" s="7">
        <v>14</v>
      </c>
      <c r="D52" s="7">
        <v>3</v>
      </c>
      <c r="E52" s="7">
        <v>2023</v>
      </c>
      <c r="F52" s="5">
        <v>44999</v>
      </c>
      <c r="G52" s="6" t="s">
        <v>10</v>
      </c>
      <c r="H52" s="17">
        <v>0.35994515539305305</v>
      </c>
      <c r="I52" s="3" t="str">
        <f>VLOOKUP(G52,'[1]Attributes(OUTDATED)'!$A$2:$C$19,2,FALSE)</f>
        <v>F</v>
      </c>
      <c r="J52" s="3" t="str">
        <f>VLOOKUP(G52,'[1]Attributes(OUTDATED)'!$A$2:$C$19,3,FALSE)</f>
        <v>A</v>
      </c>
      <c r="K52" s="3">
        <f>VLOOKUP(G52,'[1]Attributes(OUTDATED)'!$A$2:$H$19,8,FALSE)</f>
        <v>1146</v>
      </c>
      <c r="L52" s="3" t="str">
        <f>J52&amp;I52</f>
        <v>AF</v>
      </c>
      <c r="M52" s="11">
        <v>44997</v>
      </c>
      <c r="N52" s="13">
        <v>27.7</v>
      </c>
      <c r="O52" s="13">
        <v>19.600000000000001</v>
      </c>
      <c r="P52" s="13">
        <v>11.6</v>
      </c>
      <c r="Q52" s="13">
        <f>Table24[[#This Row],[2_Temp_H]]-Table24[[#This Row],[2_Temp_L]]</f>
        <v>16.100000000000001</v>
      </c>
      <c r="R52" s="13">
        <v>21.1</v>
      </c>
      <c r="S52" s="13">
        <v>4.5</v>
      </c>
      <c r="T52" s="13">
        <v>1014.9</v>
      </c>
      <c r="U52" s="13">
        <v>1010.84</v>
      </c>
      <c r="V52" s="13">
        <v>0</v>
      </c>
      <c r="W52" s="13" t="s">
        <v>147</v>
      </c>
      <c r="X52" s="13" t="s">
        <v>141</v>
      </c>
      <c r="Y52" s="13" t="s">
        <v>26</v>
      </c>
      <c r="Z52" s="13" t="s">
        <v>142</v>
      </c>
      <c r="AA52" s="13" t="s">
        <v>145</v>
      </c>
      <c r="AB52" s="13" t="s">
        <v>137</v>
      </c>
      <c r="AC52" s="13">
        <f>VLOOKUP(Table24[[#This Row],[3_Elephant_ID]],'[1]Attributes(OUTDATED)'!$A$2:$N$19,12,FALSE)</f>
        <v>424</v>
      </c>
      <c r="AD52" s="13">
        <f>VLOOKUP(Table24[[#This Row],[3_Elephant_ID]],'[1]Attributes(OUTDATED)'!$A$2:$N$19,13,FALSE)</f>
        <v>0.10299999999999999</v>
      </c>
      <c r="AE52" s="13">
        <f>VLOOKUP(Table24[[#This Row],[3_Elephant_ID]],'[1]Attributes(OUTDATED)'!$A$2:$N$19,14,FALSE)</f>
        <v>0.10282190709599449</v>
      </c>
      <c r="AF52" s="13">
        <v>7</v>
      </c>
      <c r="AG52" s="13">
        <v>0</v>
      </c>
      <c r="AH52" s="13">
        <v>0</v>
      </c>
      <c r="AI52" s="13">
        <v>0</v>
      </c>
      <c r="AJ52" s="13">
        <f>VLOOKUP(Table24[[#This Row],[3_Elephant_ID]],'[1]Attributes(OUTDATED)'!$A$2:$P$19,16,FALSE)</f>
        <v>1</v>
      </c>
      <c r="AK52" s="13">
        <f>VLOOKUP(Table24[[#This Row],[3_Elephant_ID]],'[1]Attributes(OUTDATED)'!$A$2:$S$19,17,FALSE)</f>
        <v>9</v>
      </c>
      <c r="AL52" s="13">
        <f>VLOOKUP(Table24[[#This Row],[3_Elephant_ID]],'[1]Attributes(OUTDATED)'!$A$2:$S$19,18,FALSE)</f>
        <v>8</v>
      </c>
    </row>
    <row r="53" spans="1:38" ht="28" x14ac:dyDescent="0.15">
      <c r="A53" s="3">
        <v>30</v>
      </c>
      <c r="B53" s="6">
        <v>1403230935</v>
      </c>
      <c r="C53" s="7">
        <v>14</v>
      </c>
      <c r="D53" s="7">
        <v>3</v>
      </c>
      <c r="E53" s="7">
        <v>2023</v>
      </c>
      <c r="F53" s="5">
        <v>44999</v>
      </c>
      <c r="G53" s="6" t="s">
        <v>6</v>
      </c>
      <c r="H53" s="17">
        <v>0.30311688311688301</v>
      </c>
      <c r="I53" s="3" t="str">
        <f>VLOOKUP(G53,'[1]Attributes(OUTDATED)'!$A$2:$C$19,2,FALSE)</f>
        <v>F</v>
      </c>
      <c r="J53" s="3" t="str">
        <f>VLOOKUP(G53,'[1]Attributes(OUTDATED)'!$A$2:$C$19,3,FALSE)</f>
        <v>A</v>
      </c>
      <c r="K53" s="3">
        <f>VLOOKUP(G53,'[1]Attributes(OUTDATED)'!$A$2:$H$19,8,FALSE)</f>
        <v>1168</v>
      </c>
      <c r="L53" s="3" t="str">
        <f>J53&amp;I53</f>
        <v>AF</v>
      </c>
      <c r="M53" s="11">
        <v>44997</v>
      </c>
      <c r="N53" s="13">
        <v>27.7</v>
      </c>
      <c r="O53" s="13">
        <v>19.600000000000001</v>
      </c>
      <c r="P53" s="13">
        <v>11.6</v>
      </c>
      <c r="Q53" s="13">
        <f>Table24[[#This Row],[2_Temp_H]]-Table24[[#This Row],[2_Temp_L]]</f>
        <v>16.100000000000001</v>
      </c>
      <c r="R53" s="13">
        <v>21.1</v>
      </c>
      <c r="S53" s="13">
        <v>4.5</v>
      </c>
      <c r="T53" s="13">
        <v>1014.9</v>
      </c>
      <c r="U53" s="13">
        <v>1010.84</v>
      </c>
      <c r="V53" s="13">
        <v>0</v>
      </c>
      <c r="W53" s="13" t="s">
        <v>147</v>
      </c>
      <c r="X53" s="13" t="s">
        <v>141</v>
      </c>
      <c r="Y53" s="13" t="s">
        <v>26</v>
      </c>
      <c r="Z53" s="13" t="s">
        <v>142</v>
      </c>
      <c r="AA53" s="13" t="s">
        <v>145</v>
      </c>
      <c r="AB53" s="13" t="s">
        <v>137</v>
      </c>
      <c r="AC53" s="13">
        <f>VLOOKUP(Table24[[#This Row],[3_Elephant_ID]],'[1]Attributes(OUTDATED)'!$A$2:$N$19,12,FALSE)</f>
        <v>286</v>
      </c>
      <c r="AD53" s="13">
        <f>VLOOKUP(Table24[[#This Row],[3_Elephant_ID]],'[1]Attributes(OUTDATED)'!$A$2:$N$19,13,FALSE)</f>
        <v>0.26800000000000002</v>
      </c>
      <c r="AE53" s="13">
        <f>VLOOKUP(Table24[[#This Row],[3_Elephant_ID]],'[1]Attributes(OUTDATED)'!$A$2:$N$19,14,FALSE)</f>
        <v>0.26721028245328138</v>
      </c>
      <c r="AF53" s="13">
        <v>7</v>
      </c>
      <c r="AG53" s="13">
        <v>0</v>
      </c>
      <c r="AH53" s="13">
        <v>0</v>
      </c>
      <c r="AI53" s="13">
        <v>0</v>
      </c>
      <c r="AJ53" s="13">
        <f>VLOOKUP(Table24[[#This Row],[3_Elephant_ID]],'[1]Attributes(OUTDATED)'!$A$2:$P$19,16,FALSE)</f>
        <v>2</v>
      </c>
      <c r="AK53" s="13">
        <f>VLOOKUP(Table24[[#This Row],[3_Elephant_ID]],'[1]Attributes(OUTDATED)'!$A$2:$S$19,17,FALSE)</f>
        <v>12</v>
      </c>
      <c r="AL53" s="13">
        <f>VLOOKUP(Table24[[#This Row],[3_Elephant_ID]],'[1]Attributes(OUTDATED)'!$A$2:$S$19,18,FALSE)</f>
        <v>5</v>
      </c>
    </row>
    <row r="54" spans="1:38" ht="28" x14ac:dyDescent="0.15">
      <c r="A54" s="3">
        <v>27</v>
      </c>
      <c r="B54" s="6">
        <v>1403231024</v>
      </c>
      <c r="C54" s="7">
        <v>14</v>
      </c>
      <c r="D54" s="7">
        <v>3</v>
      </c>
      <c r="E54" s="7">
        <v>2023</v>
      </c>
      <c r="F54" s="5">
        <v>44999</v>
      </c>
      <c r="G54" s="6" t="s">
        <v>13</v>
      </c>
      <c r="H54" s="17">
        <v>0.28330188679245283</v>
      </c>
      <c r="I54" s="3" t="str">
        <f>VLOOKUP(G54,'[1]Attributes(OUTDATED)'!$A$2:$C$19,2,FALSE)</f>
        <v>F</v>
      </c>
      <c r="J54" s="3" t="str">
        <f>VLOOKUP(G54,'[1]Attributes(OUTDATED)'!$A$2:$C$19,3,FALSE)</f>
        <v>A</v>
      </c>
      <c r="K54" s="3">
        <f>VLOOKUP(G54,'[1]Attributes(OUTDATED)'!$A$2:$H$19,8,FALSE)</f>
        <v>963</v>
      </c>
      <c r="L54" s="3" t="str">
        <f>J54&amp;I54</f>
        <v>AF</v>
      </c>
      <c r="M54" s="11">
        <v>44997</v>
      </c>
      <c r="N54" s="13">
        <v>27.7</v>
      </c>
      <c r="O54" s="13">
        <v>19.600000000000001</v>
      </c>
      <c r="P54" s="13">
        <v>11.6</v>
      </c>
      <c r="Q54" s="13">
        <f>Table24[[#This Row],[2_Temp_H]]-Table24[[#This Row],[2_Temp_L]]</f>
        <v>16.100000000000001</v>
      </c>
      <c r="R54" s="13">
        <v>21.1</v>
      </c>
      <c r="S54" s="13">
        <v>4.5</v>
      </c>
      <c r="T54" s="13">
        <v>1014.9</v>
      </c>
      <c r="U54" s="13">
        <v>1010.84</v>
      </c>
      <c r="V54" s="13">
        <v>0</v>
      </c>
      <c r="W54" s="13" t="s">
        <v>147</v>
      </c>
      <c r="X54" s="13" t="s">
        <v>141</v>
      </c>
      <c r="Y54" s="13" t="s">
        <v>26</v>
      </c>
      <c r="Z54" s="13" t="s">
        <v>142</v>
      </c>
      <c r="AA54" s="13" t="s">
        <v>145</v>
      </c>
      <c r="AB54" s="13" t="s">
        <v>137</v>
      </c>
      <c r="AC54" s="13">
        <f>VLOOKUP(Table24[[#This Row],[3_Elephant_ID]],'[1]Attributes(OUTDATED)'!$A$2:$N$19,12,FALSE)</f>
        <v>289</v>
      </c>
      <c r="AD54" s="13">
        <f>VLOOKUP(Table24[[#This Row],[3_Elephant_ID]],'[1]Attributes(OUTDATED)'!$A$2:$N$19,13,FALSE)</f>
        <v>0.32400000000000001</v>
      </c>
      <c r="AE54" s="13">
        <f>VLOOKUP(Table24[[#This Row],[3_Elephant_ID]],'[1]Attributes(OUTDATED)'!$A$2:$N$19,14,FALSE)</f>
        <v>0.32380809109629533</v>
      </c>
      <c r="AF54" s="13">
        <v>7</v>
      </c>
      <c r="AG54" s="13">
        <v>0</v>
      </c>
      <c r="AH54" s="13">
        <v>0</v>
      </c>
      <c r="AI54" s="13">
        <v>0</v>
      </c>
      <c r="AJ54" s="13">
        <f>VLOOKUP(Table24[[#This Row],[3_Elephant_ID]],'[1]Attributes(OUTDATED)'!$A$2:$P$19,16,FALSE)</f>
        <v>2</v>
      </c>
      <c r="AK54" s="13">
        <f>VLOOKUP(Table24[[#This Row],[3_Elephant_ID]],'[1]Attributes(OUTDATED)'!$A$2:$S$19,17,FALSE)</f>
        <v>9</v>
      </c>
      <c r="AL54" s="13">
        <f>VLOOKUP(Table24[[#This Row],[3_Elephant_ID]],'[1]Attributes(OUTDATED)'!$A$2:$S$19,18,FALSE)</f>
        <v>9</v>
      </c>
    </row>
    <row r="55" spans="1:38" ht="28" x14ac:dyDescent="0.15">
      <c r="A55" s="3">
        <v>24</v>
      </c>
      <c r="B55" s="6">
        <v>1503231302</v>
      </c>
      <c r="C55" s="7">
        <v>15</v>
      </c>
      <c r="D55" s="7">
        <v>3</v>
      </c>
      <c r="E55" s="7">
        <v>2023</v>
      </c>
      <c r="F55" s="5">
        <v>45000</v>
      </c>
      <c r="G55" s="6" t="s">
        <v>10</v>
      </c>
      <c r="H55" s="17">
        <v>0.37370786516853927</v>
      </c>
      <c r="I55" s="3" t="str">
        <f>VLOOKUP(G55,'[1]Attributes(OUTDATED)'!$A$2:$C$19,2,FALSE)</f>
        <v>F</v>
      </c>
      <c r="J55" s="3" t="str">
        <f>VLOOKUP(G55,'[1]Attributes(OUTDATED)'!$A$2:$C$19,3,FALSE)</f>
        <v>A</v>
      </c>
      <c r="K55" s="3">
        <f>VLOOKUP(G55,'[1]Attributes(OUTDATED)'!$A$2:$H$19,8,FALSE)</f>
        <v>1146</v>
      </c>
      <c r="L55" s="3" t="str">
        <f>J55&amp;I55</f>
        <v>AF</v>
      </c>
      <c r="M55" s="11">
        <v>44998</v>
      </c>
      <c r="N55" s="13">
        <v>34.700000000000003</v>
      </c>
      <c r="O55" s="13">
        <v>24.7</v>
      </c>
      <c r="P55" s="13">
        <v>12.8</v>
      </c>
      <c r="Q55" s="13">
        <f>Table24[[#This Row],[2_Temp_H]]-Table24[[#This Row],[2_Temp_L]]</f>
        <v>21.900000000000002</v>
      </c>
      <c r="R55" s="13">
        <v>28.6</v>
      </c>
      <c r="S55" s="13">
        <v>6.3</v>
      </c>
      <c r="T55" s="13">
        <v>1011.85</v>
      </c>
      <c r="U55" s="13">
        <v>1007.79</v>
      </c>
      <c r="V55" s="13">
        <v>0</v>
      </c>
      <c r="W55" s="13" t="s">
        <v>147</v>
      </c>
      <c r="X55" s="16" t="s">
        <v>171</v>
      </c>
      <c r="Y55" s="13" t="s">
        <v>137</v>
      </c>
      <c r="Z55" s="13" t="s">
        <v>142</v>
      </c>
      <c r="AA55" s="13" t="s">
        <v>145</v>
      </c>
      <c r="AB55" s="13" t="s">
        <v>137</v>
      </c>
      <c r="AC55" s="13">
        <f>VLOOKUP(Table24[[#This Row],[3_Elephant_ID]],'[1]Attributes(OUTDATED)'!$A$2:$N$19,12,FALSE)</f>
        <v>424</v>
      </c>
      <c r="AD55" s="13">
        <f>VLOOKUP(Table24[[#This Row],[3_Elephant_ID]],'[1]Attributes(OUTDATED)'!$A$2:$N$19,13,FALSE)</f>
        <v>0.10299999999999999</v>
      </c>
      <c r="AE55" s="13">
        <f>VLOOKUP(Table24[[#This Row],[3_Elephant_ID]],'[1]Attributes(OUTDATED)'!$A$2:$N$19,14,FALSE)</f>
        <v>0.10282190709599449</v>
      </c>
      <c r="AF55" s="13">
        <v>1</v>
      </c>
      <c r="AG55" s="13">
        <v>0</v>
      </c>
      <c r="AH55" s="13">
        <v>0</v>
      </c>
      <c r="AI55" s="13">
        <v>0</v>
      </c>
      <c r="AJ55" s="13">
        <f>VLOOKUP(Table24[[#This Row],[3_Elephant_ID]],'[1]Attributes(OUTDATED)'!$A$2:$P$19,16,FALSE)</f>
        <v>1</v>
      </c>
      <c r="AK55" s="13">
        <f>VLOOKUP(Table24[[#This Row],[3_Elephant_ID]],'[1]Attributes(OUTDATED)'!$A$2:$S$19,17,FALSE)</f>
        <v>9</v>
      </c>
      <c r="AL55" s="13">
        <f>VLOOKUP(Table24[[#This Row],[3_Elephant_ID]],'[1]Attributes(OUTDATED)'!$A$2:$S$19,18,FALSE)</f>
        <v>8</v>
      </c>
    </row>
    <row r="56" spans="1:38" ht="28" x14ac:dyDescent="0.15">
      <c r="A56" s="3">
        <v>25</v>
      </c>
      <c r="B56" s="6">
        <v>1503231041</v>
      </c>
      <c r="C56" s="7">
        <v>15</v>
      </c>
      <c r="D56" s="7">
        <v>3</v>
      </c>
      <c r="E56" s="7">
        <v>2023</v>
      </c>
      <c r="F56" s="5">
        <v>45000</v>
      </c>
      <c r="G56" s="6" t="s">
        <v>2</v>
      </c>
      <c r="H56" s="17">
        <v>0.19284926470588235</v>
      </c>
      <c r="I56" s="3" t="str">
        <f>VLOOKUP(G56,'[1]Attributes(OUTDATED)'!$A$2:$C$19,2,FALSE)</f>
        <v>F</v>
      </c>
      <c r="J56" s="3" t="str">
        <f>VLOOKUP(G56,'[1]Attributes(OUTDATED)'!$A$2:$C$19,3,FALSE)</f>
        <v>A</v>
      </c>
      <c r="K56" s="3">
        <f>VLOOKUP(G56,'[1]Attributes(OUTDATED)'!$A$2:$H$19,8,FALSE)</f>
        <v>892</v>
      </c>
      <c r="L56" s="3" t="str">
        <f>J56&amp;I56</f>
        <v>AF</v>
      </c>
      <c r="M56" s="11">
        <v>44998</v>
      </c>
      <c r="N56" s="13">
        <v>34.700000000000003</v>
      </c>
      <c r="O56" s="13">
        <v>24.7</v>
      </c>
      <c r="P56" s="13">
        <v>12.8</v>
      </c>
      <c r="Q56" s="13">
        <f>Table24[[#This Row],[2_Temp_H]]-Table24[[#This Row],[2_Temp_L]]</f>
        <v>21.900000000000002</v>
      </c>
      <c r="R56" s="13">
        <v>28.6</v>
      </c>
      <c r="S56" s="13">
        <v>6.3</v>
      </c>
      <c r="T56" s="13">
        <v>1011.85</v>
      </c>
      <c r="U56" s="13">
        <v>1007.79</v>
      </c>
      <c r="V56" s="13">
        <v>0</v>
      </c>
      <c r="W56" s="13" t="s">
        <v>147</v>
      </c>
      <c r="X56" s="16" t="s">
        <v>171</v>
      </c>
      <c r="Y56" s="13" t="s">
        <v>137</v>
      </c>
      <c r="Z56" s="13" t="s">
        <v>142</v>
      </c>
      <c r="AA56" s="13" t="s">
        <v>145</v>
      </c>
      <c r="AB56" s="13" t="s">
        <v>137</v>
      </c>
      <c r="AC56" s="13">
        <f>VLOOKUP(Table24[[#This Row],[3_Elephant_ID]],'[1]Attributes(OUTDATED)'!$A$2:$N$19,12,FALSE)</f>
        <v>378</v>
      </c>
      <c r="AD56" s="13">
        <f>VLOOKUP(Table24[[#This Row],[3_Elephant_ID]],'[1]Attributes(OUTDATED)'!$A$2:$N$19,13,FALSE)</f>
        <v>8.6999999999999994E-2</v>
      </c>
      <c r="AE56" s="13">
        <f>VLOOKUP(Table24[[#This Row],[3_Elephant_ID]],'[1]Attributes(OUTDATED)'!$A$2:$N$19,14,FALSE)</f>
        <v>8.6599138783086713E-2</v>
      </c>
      <c r="AF56" s="13">
        <v>1</v>
      </c>
      <c r="AG56" s="13">
        <v>0</v>
      </c>
      <c r="AH56" s="13">
        <v>0</v>
      </c>
      <c r="AI56" s="13">
        <v>0</v>
      </c>
      <c r="AJ56" s="13">
        <f>VLOOKUP(Table24[[#This Row],[3_Elephant_ID]],'[1]Attributes(OUTDATED)'!$A$2:$P$19,16,FALSE)</f>
        <v>1</v>
      </c>
      <c r="AK56" s="13">
        <f>VLOOKUP(Table24[[#This Row],[3_Elephant_ID]],'[1]Attributes(OUTDATED)'!$A$2:$S$19,17,FALSE)</f>
        <v>4</v>
      </c>
      <c r="AL56" s="13">
        <f>VLOOKUP(Table24[[#This Row],[3_Elephant_ID]],'[1]Attributes(OUTDATED)'!$A$2:$S$19,18,FALSE)</f>
        <v>20</v>
      </c>
    </row>
    <row r="57" spans="1:38" ht="28" x14ac:dyDescent="0.15">
      <c r="A57" s="3">
        <v>21</v>
      </c>
      <c r="B57" s="6">
        <v>1603231537</v>
      </c>
      <c r="C57" s="7">
        <v>16</v>
      </c>
      <c r="D57" s="7">
        <v>3</v>
      </c>
      <c r="E57" s="7">
        <v>2023</v>
      </c>
      <c r="F57" s="5">
        <v>45001</v>
      </c>
      <c r="G57" s="6" t="s">
        <v>8</v>
      </c>
      <c r="H57" s="17">
        <v>0.17626459143968873</v>
      </c>
      <c r="I57" s="3" t="str">
        <f>VLOOKUP(G57,'[1]Attributes(OUTDATED)'!$A$2:$C$19,2,FALSE)</f>
        <v>F</v>
      </c>
      <c r="J57" s="3" t="str">
        <f>VLOOKUP(G57,'[1]Attributes(OUTDATED)'!$A$2:$C$19,3,FALSE)</f>
        <v>A</v>
      </c>
      <c r="K57" s="3">
        <f>VLOOKUP(G57,'[1]Attributes(OUTDATED)'!$A$2:$H$19,8,FALSE)</f>
        <v>1096</v>
      </c>
      <c r="L57" s="3" t="str">
        <f>J57&amp;I57</f>
        <v>AF</v>
      </c>
      <c r="M57" s="11">
        <v>44999</v>
      </c>
      <c r="N57" s="13">
        <v>34.200000000000003</v>
      </c>
      <c r="O57" s="13">
        <v>23.8</v>
      </c>
      <c r="P57" s="13">
        <v>13.9</v>
      </c>
      <c r="Q57" s="13">
        <f>Table24[[#This Row],[2_Temp_H]]-Table24[[#This Row],[2_Temp_L]]</f>
        <v>20.300000000000004</v>
      </c>
      <c r="R57" s="13">
        <v>18.7</v>
      </c>
      <c r="S57" s="13">
        <v>4.2</v>
      </c>
      <c r="T57" s="13">
        <v>1009.82</v>
      </c>
      <c r="U57" s="13">
        <v>1007.79</v>
      </c>
      <c r="V57" s="13">
        <v>0</v>
      </c>
      <c r="W57" s="13" t="s">
        <v>147</v>
      </c>
      <c r="X57" s="16" t="s">
        <v>171</v>
      </c>
      <c r="Y57" s="13" t="s">
        <v>137</v>
      </c>
      <c r="Z57" s="13" t="s">
        <v>142</v>
      </c>
      <c r="AA57" s="13" t="s">
        <v>145</v>
      </c>
      <c r="AB57" s="13" t="s">
        <v>137</v>
      </c>
      <c r="AC57" s="13">
        <f>VLOOKUP(Table24[[#This Row],[3_Elephant_ID]],'[1]Attributes(OUTDATED)'!$A$2:$N$19,12,FALSE)</f>
        <v>346</v>
      </c>
      <c r="AD57" s="13">
        <f>VLOOKUP(Table24[[#This Row],[3_Elephant_ID]],'[1]Attributes(OUTDATED)'!$A$2:$N$19,13,FALSE)</f>
        <v>0.28999999999999998</v>
      </c>
      <c r="AE57" s="13">
        <f>VLOOKUP(Table24[[#This Row],[3_Elephant_ID]],'[1]Attributes(OUTDATED)'!$A$2:$N$19,14,FALSE)</f>
        <v>0.28929989906834258</v>
      </c>
      <c r="AF57" s="13">
        <v>0</v>
      </c>
      <c r="AG57" s="13">
        <v>0</v>
      </c>
      <c r="AH57" s="13">
        <v>0</v>
      </c>
      <c r="AI57" s="13">
        <v>0</v>
      </c>
      <c r="AJ57" s="13">
        <f>VLOOKUP(Table24[[#This Row],[3_Elephant_ID]],'[1]Attributes(OUTDATED)'!$A$2:$P$19,16,FALSE)</f>
        <v>1</v>
      </c>
      <c r="AK57" s="13">
        <f>VLOOKUP(Table24[[#This Row],[3_Elephant_ID]],'[1]Attributes(OUTDATED)'!$A$2:$S$19,17,FALSE)</f>
        <v>11</v>
      </c>
      <c r="AL57" s="13">
        <f>VLOOKUP(Table24[[#This Row],[3_Elephant_ID]],'[1]Attributes(OUTDATED)'!$A$2:$S$19,18,FALSE)</f>
        <v>7</v>
      </c>
    </row>
    <row r="58" spans="1:38" ht="28" x14ac:dyDescent="0.15">
      <c r="A58" s="3">
        <v>23</v>
      </c>
      <c r="B58" s="6">
        <v>1603231405</v>
      </c>
      <c r="C58" s="7">
        <v>16</v>
      </c>
      <c r="D58" s="7">
        <v>3</v>
      </c>
      <c r="E58" s="7">
        <v>2023</v>
      </c>
      <c r="F58" s="5">
        <v>45001</v>
      </c>
      <c r="G58" s="6" t="s">
        <v>12</v>
      </c>
      <c r="H58" s="17">
        <v>0.27106941838649157</v>
      </c>
      <c r="I58" s="3" t="str">
        <f>VLOOKUP(G58,'[1]Attributes(OUTDATED)'!$A$2:$C$19,2,FALSE)</f>
        <v>M</v>
      </c>
      <c r="J58" s="3" t="str">
        <f>VLOOKUP(G58,'[1]Attributes(OUTDATED)'!$A$2:$C$19,3,FALSE)</f>
        <v>A</v>
      </c>
      <c r="K58" s="3">
        <f>VLOOKUP(G58,'[1]Attributes(OUTDATED)'!$A$2:$H$19,8,FALSE)</f>
        <v>1509</v>
      </c>
      <c r="L58" s="3" t="str">
        <f>J58&amp;I58</f>
        <v>AM</v>
      </c>
      <c r="M58" s="11">
        <v>44999</v>
      </c>
      <c r="N58" s="13">
        <v>34.200000000000003</v>
      </c>
      <c r="O58" s="13">
        <v>23.8</v>
      </c>
      <c r="P58" s="13">
        <v>13.9</v>
      </c>
      <c r="Q58" s="13">
        <f>Table24[[#This Row],[2_Temp_H]]-Table24[[#This Row],[2_Temp_L]]</f>
        <v>20.300000000000004</v>
      </c>
      <c r="R58" s="13">
        <v>18.7</v>
      </c>
      <c r="S58" s="13">
        <v>4.2</v>
      </c>
      <c r="T58" s="13">
        <v>1009.82</v>
      </c>
      <c r="U58" s="13">
        <v>1007.79</v>
      </c>
      <c r="V58" s="13">
        <v>0</v>
      </c>
      <c r="W58" s="13" t="s">
        <v>147</v>
      </c>
      <c r="X58" s="16" t="s">
        <v>171</v>
      </c>
      <c r="Y58" s="13" t="s">
        <v>137</v>
      </c>
      <c r="Z58" s="13" t="s">
        <v>142</v>
      </c>
      <c r="AA58" s="13" t="s">
        <v>145</v>
      </c>
      <c r="AB58" s="13" t="s">
        <v>137</v>
      </c>
      <c r="AC58" s="13">
        <f>VLOOKUP(Table24[[#This Row],[3_Elephant_ID]],'[1]Attributes(OUTDATED)'!$A$2:$N$19,12,FALSE)</f>
        <v>450</v>
      </c>
      <c r="AD58" s="13">
        <f>VLOOKUP(Table24[[#This Row],[3_Elephant_ID]],'[1]Attributes(OUTDATED)'!$A$2:$N$19,13,FALSE)</f>
        <v>0.375</v>
      </c>
      <c r="AE58" s="13">
        <f>VLOOKUP(Table24[[#This Row],[3_Elephant_ID]],'[1]Attributes(OUTDATED)'!$A$2:$N$19,14,FALSE)</f>
        <v>0.37414375430996583</v>
      </c>
      <c r="AF58" s="13">
        <v>0</v>
      </c>
      <c r="AG58" s="13">
        <v>0</v>
      </c>
      <c r="AH58" s="13">
        <v>0</v>
      </c>
      <c r="AI58" s="13">
        <v>0</v>
      </c>
      <c r="AJ58" s="13">
        <f>VLOOKUP(Table24[[#This Row],[3_Elephant_ID]],'[1]Attributes(OUTDATED)'!$A$2:$P$19,16,FALSE)</f>
        <v>1</v>
      </c>
      <c r="AK58" s="13">
        <f>VLOOKUP(Table24[[#This Row],[3_Elephant_ID]],'[1]Attributes(OUTDATED)'!$A$2:$S$19,17,FALSE)</f>
        <v>48</v>
      </c>
      <c r="AL58" s="13">
        <f>VLOOKUP(Table24[[#This Row],[3_Elephant_ID]],'[1]Attributes(OUTDATED)'!$A$2:$S$19,18,FALSE)</f>
        <v>3</v>
      </c>
    </row>
    <row r="59" spans="1:38" ht="28" x14ac:dyDescent="0.15">
      <c r="A59" s="3">
        <v>22</v>
      </c>
      <c r="B59" s="6">
        <v>1603231617</v>
      </c>
      <c r="C59" s="7">
        <v>16</v>
      </c>
      <c r="D59" s="7">
        <v>3</v>
      </c>
      <c r="E59" s="7">
        <v>2023</v>
      </c>
      <c r="F59" s="5">
        <v>45001</v>
      </c>
      <c r="G59" s="6" t="s">
        <v>10</v>
      </c>
      <c r="H59" s="17">
        <v>0.29168260038240917</v>
      </c>
      <c r="I59" s="3" t="str">
        <f>VLOOKUP(G59,'[1]Attributes(OUTDATED)'!$A$2:$C$19,2,FALSE)</f>
        <v>F</v>
      </c>
      <c r="J59" s="3" t="str">
        <f>VLOOKUP(G59,'[1]Attributes(OUTDATED)'!$A$2:$C$19,3,FALSE)</f>
        <v>A</v>
      </c>
      <c r="K59" s="3">
        <f>VLOOKUP(G59,'[1]Attributes(OUTDATED)'!$A$2:$H$19,8,FALSE)</f>
        <v>1146</v>
      </c>
      <c r="L59" s="3" t="str">
        <f>J59&amp;I59</f>
        <v>AF</v>
      </c>
      <c r="M59" s="11">
        <v>44999</v>
      </c>
      <c r="N59" s="13">
        <v>34.200000000000003</v>
      </c>
      <c r="O59" s="13">
        <v>23.8</v>
      </c>
      <c r="P59" s="13">
        <v>13.9</v>
      </c>
      <c r="Q59" s="13">
        <f>Table24[[#This Row],[2_Temp_H]]-Table24[[#This Row],[2_Temp_L]]</f>
        <v>20.300000000000004</v>
      </c>
      <c r="R59" s="13">
        <v>18.7</v>
      </c>
      <c r="S59" s="13">
        <v>4.2</v>
      </c>
      <c r="T59" s="13">
        <v>1009.82</v>
      </c>
      <c r="U59" s="13">
        <v>1007.79</v>
      </c>
      <c r="V59" s="13">
        <v>0</v>
      </c>
      <c r="W59" s="13" t="s">
        <v>147</v>
      </c>
      <c r="X59" s="16" t="s">
        <v>171</v>
      </c>
      <c r="Y59" s="13" t="s">
        <v>137</v>
      </c>
      <c r="Z59" s="13" t="s">
        <v>142</v>
      </c>
      <c r="AA59" s="13" t="s">
        <v>145</v>
      </c>
      <c r="AB59" s="13" t="s">
        <v>137</v>
      </c>
      <c r="AC59" s="13">
        <f>VLOOKUP(Table24[[#This Row],[3_Elephant_ID]],'[1]Attributes(OUTDATED)'!$A$2:$N$19,12,FALSE)</f>
        <v>424</v>
      </c>
      <c r="AD59" s="13">
        <f>VLOOKUP(Table24[[#This Row],[3_Elephant_ID]],'[1]Attributes(OUTDATED)'!$A$2:$N$19,13,FALSE)</f>
        <v>0.10299999999999999</v>
      </c>
      <c r="AE59" s="13">
        <f>VLOOKUP(Table24[[#This Row],[3_Elephant_ID]],'[1]Attributes(OUTDATED)'!$A$2:$N$19,14,FALSE)</f>
        <v>0.10282190709599449</v>
      </c>
      <c r="AF59" s="13">
        <v>0</v>
      </c>
      <c r="AG59" s="13">
        <v>0</v>
      </c>
      <c r="AH59" s="13">
        <v>0</v>
      </c>
      <c r="AI59" s="13">
        <v>0</v>
      </c>
      <c r="AJ59" s="13">
        <f>VLOOKUP(Table24[[#This Row],[3_Elephant_ID]],'[1]Attributes(OUTDATED)'!$A$2:$P$19,16,FALSE)</f>
        <v>1</v>
      </c>
      <c r="AK59" s="13">
        <f>VLOOKUP(Table24[[#This Row],[3_Elephant_ID]],'[1]Attributes(OUTDATED)'!$A$2:$S$19,17,FALSE)</f>
        <v>9</v>
      </c>
      <c r="AL59" s="13">
        <f>VLOOKUP(Table24[[#This Row],[3_Elephant_ID]],'[1]Attributes(OUTDATED)'!$A$2:$S$19,18,FALSE)</f>
        <v>8</v>
      </c>
    </row>
    <row r="60" spans="1:38" ht="28" x14ac:dyDescent="0.15">
      <c r="A60" s="3">
        <v>20</v>
      </c>
      <c r="B60" s="6">
        <v>1703231015</v>
      </c>
      <c r="C60" s="7">
        <v>17</v>
      </c>
      <c r="D60" s="7">
        <v>3</v>
      </c>
      <c r="E60" s="7">
        <v>2023</v>
      </c>
      <c r="F60" s="5">
        <v>45002</v>
      </c>
      <c r="G60" s="6" t="s">
        <v>11</v>
      </c>
      <c r="H60" s="17">
        <v>0.28952205882352944</v>
      </c>
      <c r="I60" s="3" t="str">
        <f>VLOOKUP(G60,'[1]Attributes(OUTDATED)'!$A$2:$C$19,2,FALSE)</f>
        <v>M</v>
      </c>
      <c r="J60" s="3" t="str">
        <f>VLOOKUP(G60,'[1]Attributes(OUTDATED)'!$A$2:$C$19,3,FALSE)</f>
        <v>A</v>
      </c>
      <c r="K60" s="3">
        <f>VLOOKUP(G60,'[1]Attributes(OUTDATED)'!$A$2:$H$19,8,FALSE)</f>
        <v>1223</v>
      </c>
      <c r="L60" s="3" t="str">
        <f>J60&amp;I60</f>
        <v>AM</v>
      </c>
      <c r="M60" s="11">
        <v>45000</v>
      </c>
      <c r="N60" s="13">
        <v>27</v>
      </c>
      <c r="O60" s="13">
        <v>21</v>
      </c>
      <c r="P60" s="13">
        <v>15.8</v>
      </c>
      <c r="Q60" s="13">
        <f>Table24[[#This Row],[2_Temp_H]]-Table24[[#This Row],[2_Temp_L]]</f>
        <v>11.2</v>
      </c>
      <c r="R60" s="13">
        <v>21.9</v>
      </c>
      <c r="S60" s="13">
        <v>5.5</v>
      </c>
      <c r="T60" s="13">
        <v>1012.87</v>
      </c>
      <c r="U60" s="13">
        <v>1009.82</v>
      </c>
      <c r="V60" s="13">
        <v>0.76</v>
      </c>
      <c r="W60" s="13" t="s">
        <v>147</v>
      </c>
      <c r="X60" s="16" t="s">
        <v>171</v>
      </c>
      <c r="Y60" s="13" t="s">
        <v>137</v>
      </c>
      <c r="Z60" s="13" t="s">
        <v>142</v>
      </c>
      <c r="AA60" s="13" t="s">
        <v>145</v>
      </c>
      <c r="AB60" s="13" t="s">
        <v>137</v>
      </c>
      <c r="AC60" s="13">
        <f>VLOOKUP(Table24[[#This Row],[3_Elephant_ID]],'[1]Attributes(OUTDATED)'!$A$2:$N$19,12,FALSE)</f>
        <v>404</v>
      </c>
      <c r="AD60" s="13">
        <f>VLOOKUP(Table24[[#This Row],[3_Elephant_ID]],'[1]Attributes(OUTDATED)'!$A$2:$N$19,13,FALSE)</f>
        <v>0.91700000000000004</v>
      </c>
      <c r="AE60" s="13">
        <f>VLOOKUP(Table24[[#This Row],[3_Elephant_ID]],'[1]Attributes(OUTDATED)'!$A$2:$N$19,14,FALSE)</f>
        <v>0.91664628583929353</v>
      </c>
      <c r="AF60" s="13">
        <v>2</v>
      </c>
      <c r="AG60" s="13">
        <v>0</v>
      </c>
      <c r="AH60" s="13">
        <v>0</v>
      </c>
      <c r="AI60" s="13">
        <v>0</v>
      </c>
      <c r="AJ60" s="13">
        <f>VLOOKUP(Table24[[#This Row],[3_Elephant_ID]],'[1]Attributes(OUTDATED)'!$A$2:$P$19,16,FALSE)</f>
        <v>1</v>
      </c>
      <c r="AK60" s="13">
        <f>VLOOKUP(Table24[[#This Row],[3_Elephant_ID]],'[1]Attributes(OUTDATED)'!$A$2:$S$19,17,FALSE)</f>
        <v>14</v>
      </c>
      <c r="AL60" s="13">
        <f>VLOOKUP(Table24[[#This Row],[3_Elephant_ID]],'[1]Attributes(OUTDATED)'!$A$2:$S$19,18,FALSE)</f>
        <v>17</v>
      </c>
    </row>
    <row r="61" spans="1:38" ht="28" x14ac:dyDescent="0.15">
      <c r="A61" s="3">
        <v>19</v>
      </c>
      <c r="B61" s="6">
        <v>1703231127</v>
      </c>
      <c r="C61" s="7">
        <v>17</v>
      </c>
      <c r="D61" s="7">
        <v>3</v>
      </c>
      <c r="E61" s="7">
        <v>2023</v>
      </c>
      <c r="F61" s="5">
        <v>45002</v>
      </c>
      <c r="G61" s="6" t="s">
        <v>10</v>
      </c>
      <c r="H61" s="17">
        <v>0.33927893738140424</v>
      </c>
      <c r="I61" s="3" t="str">
        <f>VLOOKUP(G61,'[1]Attributes(OUTDATED)'!$A$2:$C$19,2,FALSE)</f>
        <v>F</v>
      </c>
      <c r="J61" s="3" t="str">
        <f>VLOOKUP(G61,'[1]Attributes(OUTDATED)'!$A$2:$C$19,3,FALSE)</f>
        <v>A</v>
      </c>
      <c r="K61" s="3">
        <f>VLOOKUP(G61,'[1]Attributes(OUTDATED)'!$A$2:$H$19,8,FALSE)</f>
        <v>1146</v>
      </c>
      <c r="L61" s="3" t="str">
        <f>J61&amp;I61</f>
        <v>AF</v>
      </c>
      <c r="M61" s="11">
        <v>45000</v>
      </c>
      <c r="N61" s="13">
        <v>27</v>
      </c>
      <c r="O61" s="13">
        <v>21</v>
      </c>
      <c r="P61" s="13">
        <v>15.8</v>
      </c>
      <c r="Q61" s="13">
        <f>Table24[[#This Row],[2_Temp_H]]-Table24[[#This Row],[2_Temp_L]]</f>
        <v>11.2</v>
      </c>
      <c r="R61" s="13">
        <v>21.9</v>
      </c>
      <c r="S61" s="13">
        <v>5.5</v>
      </c>
      <c r="T61" s="13">
        <v>1012.87</v>
      </c>
      <c r="U61" s="13">
        <v>1009.82</v>
      </c>
      <c r="V61" s="13">
        <v>0.76</v>
      </c>
      <c r="W61" s="13" t="s">
        <v>147</v>
      </c>
      <c r="X61" s="16" t="s">
        <v>171</v>
      </c>
      <c r="Y61" s="13" t="s">
        <v>137</v>
      </c>
      <c r="Z61" s="13" t="s">
        <v>142</v>
      </c>
      <c r="AA61" s="13" t="s">
        <v>145</v>
      </c>
      <c r="AB61" s="13" t="s">
        <v>137</v>
      </c>
      <c r="AC61" s="13">
        <f>VLOOKUP(Table24[[#This Row],[3_Elephant_ID]],'[1]Attributes(OUTDATED)'!$A$2:$N$19,12,FALSE)</f>
        <v>424</v>
      </c>
      <c r="AD61" s="13">
        <f>VLOOKUP(Table24[[#This Row],[3_Elephant_ID]],'[1]Attributes(OUTDATED)'!$A$2:$N$19,13,FALSE)</f>
        <v>0.10299999999999999</v>
      </c>
      <c r="AE61" s="13">
        <f>VLOOKUP(Table24[[#This Row],[3_Elephant_ID]],'[1]Attributes(OUTDATED)'!$A$2:$N$19,14,FALSE)</f>
        <v>0.10282190709599449</v>
      </c>
      <c r="AF61" s="13">
        <v>2</v>
      </c>
      <c r="AG61" s="13">
        <v>0</v>
      </c>
      <c r="AH61" s="13">
        <v>0</v>
      </c>
      <c r="AI61" s="13">
        <v>0</v>
      </c>
      <c r="AJ61" s="13">
        <f>VLOOKUP(Table24[[#This Row],[3_Elephant_ID]],'[1]Attributes(OUTDATED)'!$A$2:$P$19,16,FALSE)</f>
        <v>1</v>
      </c>
      <c r="AK61" s="13">
        <f>VLOOKUP(Table24[[#This Row],[3_Elephant_ID]],'[1]Attributes(OUTDATED)'!$A$2:$S$19,17,FALSE)</f>
        <v>9</v>
      </c>
      <c r="AL61" s="13">
        <f>VLOOKUP(Table24[[#This Row],[3_Elephant_ID]],'[1]Attributes(OUTDATED)'!$A$2:$S$19,18,FALSE)</f>
        <v>8</v>
      </c>
    </row>
    <row r="62" spans="1:38" ht="28" x14ac:dyDescent="0.15">
      <c r="A62" s="3">
        <v>17</v>
      </c>
      <c r="B62" s="6">
        <v>2003230820</v>
      </c>
      <c r="C62" s="7">
        <v>20</v>
      </c>
      <c r="D62" s="7">
        <v>3</v>
      </c>
      <c r="E62" s="7">
        <v>2023</v>
      </c>
      <c r="F62" s="5">
        <v>45005</v>
      </c>
      <c r="G62" s="6" t="s">
        <v>3</v>
      </c>
      <c r="H62" s="17">
        <v>0.26462686567164179</v>
      </c>
      <c r="I62" s="3" t="str">
        <f>VLOOKUP(G62,'[1]Attributes(OUTDATED)'!$A$2:$C$19,2,FALSE)</f>
        <v>M</v>
      </c>
      <c r="J62" s="3" t="str">
        <f>VLOOKUP(G62,'[1]Attributes(OUTDATED)'!$A$2:$C$19,3,FALSE)</f>
        <v>J</v>
      </c>
      <c r="K62" s="3">
        <f>VLOOKUP(G62,'[1]Attributes(OUTDATED)'!$A$2:$H$19,8,FALSE)</f>
        <v>1031</v>
      </c>
      <c r="L62" s="3" t="str">
        <f>J62&amp;I62</f>
        <v>JM</v>
      </c>
      <c r="M62" s="11">
        <v>45003</v>
      </c>
      <c r="N62" s="13">
        <v>23.2</v>
      </c>
      <c r="O62" s="13">
        <v>20.8</v>
      </c>
      <c r="P62" s="13">
        <v>19.100000000000001</v>
      </c>
      <c r="Q62" s="13">
        <f>Table24[[#This Row],[2_Temp_H]]-Table24[[#This Row],[2_Temp_L]]</f>
        <v>4.0999999999999979</v>
      </c>
      <c r="R62" s="13">
        <v>36.700000000000003</v>
      </c>
      <c r="S62" s="13">
        <v>11.4</v>
      </c>
      <c r="T62" s="13">
        <v>1006.1</v>
      </c>
      <c r="U62" s="13">
        <v>1003.05</v>
      </c>
      <c r="V62" s="13">
        <v>0</v>
      </c>
      <c r="W62" s="13" t="s">
        <v>147</v>
      </c>
      <c r="X62" s="16" t="s">
        <v>141</v>
      </c>
      <c r="Y62" s="13" t="s">
        <v>26</v>
      </c>
      <c r="Z62" s="13" t="s">
        <v>142</v>
      </c>
      <c r="AA62" s="13" t="s">
        <v>145</v>
      </c>
      <c r="AB62" s="13" t="s">
        <v>26</v>
      </c>
      <c r="AC62" s="13">
        <f>VLOOKUP(Table24[[#This Row],[3_Elephant_ID]],'[1]Attributes(OUTDATED)'!$A$2:$N$19,12,FALSE)</f>
        <v>234</v>
      </c>
      <c r="AD62" s="13">
        <f>VLOOKUP(Table24[[#This Row],[3_Elephant_ID]],'[1]Attributes(OUTDATED)'!$A$2:$N$19,13,FALSE)</f>
        <v>0.16500000000000001</v>
      </c>
      <c r="AE62" s="13">
        <f>VLOOKUP(Table24[[#This Row],[3_Elephant_ID]],'[1]Attributes(OUTDATED)'!$A$2:$N$19,14,FALSE)</f>
        <v>0.16420161303383449</v>
      </c>
      <c r="AF62" s="13">
        <v>0</v>
      </c>
      <c r="AG62" s="13">
        <v>0</v>
      </c>
      <c r="AH62" s="13">
        <v>0</v>
      </c>
      <c r="AI62" s="13">
        <v>0</v>
      </c>
      <c r="AJ62" s="13">
        <f>VLOOKUP(Table24[[#This Row],[3_Elephant_ID]],'[1]Attributes(OUTDATED)'!$A$2:$P$19,16,FALSE)</f>
        <v>1</v>
      </c>
      <c r="AK62" s="13">
        <f>VLOOKUP(Table24[[#This Row],[3_Elephant_ID]],'[1]Attributes(OUTDATED)'!$A$2:$S$19,17,FALSE)</f>
        <v>9</v>
      </c>
      <c r="AL62" s="13">
        <f>VLOOKUP(Table24[[#This Row],[3_Elephant_ID]],'[1]Attributes(OUTDATED)'!$A$2:$S$19,18,FALSE)</f>
        <v>9</v>
      </c>
    </row>
    <row r="63" spans="1:38" ht="28" x14ac:dyDescent="0.15">
      <c r="A63" s="3">
        <v>10</v>
      </c>
      <c r="B63" s="6">
        <v>2003231330</v>
      </c>
      <c r="C63" s="7">
        <v>20</v>
      </c>
      <c r="D63" s="7">
        <v>3</v>
      </c>
      <c r="E63" s="7">
        <v>2023</v>
      </c>
      <c r="F63" s="5">
        <v>45005</v>
      </c>
      <c r="G63" s="6" t="s">
        <v>4</v>
      </c>
      <c r="H63" s="17">
        <v>0.27581573896353168</v>
      </c>
      <c r="I63" s="3" t="str">
        <f>VLOOKUP(G63,'[1]Attributes(OUTDATED)'!$A$2:$C$19,2,FALSE)</f>
        <v>M</v>
      </c>
      <c r="J63" s="3" t="str">
        <f>VLOOKUP(G63,'[1]Attributes(OUTDATED)'!$A$2:$C$19,3,FALSE)</f>
        <v>J</v>
      </c>
      <c r="K63" s="3">
        <f>VLOOKUP(G63,'[1]Attributes(OUTDATED)'!$A$2:$H$19,8,FALSE)</f>
        <v>1055</v>
      </c>
      <c r="L63" s="3" t="str">
        <f>J63&amp;I63</f>
        <v>JM</v>
      </c>
      <c r="M63" s="11">
        <v>45003</v>
      </c>
      <c r="N63" s="13">
        <v>23.2</v>
      </c>
      <c r="O63" s="13">
        <v>20.8</v>
      </c>
      <c r="P63" s="13">
        <v>19.100000000000001</v>
      </c>
      <c r="Q63" s="13">
        <f>Table24[[#This Row],[2_Temp_H]]-Table24[[#This Row],[2_Temp_L]]</f>
        <v>4.0999999999999979</v>
      </c>
      <c r="R63" s="13">
        <v>36.700000000000003</v>
      </c>
      <c r="S63" s="13">
        <v>11.4</v>
      </c>
      <c r="T63" s="13">
        <v>1006.1</v>
      </c>
      <c r="U63" s="13">
        <v>1003.05</v>
      </c>
      <c r="V63" s="13">
        <v>0</v>
      </c>
      <c r="W63" s="13" t="s">
        <v>147</v>
      </c>
      <c r="X63" s="16" t="s">
        <v>141</v>
      </c>
      <c r="Y63" s="13" t="s">
        <v>26</v>
      </c>
      <c r="Z63" s="13" t="s">
        <v>142</v>
      </c>
      <c r="AA63" s="13" t="s">
        <v>145</v>
      </c>
      <c r="AB63" s="13" t="s">
        <v>26</v>
      </c>
      <c r="AC63" s="13">
        <f>VLOOKUP(Table24[[#This Row],[3_Elephant_ID]],'[1]Attributes(OUTDATED)'!$A$2:$N$19,12,FALSE)</f>
        <v>181</v>
      </c>
      <c r="AD63" s="13">
        <f>VLOOKUP(Table24[[#This Row],[3_Elephant_ID]],'[1]Attributes(OUTDATED)'!$A$2:$N$19,13,FALSE)</f>
        <v>7.3999999999999996E-2</v>
      </c>
      <c r="AE63" s="13">
        <f>VLOOKUP(Table24[[#This Row],[3_Elephant_ID]],'[1]Attributes(OUTDATED)'!$A$2:$N$19,14,FALSE)</f>
        <v>7.3914663535330896E-2</v>
      </c>
      <c r="AF63" s="13">
        <v>0</v>
      </c>
      <c r="AG63" s="13">
        <v>0</v>
      </c>
      <c r="AH63" s="13">
        <v>0</v>
      </c>
      <c r="AI63" s="13">
        <v>0</v>
      </c>
      <c r="AJ63" s="13">
        <f>VLOOKUP(Table24[[#This Row],[3_Elephant_ID]],'[1]Attributes(OUTDATED)'!$A$2:$P$19,16,FALSE)</f>
        <v>1</v>
      </c>
      <c r="AK63" s="13">
        <f>VLOOKUP(Table24[[#This Row],[3_Elephant_ID]],'[1]Attributes(OUTDATED)'!$A$2:$S$19,17,FALSE)</f>
        <v>7</v>
      </c>
      <c r="AL63" s="13">
        <f>VLOOKUP(Table24[[#This Row],[3_Elephant_ID]],'[1]Attributes(OUTDATED)'!$A$2:$S$19,18,FALSE)</f>
        <v>9</v>
      </c>
    </row>
    <row r="64" spans="1:38" ht="28" x14ac:dyDescent="0.15">
      <c r="A64" s="3">
        <v>11</v>
      </c>
      <c r="B64" s="6" t="s">
        <v>29</v>
      </c>
      <c r="C64" s="7">
        <v>20</v>
      </c>
      <c r="D64" s="7">
        <v>3</v>
      </c>
      <c r="E64" s="7">
        <v>2023</v>
      </c>
      <c r="F64" s="5">
        <v>45005</v>
      </c>
      <c r="G64" s="6" t="s">
        <v>5</v>
      </c>
      <c r="H64" s="17">
        <v>0.28082417582417585</v>
      </c>
      <c r="I64" s="3" t="str">
        <f>VLOOKUP(G64,'[1]Attributes(OUTDATED)'!$A$2:$C$19,2,FALSE)</f>
        <v>M</v>
      </c>
      <c r="J64" s="3" t="str">
        <f>VLOOKUP(G64,'[1]Attributes(OUTDATED)'!$A$2:$C$19,3,FALSE)</f>
        <v>J</v>
      </c>
      <c r="K64" s="3">
        <f>VLOOKUP(G64,'[1]Attributes(OUTDATED)'!$A$2:$H$19,8,FALSE)</f>
        <v>940</v>
      </c>
      <c r="L64" s="3" t="str">
        <f>J64&amp;I64</f>
        <v>JM</v>
      </c>
      <c r="M64" s="11">
        <v>45003</v>
      </c>
      <c r="N64" s="13">
        <v>23.2</v>
      </c>
      <c r="O64" s="13">
        <v>20.8</v>
      </c>
      <c r="P64" s="13">
        <v>19.100000000000001</v>
      </c>
      <c r="Q64" s="13">
        <f>Table24[[#This Row],[2_Temp_H]]-Table24[[#This Row],[2_Temp_L]]</f>
        <v>4.0999999999999979</v>
      </c>
      <c r="R64" s="13">
        <v>36.700000000000003</v>
      </c>
      <c r="S64" s="13">
        <v>11.4</v>
      </c>
      <c r="T64" s="13">
        <v>1006.1</v>
      </c>
      <c r="U64" s="13">
        <v>1003.05</v>
      </c>
      <c r="V64" s="13">
        <v>0</v>
      </c>
      <c r="W64" s="13" t="s">
        <v>147</v>
      </c>
      <c r="X64" s="16" t="s">
        <v>141</v>
      </c>
      <c r="Y64" s="13" t="s">
        <v>26</v>
      </c>
      <c r="Z64" s="13" t="s">
        <v>142</v>
      </c>
      <c r="AA64" s="13" t="s">
        <v>145</v>
      </c>
      <c r="AB64" s="13" t="s">
        <v>26</v>
      </c>
      <c r="AC64" s="13">
        <f>VLOOKUP(Table24[[#This Row],[3_Elephant_ID]],'[1]Attributes(OUTDATED)'!$A$2:$N$19,12,FALSE)</f>
        <v>361</v>
      </c>
      <c r="AD64" s="13">
        <f>VLOOKUP(Table24[[#This Row],[3_Elephant_ID]],'[1]Attributes(OUTDATED)'!$A$2:$N$19,13,FALSE)</f>
        <v>0.40600000000000003</v>
      </c>
      <c r="AE64" s="13">
        <f>VLOOKUP(Table24[[#This Row],[3_Elephant_ID]],'[1]Attributes(OUTDATED)'!$A$2:$N$19,14,FALSE)</f>
        <v>0.40590323220736402</v>
      </c>
      <c r="AF64" s="13">
        <v>0</v>
      </c>
      <c r="AG64" s="13">
        <v>0</v>
      </c>
      <c r="AH64" s="13">
        <v>0</v>
      </c>
      <c r="AI64" s="13">
        <v>0</v>
      </c>
      <c r="AJ64" s="13">
        <f>VLOOKUP(Table24[[#This Row],[3_Elephant_ID]],'[1]Attributes(OUTDATED)'!$A$2:$P$19,16,FALSE)</f>
        <v>1</v>
      </c>
      <c r="AK64" s="13">
        <f>VLOOKUP(Table24[[#This Row],[3_Elephant_ID]],'[1]Attributes(OUTDATED)'!$A$2:$S$19,17,FALSE)</f>
        <v>2</v>
      </c>
      <c r="AL64" s="13">
        <f>VLOOKUP(Table24[[#This Row],[3_Elephant_ID]],'[1]Attributes(OUTDATED)'!$A$2:$S$19,18,FALSE)</f>
        <v>7</v>
      </c>
    </row>
    <row r="65" spans="1:38" ht="28" x14ac:dyDescent="0.15">
      <c r="A65" s="3">
        <v>15</v>
      </c>
      <c r="B65" s="6">
        <v>2003230955</v>
      </c>
      <c r="C65" s="7">
        <v>20</v>
      </c>
      <c r="D65" s="7">
        <v>3</v>
      </c>
      <c r="E65" s="7">
        <v>2023</v>
      </c>
      <c r="F65" s="5">
        <v>45005</v>
      </c>
      <c r="G65" s="6" t="s">
        <v>8</v>
      </c>
      <c r="H65" s="17">
        <v>0.43475229357798156</v>
      </c>
      <c r="I65" s="3" t="str">
        <f>VLOOKUP(G65,'[1]Attributes(OUTDATED)'!$A$2:$C$19,2,FALSE)</f>
        <v>F</v>
      </c>
      <c r="J65" s="3" t="str">
        <f>VLOOKUP(G65,'[1]Attributes(OUTDATED)'!$A$2:$C$19,3,FALSE)</f>
        <v>A</v>
      </c>
      <c r="K65" s="3">
        <f>VLOOKUP(G65,'[1]Attributes(OUTDATED)'!$A$2:$H$19,8,FALSE)</f>
        <v>1096</v>
      </c>
      <c r="L65" s="3" t="str">
        <f>J65&amp;I65</f>
        <v>AF</v>
      </c>
      <c r="M65" s="11">
        <v>45003</v>
      </c>
      <c r="N65" s="13">
        <v>23.2</v>
      </c>
      <c r="O65" s="13">
        <v>20.8</v>
      </c>
      <c r="P65" s="13">
        <v>19.100000000000001</v>
      </c>
      <c r="Q65" s="13">
        <f>Table24[[#This Row],[2_Temp_H]]-Table24[[#This Row],[2_Temp_L]]</f>
        <v>4.0999999999999979</v>
      </c>
      <c r="R65" s="13">
        <v>36.700000000000003</v>
      </c>
      <c r="S65" s="13">
        <v>11.4</v>
      </c>
      <c r="T65" s="13">
        <v>1006.1</v>
      </c>
      <c r="U65" s="13">
        <v>1003.05</v>
      </c>
      <c r="V65" s="13">
        <v>0</v>
      </c>
      <c r="W65" s="13" t="s">
        <v>147</v>
      </c>
      <c r="X65" s="16" t="s">
        <v>141</v>
      </c>
      <c r="Y65" s="13" t="s">
        <v>26</v>
      </c>
      <c r="Z65" s="13" t="s">
        <v>142</v>
      </c>
      <c r="AA65" s="13" t="s">
        <v>145</v>
      </c>
      <c r="AB65" s="13" t="s">
        <v>26</v>
      </c>
      <c r="AC65" s="13">
        <f>VLOOKUP(Table24[[#This Row],[3_Elephant_ID]],'[1]Attributes(OUTDATED)'!$A$2:$N$19,12,FALSE)</f>
        <v>346</v>
      </c>
      <c r="AD65" s="13">
        <f>VLOOKUP(Table24[[#This Row],[3_Elephant_ID]],'[1]Attributes(OUTDATED)'!$A$2:$N$19,13,FALSE)</f>
        <v>0.28999999999999998</v>
      </c>
      <c r="AE65" s="13">
        <f>VLOOKUP(Table24[[#This Row],[3_Elephant_ID]],'[1]Attributes(OUTDATED)'!$A$2:$N$19,14,FALSE)</f>
        <v>0.28929989906834258</v>
      </c>
      <c r="AF65" s="13">
        <v>0</v>
      </c>
      <c r="AG65" s="13">
        <v>0</v>
      </c>
      <c r="AH65" s="13">
        <v>0</v>
      </c>
      <c r="AI65" s="13">
        <v>0</v>
      </c>
      <c r="AJ65" s="13">
        <f>VLOOKUP(Table24[[#This Row],[3_Elephant_ID]],'[1]Attributes(OUTDATED)'!$A$2:$P$19,16,FALSE)</f>
        <v>1</v>
      </c>
      <c r="AK65" s="13">
        <f>VLOOKUP(Table24[[#This Row],[3_Elephant_ID]],'[1]Attributes(OUTDATED)'!$A$2:$S$19,17,FALSE)</f>
        <v>11</v>
      </c>
      <c r="AL65" s="13">
        <f>VLOOKUP(Table24[[#This Row],[3_Elephant_ID]],'[1]Attributes(OUTDATED)'!$A$2:$S$19,18,FALSE)</f>
        <v>7</v>
      </c>
    </row>
    <row r="66" spans="1:38" ht="28" x14ac:dyDescent="0.15">
      <c r="A66" s="3">
        <v>16</v>
      </c>
      <c r="B66" s="6">
        <v>2003230952</v>
      </c>
      <c r="C66" s="7">
        <v>20</v>
      </c>
      <c r="D66" s="7">
        <v>3</v>
      </c>
      <c r="E66" s="7">
        <v>2023</v>
      </c>
      <c r="F66" s="5">
        <v>45005</v>
      </c>
      <c r="G66" s="6" t="s">
        <v>9</v>
      </c>
      <c r="H66" s="17">
        <v>0.38263473053892216</v>
      </c>
      <c r="I66" s="3" t="str">
        <f>VLOOKUP(G66,'[1]Attributes(OUTDATED)'!$A$2:$C$19,2,FALSE)</f>
        <v>F</v>
      </c>
      <c r="J66" s="3" t="str">
        <f>VLOOKUP(G66,'[1]Attributes(OUTDATED)'!$A$2:$C$19,3,FALSE)</f>
        <v>J</v>
      </c>
      <c r="K66" s="3">
        <f>VLOOKUP(G66,'[1]Attributes(OUTDATED)'!$A$2:$H$19,8,FALSE)</f>
        <v>820</v>
      </c>
      <c r="L66" s="3" t="str">
        <f>J66&amp;I66</f>
        <v>JF</v>
      </c>
      <c r="M66" s="11">
        <v>45003</v>
      </c>
      <c r="N66" s="13">
        <v>23.2</v>
      </c>
      <c r="O66" s="13">
        <v>20.8</v>
      </c>
      <c r="P66" s="13">
        <v>19.100000000000001</v>
      </c>
      <c r="Q66" s="13">
        <f>Table24[[#This Row],[2_Temp_H]]-Table24[[#This Row],[2_Temp_L]]</f>
        <v>4.0999999999999979</v>
      </c>
      <c r="R66" s="13">
        <v>36.700000000000003</v>
      </c>
      <c r="S66" s="13">
        <v>11.4</v>
      </c>
      <c r="T66" s="13">
        <v>1006.1</v>
      </c>
      <c r="U66" s="13">
        <v>1003.05</v>
      </c>
      <c r="V66" s="13">
        <v>0</v>
      </c>
      <c r="W66" s="13" t="s">
        <v>147</v>
      </c>
      <c r="X66" s="16" t="s">
        <v>141</v>
      </c>
      <c r="Y66" s="13" t="s">
        <v>26</v>
      </c>
      <c r="Z66" s="13" t="s">
        <v>142</v>
      </c>
      <c r="AA66" s="13" t="s">
        <v>145</v>
      </c>
      <c r="AB66" s="13" t="s">
        <v>26</v>
      </c>
      <c r="AC66" s="13">
        <f>VLOOKUP(Table24[[#This Row],[3_Elephant_ID]],'[1]Attributes(OUTDATED)'!$A$2:$N$19,12,FALSE)</f>
        <v>305</v>
      </c>
      <c r="AD66" s="13">
        <f>VLOOKUP(Table24[[#This Row],[3_Elephant_ID]],'[1]Attributes(OUTDATED)'!$A$2:$N$19,13,FALSE)</f>
        <v>0.17499999999999999</v>
      </c>
      <c r="AE66" s="13">
        <f>VLOOKUP(Table24[[#This Row],[3_Elephant_ID]],'[1]Attributes(OUTDATED)'!$A$2:$N$19,14,FALSE)</f>
        <v>0.17467336145108631</v>
      </c>
      <c r="AF66" s="13">
        <v>0</v>
      </c>
      <c r="AG66" s="13">
        <v>0</v>
      </c>
      <c r="AH66" s="13">
        <v>0</v>
      </c>
      <c r="AI66" s="13">
        <v>0</v>
      </c>
      <c r="AJ66" s="13">
        <f>VLOOKUP(Table24[[#This Row],[3_Elephant_ID]],'[1]Attributes(OUTDATED)'!$A$2:$P$19,16,FALSE)</f>
        <v>2</v>
      </c>
      <c r="AK66" s="13">
        <f>VLOOKUP(Table24[[#This Row],[3_Elephant_ID]],'[1]Attributes(OUTDATED)'!$A$2:$S$19,17,FALSE)</f>
        <v>0</v>
      </c>
      <c r="AL66" s="13">
        <f>VLOOKUP(Table24[[#This Row],[3_Elephant_ID]],'[1]Attributes(OUTDATED)'!$A$2:$S$19,18,FALSE)</f>
        <v>4</v>
      </c>
    </row>
    <row r="67" spans="1:38" ht="28" x14ac:dyDescent="0.15">
      <c r="A67" s="3">
        <v>18</v>
      </c>
      <c r="B67" s="6">
        <v>2003230741</v>
      </c>
      <c r="C67" s="7">
        <v>20</v>
      </c>
      <c r="D67" s="7">
        <v>3</v>
      </c>
      <c r="E67" s="7">
        <v>2023</v>
      </c>
      <c r="F67" s="5">
        <v>45005</v>
      </c>
      <c r="G67" s="6" t="s">
        <v>10</v>
      </c>
      <c r="H67" s="17">
        <v>0.41476102941176463</v>
      </c>
      <c r="I67" s="3" t="str">
        <f>VLOOKUP(G67,'[1]Attributes(OUTDATED)'!$A$2:$C$19,2,FALSE)</f>
        <v>F</v>
      </c>
      <c r="J67" s="3" t="str">
        <f>VLOOKUP(G67,'[1]Attributes(OUTDATED)'!$A$2:$C$19,3,FALSE)</f>
        <v>A</v>
      </c>
      <c r="K67" s="3">
        <f>VLOOKUP(G67,'[1]Attributes(OUTDATED)'!$A$2:$H$19,8,FALSE)</f>
        <v>1146</v>
      </c>
      <c r="L67" s="3" t="str">
        <f>J67&amp;I67</f>
        <v>AF</v>
      </c>
      <c r="M67" s="11">
        <v>45003</v>
      </c>
      <c r="N67" s="13">
        <v>23.2</v>
      </c>
      <c r="O67" s="13">
        <v>20.8</v>
      </c>
      <c r="P67" s="13">
        <v>19.100000000000001</v>
      </c>
      <c r="Q67" s="13">
        <f>Table24[[#This Row],[2_Temp_H]]-Table24[[#This Row],[2_Temp_L]]</f>
        <v>4.0999999999999979</v>
      </c>
      <c r="R67" s="13">
        <v>36.700000000000003</v>
      </c>
      <c r="S67" s="13">
        <v>11.4</v>
      </c>
      <c r="T67" s="13">
        <v>1006.1</v>
      </c>
      <c r="U67" s="13">
        <v>1003.05</v>
      </c>
      <c r="V67" s="13">
        <v>0</v>
      </c>
      <c r="W67" s="13" t="s">
        <v>147</v>
      </c>
      <c r="X67" s="16" t="s">
        <v>141</v>
      </c>
      <c r="Y67" s="13" t="s">
        <v>26</v>
      </c>
      <c r="Z67" s="13" t="s">
        <v>142</v>
      </c>
      <c r="AA67" s="13" t="s">
        <v>145</v>
      </c>
      <c r="AB67" s="13" t="s">
        <v>26</v>
      </c>
      <c r="AC67" s="13">
        <f>VLOOKUP(Table24[[#This Row],[3_Elephant_ID]],'[1]Attributes(OUTDATED)'!$A$2:$N$19,12,FALSE)</f>
        <v>424</v>
      </c>
      <c r="AD67" s="13">
        <f>VLOOKUP(Table24[[#This Row],[3_Elephant_ID]],'[1]Attributes(OUTDATED)'!$A$2:$N$19,13,FALSE)</f>
        <v>0.10299999999999999</v>
      </c>
      <c r="AE67" s="13">
        <f>VLOOKUP(Table24[[#This Row],[3_Elephant_ID]],'[1]Attributes(OUTDATED)'!$A$2:$N$19,14,FALSE)</f>
        <v>0.10282190709599449</v>
      </c>
      <c r="AF67" s="13">
        <v>0</v>
      </c>
      <c r="AG67" s="13">
        <v>0</v>
      </c>
      <c r="AH67" s="13">
        <v>0</v>
      </c>
      <c r="AI67" s="13">
        <v>0</v>
      </c>
      <c r="AJ67" s="13">
        <f>VLOOKUP(Table24[[#This Row],[3_Elephant_ID]],'[1]Attributes(OUTDATED)'!$A$2:$P$19,16,FALSE)</f>
        <v>1</v>
      </c>
      <c r="AK67" s="13">
        <f>VLOOKUP(Table24[[#This Row],[3_Elephant_ID]],'[1]Attributes(OUTDATED)'!$A$2:$S$19,17,FALSE)</f>
        <v>9</v>
      </c>
      <c r="AL67" s="13">
        <f>VLOOKUP(Table24[[#This Row],[3_Elephant_ID]],'[1]Attributes(OUTDATED)'!$A$2:$S$19,18,FALSE)</f>
        <v>8</v>
      </c>
    </row>
    <row r="68" spans="1:38" ht="28" x14ac:dyDescent="0.15">
      <c r="A68" s="3">
        <v>12</v>
      </c>
      <c r="B68" s="6">
        <v>2003231113</v>
      </c>
      <c r="C68" s="7">
        <v>20</v>
      </c>
      <c r="D68" s="7">
        <v>3</v>
      </c>
      <c r="E68" s="7">
        <v>2023</v>
      </c>
      <c r="F68" s="5">
        <v>45005</v>
      </c>
      <c r="G68" s="6" t="s">
        <v>6</v>
      </c>
      <c r="H68" s="17">
        <v>0.31924632352941179</v>
      </c>
      <c r="I68" s="3" t="str">
        <f>VLOOKUP(G68,'[1]Attributes(OUTDATED)'!$A$2:$C$19,2,FALSE)</f>
        <v>F</v>
      </c>
      <c r="J68" s="3" t="str">
        <f>VLOOKUP(G68,'[1]Attributes(OUTDATED)'!$A$2:$C$19,3,FALSE)</f>
        <v>A</v>
      </c>
      <c r="K68" s="3">
        <f>VLOOKUP(G68,'[1]Attributes(OUTDATED)'!$A$2:$H$19,8,FALSE)</f>
        <v>1168</v>
      </c>
      <c r="L68" s="3" t="str">
        <f>J68&amp;I68</f>
        <v>AF</v>
      </c>
      <c r="M68" s="11">
        <v>45003</v>
      </c>
      <c r="N68" s="13">
        <v>23.2</v>
      </c>
      <c r="O68" s="13">
        <v>20.8</v>
      </c>
      <c r="P68" s="13">
        <v>19.100000000000001</v>
      </c>
      <c r="Q68" s="13">
        <f>Table24[[#This Row],[2_Temp_H]]-Table24[[#This Row],[2_Temp_L]]</f>
        <v>4.0999999999999979</v>
      </c>
      <c r="R68" s="13">
        <v>36.700000000000003</v>
      </c>
      <c r="S68" s="13">
        <v>11.4</v>
      </c>
      <c r="T68" s="13">
        <v>1006.1</v>
      </c>
      <c r="U68" s="13">
        <v>1003.05</v>
      </c>
      <c r="V68" s="13">
        <v>0</v>
      </c>
      <c r="W68" s="13" t="s">
        <v>147</v>
      </c>
      <c r="X68" s="16" t="s">
        <v>141</v>
      </c>
      <c r="Y68" s="13" t="s">
        <v>26</v>
      </c>
      <c r="Z68" s="13" t="s">
        <v>142</v>
      </c>
      <c r="AA68" s="13" t="s">
        <v>145</v>
      </c>
      <c r="AB68" s="13" t="s">
        <v>26</v>
      </c>
      <c r="AC68" s="13">
        <f>VLOOKUP(Table24[[#This Row],[3_Elephant_ID]],'[1]Attributes(OUTDATED)'!$A$2:$N$19,12,FALSE)</f>
        <v>286</v>
      </c>
      <c r="AD68" s="13">
        <f>VLOOKUP(Table24[[#This Row],[3_Elephant_ID]],'[1]Attributes(OUTDATED)'!$A$2:$N$19,13,FALSE)</f>
        <v>0.26800000000000002</v>
      </c>
      <c r="AE68" s="13">
        <f>VLOOKUP(Table24[[#This Row],[3_Elephant_ID]],'[1]Attributes(OUTDATED)'!$A$2:$N$19,14,FALSE)</f>
        <v>0.26721028245328138</v>
      </c>
      <c r="AF68" s="13">
        <v>0</v>
      </c>
      <c r="AG68" s="13">
        <v>0</v>
      </c>
      <c r="AH68" s="13">
        <v>0</v>
      </c>
      <c r="AI68" s="13">
        <v>0</v>
      </c>
      <c r="AJ68" s="13">
        <f>VLOOKUP(Table24[[#This Row],[3_Elephant_ID]],'[1]Attributes(OUTDATED)'!$A$2:$P$19,16,FALSE)</f>
        <v>2</v>
      </c>
      <c r="AK68" s="13">
        <f>VLOOKUP(Table24[[#This Row],[3_Elephant_ID]],'[1]Attributes(OUTDATED)'!$A$2:$S$19,17,FALSE)</f>
        <v>12</v>
      </c>
      <c r="AL68" s="13">
        <f>VLOOKUP(Table24[[#This Row],[3_Elephant_ID]],'[1]Attributes(OUTDATED)'!$A$2:$S$19,18,FALSE)</f>
        <v>5</v>
      </c>
    </row>
    <row r="69" spans="1:38" ht="28" x14ac:dyDescent="0.15">
      <c r="A69" s="3">
        <v>14</v>
      </c>
      <c r="B69" s="6">
        <v>2003231052</v>
      </c>
      <c r="C69" s="7">
        <v>20</v>
      </c>
      <c r="D69" s="7">
        <v>3</v>
      </c>
      <c r="E69" s="7">
        <v>2023</v>
      </c>
      <c r="F69" s="5">
        <v>45005</v>
      </c>
      <c r="G69" s="6" t="s">
        <v>2</v>
      </c>
      <c r="H69" s="17">
        <v>0.32068391866913132</v>
      </c>
      <c r="I69" s="3" t="str">
        <f>VLOOKUP(G69,'[1]Attributes(OUTDATED)'!$A$2:$C$19,2,FALSE)</f>
        <v>F</v>
      </c>
      <c r="J69" s="3" t="str">
        <f>VLOOKUP(G69,'[1]Attributes(OUTDATED)'!$A$2:$C$19,3,FALSE)</f>
        <v>A</v>
      </c>
      <c r="K69" s="3">
        <f>VLOOKUP(G69,'[1]Attributes(OUTDATED)'!$A$2:$H$19,8,FALSE)</f>
        <v>892</v>
      </c>
      <c r="L69" s="3" t="str">
        <f>J69&amp;I69</f>
        <v>AF</v>
      </c>
      <c r="M69" s="11">
        <v>45003</v>
      </c>
      <c r="N69" s="13">
        <v>23.2</v>
      </c>
      <c r="O69" s="13">
        <v>20.8</v>
      </c>
      <c r="P69" s="13">
        <v>19.100000000000001</v>
      </c>
      <c r="Q69" s="13">
        <f>Table24[[#This Row],[2_Temp_H]]-Table24[[#This Row],[2_Temp_L]]</f>
        <v>4.0999999999999979</v>
      </c>
      <c r="R69" s="13">
        <v>36.700000000000003</v>
      </c>
      <c r="S69" s="13">
        <v>11.4</v>
      </c>
      <c r="T69" s="13">
        <v>1006.1</v>
      </c>
      <c r="U69" s="13">
        <v>1003.05</v>
      </c>
      <c r="V69" s="13">
        <v>0</v>
      </c>
      <c r="W69" s="13" t="s">
        <v>147</v>
      </c>
      <c r="X69" s="16" t="s">
        <v>141</v>
      </c>
      <c r="Y69" s="13" t="s">
        <v>26</v>
      </c>
      <c r="Z69" s="13" t="s">
        <v>142</v>
      </c>
      <c r="AA69" s="13" t="s">
        <v>145</v>
      </c>
      <c r="AB69" s="13" t="s">
        <v>26</v>
      </c>
      <c r="AC69" s="13">
        <f>VLOOKUP(Table24[[#This Row],[3_Elephant_ID]],'[1]Attributes(OUTDATED)'!$A$2:$N$19,12,FALSE)</f>
        <v>378</v>
      </c>
      <c r="AD69" s="13">
        <f>VLOOKUP(Table24[[#This Row],[3_Elephant_ID]],'[1]Attributes(OUTDATED)'!$A$2:$N$19,13,FALSE)</f>
        <v>8.6999999999999994E-2</v>
      </c>
      <c r="AE69" s="13">
        <f>VLOOKUP(Table24[[#This Row],[3_Elephant_ID]],'[1]Attributes(OUTDATED)'!$A$2:$N$19,14,FALSE)</f>
        <v>8.6599138783086713E-2</v>
      </c>
      <c r="AF69" s="13">
        <v>0</v>
      </c>
      <c r="AG69" s="13">
        <v>0</v>
      </c>
      <c r="AH69" s="13">
        <v>0</v>
      </c>
      <c r="AI69" s="13">
        <v>0</v>
      </c>
      <c r="AJ69" s="13">
        <f>VLOOKUP(Table24[[#This Row],[3_Elephant_ID]],'[1]Attributes(OUTDATED)'!$A$2:$P$19,16,FALSE)</f>
        <v>1</v>
      </c>
      <c r="AK69" s="13">
        <f>VLOOKUP(Table24[[#This Row],[3_Elephant_ID]],'[1]Attributes(OUTDATED)'!$A$2:$S$19,17,FALSE)</f>
        <v>4</v>
      </c>
      <c r="AL69" s="13">
        <f>VLOOKUP(Table24[[#This Row],[3_Elephant_ID]],'[1]Attributes(OUTDATED)'!$A$2:$S$19,18,FALSE)</f>
        <v>20</v>
      </c>
    </row>
    <row r="70" spans="1:38" ht="28" x14ac:dyDescent="0.15">
      <c r="A70" s="3">
        <v>13</v>
      </c>
      <c r="B70" s="6">
        <v>2003231104</v>
      </c>
      <c r="C70" s="7">
        <v>20</v>
      </c>
      <c r="D70" s="7">
        <v>3</v>
      </c>
      <c r="E70" s="7">
        <v>2023</v>
      </c>
      <c r="F70" s="5">
        <v>45005</v>
      </c>
      <c r="G70" s="6" t="s">
        <v>7</v>
      </c>
      <c r="H70" s="17">
        <v>0.42296089385474861</v>
      </c>
      <c r="I70" s="3" t="str">
        <f>VLOOKUP(G70,'[1]Attributes(OUTDATED)'!$A$2:$C$19,2,FALSE)</f>
        <v>F</v>
      </c>
      <c r="J70" s="3" t="str">
        <f>VLOOKUP(G70,'[1]Attributes(OUTDATED)'!$A$2:$C$19,3,FALSE)</f>
        <v>J</v>
      </c>
      <c r="K70" s="3">
        <f>VLOOKUP(G70,'[1]Attributes(OUTDATED)'!$A$2:$H$19,8,FALSE)</f>
        <v>711</v>
      </c>
      <c r="L70" s="3" t="str">
        <f>J70&amp;I70</f>
        <v>JF</v>
      </c>
      <c r="M70" s="11">
        <v>45003</v>
      </c>
      <c r="N70" s="13">
        <v>23.2</v>
      </c>
      <c r="O70" s="13">
        <v>20.8</v>
      </c>
      <c r="P70" s="13">
        <v>19.100000000000001</v>
      </c>
      <c r="Q70" s="13">
        <f>Table24[[#This Row],[2_Temp_H]]-Table24[[#This Row],[2_Temp_L]]</f>
        <v>4.0999999999999979</v>
      </c>
      <c r="R70" s="13">
        <v>36.700000000000003</v>
      </c>
      <c r="S70" s="13">
        <v>11.4</v>
      </c>
      <c r="T70" s="13">
        <v>1006.1</v>
      </c>
      <c r="U70" s="13">
        <v>1003.05</v>
      </c>
      <c r="V70" s="13">
        <v>0</v>
      </c>
      <c r="W70" s="13" t="s">
        <v>147</v>
      </c>
      <c r="X70" s="16" t="s">
        <v>141</v>
      </c>
      <c r="Y70" s="13" t="s">
        <v>26</v>
      </c>
      <c r="Z70" s="13" t="s">
        <v>142</v>
      </c>
      <c r="AA70" s="13" t="s">
        <v>145</v>
      </c>
      <c r="AB70" s="13" t="s">
        <v>26</v>
      </c>
      <c r="AC70" s="13">
        <f>VLOOKUP(Table24[[#This Row],[3_Elephant_ID]],'[1]Attributes(OUTDATED)'!$A$2:$N$19,12,FALSE)</f>
        <v>398</v>
      </c>
      <c r="AD70" s="13">
        <f>VLOOKUP(Table24[[#This Row],[3_Elephant_ID]],'[1]Attributes(OUTDATED)'!$A$2:$N$19,13,FALSE)</f>
        <v>0.47899999999999998</v>
      </c>
      <c r="AE70" s="13">
        <f>VLOOKUP(Table24[[#This Row],[3_Elephant_ID]],'[1]Attributes(OUTDATED)'!$A$2:$N$19,14,FALSE)</f>
        <v>0.47820662037086947</v>
      </c>
      <c r="AF70" s="13">
        <v>0</v>
      </c>
      <c r="AG70" s="13">
        <v>0</v>
      </c>
      <c r="AH70" s="13">
        <v>0</v>
      </c>
      <c r="AI70" s="13">
        <v>0</v>
      </c>
      <c r="AJ70" s="13">
        <f>VLOOKUP(Table24[[#This Row],[3_Elephant_ID]],'[1]Attributes(OUTDATED)'!$A$2:$P$19,16,FALSE)</f>
        <v>1</v>
      </c>
      <c r="AK70" s="13">
        <f>VLOOKUP(Table24[[#This Row],[3_Elephant_ID]],'[1]Attributes(OUTDATED)'!$A$2:$S$19,17,FALSE)</f>
        <v>0</v>
      </c>
      <c r="AL70" s="13">
        <f>VLOOKUP(Table24[[#This Row],[3_Elephant_ID]],'[1]Attributes(OUTDATED)'!$A$2:$S$19,18,FALSE)</f>
        <v>12</v>
      </c>
    </row>
    <row r="71" spans="1:38" ht="28" x14ac:dyDescent="0.15">
      <c r="A71" s="3">
        <v>8</v>
      </c>
      <c r="B71" s="6">
        <v>2103231233</v>
      </c>
      <c r="C71" s="7">
        <v>21</v>
      </c>
      <c r="D71" s="7">
        <v>3</v>
      </c>
      <c r="E71" s="7">
        <v>2023</v>
      </c>
      <c r="F71" s="5">
        <v>45006</v>
      </c>
      <c r="G71" s="6" t="s">
        <v>3</v>
      </c>
      <c r="H71" s="17">
        <v>0.25315476190476188</v>
      </c>
      <c r="I71" s="3" t="str">
        <f>VLOOKUP(G71,'[1]Attributes(OUTDATED)'!$A$2:$C$19,2,FALSE)</f>
        <v>M</v>
      </c>
      <c r="J71" s="3" t="str">
        <f>VLOOKUP(G71,'[1]Attributes(OUTDATED)'!$A$2:$C$19,3,FALSE)</f>
        <v>J</v>
      </c>
      <c r="K71" s="3">
        <f>VLOOKUP(G71,'[1]Attributes(OUTDATED)'!$A$2:$H$19,8,FALSE)</f>
        <v>1031</v>
      </c>
      <c r="L71" s="3" t="str">
        <f>J71&amp;I71</f>
        <v>JM</v>
      </c>
      <c r="M71" s="11">
        <v>45004</v>
      </c>
      <c r="N71" s="13">
        <v>26.8</v>
      </c>
      <c r="O71" s="13">
        <v>22.3</v>
      </c>
      <c r="P71" s="13">
        <v>15.7</v>
      </c>
      <c r="Q71" s="13">
        <f>Table24[[#This Row],[2_Temp_H]]-Table24[[#This Row],[2_Temp_L]]</f>
        <v>11.100000000000001</v>
      </c>
      <c r="R71" s="13">
        <v>18.3</v>
      </c>
      <c r="S71" s="13">
        <v>4.4000000000000004</v>
      </c>
      <c r="T71" s="13">
        <v>1008.81</v>
      </c>
      <c r="U71" s="13">
        <v>1006.1</v>
      </c>
      <c r="V71" s="13">
        <v>0</v>
      </c>
      <c r="W71" s="13" t="s">
        <v>147</v>
      </c>
      <c r="X71" s="13" t="s">
        <v>141</v>
      </c>
      <c r="Y71" s="13" t="s">
        <v>26</v>
      </c>
      <c r="Z71" s="13" t="s">
        <v>142</v>
      </c>
      <c r="AA71" s="13" t="s">
        <v>145</v>
      </c>
      <c r="AB71" s="13" t="s">
        <v>137</v>
      </c>
      <c r="AC71" s="13">
        <f>VLOOKUP(Table24[[#This Row],[3_Elephant_ID]],'[1]Attributes(OUTDATED)'!$A$2:$N$19,12,FALSE)</f>
        <v>234</v>
      </c>
      <c r="AD71" s="13">
        <f>VLOOKUP(Table24[[#This Row],[3_Elephant_ID]],'[1]Attributes(OUTDATED)'!$A$2:$N$19,13,FALSE)</f>
        <v>0.16500000000000001</v>
      </c>
      <c r="AE71" s="13">
        <f>VLOOKUP(Table24[[#This Row],[3_Elephant_ID]],'[1]Attributes(OUTDATED)'!$A$2:$N$19,14,FALSE)</f>
        <v>0.16420161303383449</v>
      </c>
      <c r="AF71" s="13">
        <v>0</v>
      </c>
      <c r="AG71" s="13">
        <v>0</v>
      </c>
      <c r="AH71" s="13">
        <v>0</v>
      </c>
      <c r="AI71" s="13">
        <v>0</v>
      </c>
      <c r="AJ71" s="13">
        <f>VLOOKUP(Table24[[#This Row],[3_Elephant_ID]],'[1]Attributes(OUTDATED)'!$A$2:$P$19,16,FALSE)</f>
        <v>1</v>
      </c>
      <c r="AK71" s="13">
        <f>VLOOKUP(Table24[[#This Row],[3_Elephant_ID]],'[1]Attributes(OUTDATED)'!$A$2:$S$19,17,FALSE)</f>
        <v>9</v>
      </c>
      <c r="AL71" s="13">
        <f>VLOOKUP(Table24[[#This Row],[3_Elephant_ID]],'[1]Attributes(OUTDATED)'!$A$2:$S$19,18,FALSE)</f>
        <v>9</v>
      </c>
    </row>
    <row r="72" spans="1:38" ht="28" x14ac:dyDescent="0.15">
      <c r="A72" s="3">
        <v>9</v>
      </c>
      <c r="B72" s="6">
        <v>2103231235</v>
      </c>
      <c r="C72" s="7">
        <v>21</v>
      </c>
      <c r="D72" s="7">
        <v>3</v>
      </c>
      <c r="E72" s="7">
        <v>2023</v>
      </c>
      <c r="F72" s="5">
        <v>45006</v>
      </c>
      <c r="G72" s="6" t="s">
        <v>2</v>
      </c>
      <c r="H72" s="17">
        <v>0.20727799227799229</v>
      </c>
      <c r="I72" s="3" t="str">
        <f>VLOOKUP(G72,'[1]Attributes(OUTDATED)'!$A$2:$C$19,2,FALSE)</f>
        <v>F</v>
      </c>
      <c r="J72" s="3" t="str">
        <f>VLOOKUP(G72,'[1]Attributes(OUTDATED)'!$A$2:$C$19,3,FALSE)</f>
        <v>A</v>
      </c>
      <c r="K72" s="3">
        <f>VLOOKUP(G72,'[1]Attributes(OUTDATED)'!$A$2:$H$19,8,FALSE)</f>
        <v>892</v>
      </c>
      <c r="L72" s="3" t="str">
        <f>J72&amp;I72</f>
        <v>AF</v>
      </c>
      <c r="M72" s="11">
        <v>45004</v>
      </c>
      <c r="N72" s="13">
        <v>26.8</v>
      </c>
      <c r="O72" s="13">
        <v>22.3</v>
      </c>
      <c r="P72" s="13">
        <v>15.7</v>
      </c>
      <c r="Q72" s="13">
        <f>Table24[[#This Row],[2_Temp_H]]-Table24[[#This Row],[2_Temp_L]]</f>
        <v>11.100000000000001</v>
      </c>
      <c r="R72" s="13">
        <v>18.3</v>
      </c>
      <c r="S72" s="13">
        <v>4.4000000000000004</v>
      </c>
      <c r="T72" s="13">
        <v>1008.81</v>
      </c>
      <c r="U72" s="13">
        <v>1006.1</v>
      </c>
      <c r="V72" s="13">
        <v>0</v>
      </c>
      <c r="W72" s="13" t="s">
        <v>147</v>
      </c>
      <c r="X72" s="13" t="s">
        <v>141</v>
      </c>
      <c r="Y72" s="13" t="s">
        <v>26</v>
      </c>
      <c r="Z72" s="13" t="s">
        <v>142</v>
      </c>
      <c r="AA72" s="13" t="s">
        <v>145</v>
      </c>
      <c r="AB72" s="13" t="s">
        <v>137</v>
      </c>
      <c r="AC72" s="13">
        <f>VLOOKUP(Table24[[#This Row],[3_Elephant_ID]],'[1]Attributes(OUTDATED)'!$A$2:$N$19,12,FALSE)</f>
        <v>378</v>
      </c>
      <c r="AD72" s="13">
        <f>VLOOKUP(Table24[[#This Row],[3_Elephant_ID]],'[1]Attributes(OUTDATED)'!$A$2:$N$19,13,FALSE)</f>
        <v>8.6999999999999994E-2</v>
      </c>
      <c r="AE72" s="13">
        <f>VLOOKUP(Table24[[#This Row],[3_Elephant_ID]],'[1]Attributes(OUTDATED)'!$A$2:$N$19,14,FALSE)</f>
        <v>8.6599138783086713E-2</v>
      </c>
      <c r="AF72" s="13">
        <v>0</v>
      </c>
      <c r="AG72" s="13">
        <v>0</v>
      </c>
      <c r="AH72" s="13">
        <v>0</v>
      </c>
      <c r="AI72" s="13">
        <v>0</v>
      </c>
      <c r="AJ72" s="13">
        <f>VLOOKUP(Table24[[#This Row],[3_Elephant_ID]],'[1]Attributes(OUTDATED)'!$A$2:$P$19,16,FALSE)</f>
        <v>1</v>
      </c>
      <c r="AK72" s="13">
        <f>VLOOKUP(Table24[[#This Row],[3_Elephant_ID]],'[1]Attributes(OUTDATED)'!$A$2:$S$19,17,FALSE)</f>
        <v>4</v>
      </c>
      <c r="AL72" s="13">
        <f>VLOOKUP(Table24[[#This Row],[3_Elephant_ID]],'[1]Attributes(OUTDATED)'!$A$2:$S$19,18,FALSE)</f>
        <v>20</v>
      </c>
    </row>
    <row r="73" spans="1:38" ht="28" x14ac:dyDescent="0.15">
      <c r="A73" s="3">
        <v>6</v>
      </c>
      <c r="B73" s="6">
        <v>2703231232</v>
      </c>
      <c r="C73" s="7">
        <v>27</v>
      </c>
      <c r="D73" s="7">
        <v>3</v>
      </c>
      <c r="E73" s="7">
        <v>2023</v>
      </c>
      <c r="F73" s="5">
        <v>45012</v>
      </c>
      <c r="G73" s="6" t="s">
        <v>1</v>
      </c>
      <c r="H73" s="17">
        <v>0.29677543186180422</v>
      </c>
      <c r="I73" s="3" t="str">
        <f>VLOOKUP(G73,'[1]Attributes(OUTDATED)'!$A$2:$C$19,2,FALSE)</f>
        <v>F</v>
      </c>
      <c r="J73" s="3" t="str">
        <f>VLOOKUP(G73,'[1]Attributes(OUTDATED)'!$A$2:$C$19,3,FALSE)</f>
        <v>A</v>
      </c>
      <c r="K73" s="3">
        <f>VLOOKUP(G73,'[1]Attributes(OUTDATED)'!$A$2:$H$19,8,FALSE)</f>
        <v>929</v>
      </c>
      <c r="L73" s="3" t="str">
        <f>J73&amp;I73</f>
        <v>AF</v>
      </c>
      <c r="M73" s="11">
        <v>45010</v>
      </c>
      <c r="N73" s="13">
        <v>30.4</v>
      </c>
      <c r="O73" s="13">
        <v>24.4</v>
      </c>
      <c r="P73" s="13">
        <v>16.3</v>
      </c>
      <c r="Q73" s="13">
        <f>Table24[[#This Row],[2_Temp_H]]-Table24[[#This Row],[2_Temp_L]]</f>
        <v>14.099999999999998</v>
      </c>
      <c r="R73" s="13">
        <v>48.9</v>
      </c>
      <c r="S73" s="13">
        <v>13.8</v>
      </c>
      <c r="T73" s="13">
        <v>1009.82</v>
      </c>
      <c r="U73" s="13">
        <v>1005.08</v>
      </c>
      <c r="V73" s="13">
        <v>0</v>
      </c>
      <c r="W73" s="13" t="s">
        <v>147</v>
      </c>
      <c r="X73" s="16" t="s">
        <v>171</v>
      </c>
      <c r="Y73" s="13" t="s">
        <v>137</v>
      </c>
      <c r="Z73" s="13" t="s">
        <v>142</v>
      </c>
      <c r="AA73" s="13" t="s">
        <v>145</v>
      </c>
      <c r="AB73" s="13" t="s">
        <v>137</v>
      </c>
      <c r="AC73" s="13">
        <f>VLOOKUP(Table24[[#This Row],[3_Elephant_ID]],'[1]Attributes(OUTDATED)'!$A$2:$N$19,12,FALSE)</f>
        <v>321</v>
      </c>
      <c r="AD73" s="13">
        <f>VLOOKUP(Table24[[#This Row],[3_Elephant_ID]],'[1]Attributes(OUTDATED)'!$A$2:$N$19,13,FALSE)</f>
        <v>0.17599999999999999</v>
      </c>
      <c r="AE73" s="13">
        <f>VLOOKUP(Table24[[#This Row],[3_Elephant_ID]],'[1]Attributes(OUTDATED)'!$A$2:$N$19,14,FALSE)</f>
        <v>0.17530262753188491</v>
      </c>
      <c r="AF73" s="13">
        <v>1</v>
      </c>
      <c r="AG73" s="13">
        <v>0</v>
      </c>
      <c r="AH73" s="13">
        <v>0</v>
      </c>
      <c r="AI73" s="13">
        <v>0</v>
      </c>
      <c r="AJ73" s="13">
        <f>VLOOKUP(Table24[[#This Row],[3_Elephant_ID]],'[1]Attributes(OUTDATED)'!$A$2:$P$19,16,FALSE)</f>
        <v>1</v>
      </c>
      <c r="AK73" s="13">
        <f>VLOOKUP(Table24[[#This Row],[3_Elephant_ID]],'[1]Attributes(OUTDATED)'!$A$2:$S$19,17,FALSE)</f>
        <v>6</v>
      </c>
      <c r="AL73" s="13">
        <f>VLOOKUP(Table24[[#This Row],[3_Elephant_ID]],'[1]Attributes(OUTDATED)'!$A$2:$S$19,18,FALSE)</f>
        <v>8</v>
      </c>
    </row>
    <row r="74" spans="1:38" ht="28" x14ac:dyDescent="0.15">
      <c r="A74" s="3">
        <v>7</v>
      </c>
      <c r="B74" s="6">
        <v>2703231043</v>
      </c>
      <c r="C74" s="7">
        <v>27</v>
      </c>
      <c r="D74" s="7">
        <v>3</v>
      </c>
      <c r="E74" s="7">
        <v>2023</v>
      </c>
      <c r="F74" s="5">
        <v>45012</v>
      </c>
      <c r="G74" s="6" t="s">
        <v>2</v>
      </c>
      <c r="H74" s="17">
        <v>0.53133843212237097</v>
      </c>
      <c r="I74" s="3" t="str">
        <f>VLOOKUP(G74,'[1]Attributes(OUTDATED)'!$A$2:$C$19,2,FALSE)</f>
        <v>F</v>
      </c>
      <c r="J74" s="3" t="str">
        <f>VLOOKUP(G74,'[1]Attributes(OUTDATED)'!$A$2:$C$19,3,FALSE)</f>
        <v>A</v>
      </c>
      <c r="K74" s="3">
        <f>VLOOKUP(G74,'[1]Attributes(OUTDATED)'!$A$2:$H$19,8,FALSE)</f>
        <v>892</v>
      </c>
      <c r="L74" s="3" t="str">
        <f>J74&amp;I74</f>
        <v>AF</v>
      </c>
      <c r="M74" s="11">
        <v>45010</v>
      </c>
      <c r="N74" s="13">
        <v>30.4</v>
      </c>
      <c r="O74" s="13">
        <v>24.4</v>
      </c>
      <c r="P74" s="13">
        <v>16.3</v>
      </c>
      <c r="Q74" s="13">
        <f>Table24[[#This Row],[2_Temp_H]]-Table24[[#This Row],[2_Temp_L]]</f>
        <v>14.099999999999998</v>
      </c>
      <c r="R74" s="13">
        <v>48.9</v>
      </c>
      <c r="S74" s="13">
        <v>13.8</v>
      </c>
      <c r="T74" s="13">
        <v>1009.82</v>
      </c>
      <c r="U74" s="13">
        <v>1005.08</v>
      </c>
      <c r="V74" s="13">
        <v>0</v>
      </c>
      <c r="W74" s="13" t="s">
        <v>147</v>
      </c>
      <c r="X74" s="16" t="s">
        <v>171</v>
      </c>
      <c r="Y74" s="13" t="s">
        <v>137</v>
      </c>
      <c r="Z74" s="13" t="s">
        <v>142</v>
      </c>
      <c r="AA74" s="13" t="s">
        <v>145</v>
      </c>
      <c r="AB74" s="13" t="s">
        <v>137</v>
      </c>
      <c r="AC74" s="13">
        <f>VLOOKUP(Table24[[#This Row],[3_Elephant_ID]],'[1]Attributes(OUTDATED)'!$A$2:$N$19,12,FALSE)</f>
        <v>378</v>
      </c>
      <c r="AD74" s="13">
        <f>VLOOKUP(Table24[[#This Row],[3_Elephant_ID]],'[1]Attributes(OUTDATED)'!$A$2:$N$19,13,FALSE)</f>
        <v>8.6999999999999994E-2</v>
      </c>
      <c r="AE74" s="13">
        <f>VLOOKUP(Table24[[#This Row],[3_Elephant_ID]],'[1]Attributes(OUTDATED)'!$A$2:$N$19,14,FALSE)</f>
        <v>8.6599138783086713E-2</v>
      </c>
      <c r="AF74" s="13">
        <v>1</v>
      </c>
      <c r="AG74" s="13">
        <v>0</v>
      </c>
      <c r="AH74" s="13">
        <v>0</v>
      </c>
      <c r="AI74" s="13">
        <v>0</v>
      </c>
      <c r="AJ74" s="13">
        <f>VLOOKUP(Table24[[#This Row],[3_Elephant_ID]],'[1]Attributes(OUTDATED)'!$A$2:$P$19,16,FALSE)</f>
        <v>1</v>
      </c>
      <c r="AK74" s="13">
        <f>VLOOKUP(Table24[[#This Row],[3_Elephant_ID]],'[1]Attributes(OUTDATED)'!$A$2:$S$19,17,FALSE)</f>
        <v>4</v>
      </c>
      <c r="AL74" s="13">
        <f>VLOOKUP(Table24[[#This Row],[3_Elephant_ID]],'[1]Attributes(OUTDATED)'!$A$2:$S$19,18,FALSE)</f>
        <v>20</v>
      </c>
    </row>
    <row r="75" spans="1:38" ht="28" x14ac:dyDescent="0.15">
      <c r="A75" s="3">
        <v>5</v>
      </c>
      <c r="B75" s="6" t="s">
        <v>27</v>
      </c>
      <c r="C75" s="7">
        <v>28</v>
      </c>
      <c r="D75" s="7">
        <v>3</v>
      </c>
      <c r="E75" s="7">
        <v>2023</v>
      </c>
      <c r="F75" s="5">
        <v>45013</v>
      </c>
      <c r="G75" s="6" t="s">
        <v>2</v>
      </c>
      <c r="H75" s="17">
        <v>0.38357142857142862</v>
      </c>
      <c r="I75" s="3" t="str">
        <f>VLOOKUP(G75,'[1]Attributes(OUTDATED)'!$A$2:$C$19,2,FALSE)</f>
        <v>F</v>
      </c>
      <c r="J75" s="3" t="str">
        <f>VLOOKUP(G75,'[1]Attributes(OUTDATED)'!$A$2:$C$19,3,FALSE)</f>
        <v>A</v>
      </c>
      <c r="K75" s="3">
        <f>VLOOKUP(G75,'[1]Attributes(OUTDATED)'!$A$2:$H$19,8,FALSE)</f>
        <v>892</v>
      </c>
      <c r="L75" s="3" t="str">
        <f>J75&amp;I75</f>
        <v>AF</v>
      </c>
      <c r="M75" s="11">
        <v>45011</v>
      </c>
      <c r="N75" s="13">
        <v>19.899999999999999</v>
      </c>
      <c r="O75" s="13">
        <v>15.2</v>
      </c>
      <c r="P75" s="13">
        <v>10.8</v>
      </c>
      <c r="Q75" s="13">
        <f>Table24[[#This Row],[2_Temp_H]]-Table24[[#This Row],[2_Temp_L]]</f>
        <v>9.0999999999999979</v>
      </c>
      <c r="R75" s="13">
        <v>26.9</v>
      </c>
      <c r="S75" s="13">
        <v>6.7</v>
      </c>
      <c r="T75" s="13">
        <v>1017.95</v>
      </c>
      <c r="U75" s="13">
        <v>1008.81</v>
      </c>
      <c r="V75" s="13">
        <v>1.78</v>
      </c>
      <c r="W75" s="13" t="s">
        <v>147</v>
      </c>
      <c r="X75" s="16" t="s">
        <v>171</v>
      </c>
      <c r="Y75" s="13" t="s">
        <v>137</v>
      </c>
      <c r="Z75" s="13" t="s">
        <v>142</v>
      </c>
      <c r="AA75" s="13" t="s">
        <v>145</v>
      </c>
      <c r="AB75" s="13" t="s">
        <v>137</v>
      </c>
      <c r="AC75" s="13">
        <f>VLOOKUP(Table24[[#This Row],[3_Elephant_ID]],'[1]Attributes(OUTDATED)'!$A$2:$N$19,12,FALSE)</f>
        <v>378</v>
      </c>
      <c r="AD75" s="13">
        <f>VLOOKUP(Table24[[#This Row],[3_Elephant_ID]],'[1]Attributes(OUTDATED)'!$A$2:$N$19,13,FALSE)</f>
        <v>8.6999999999999994E-2</v>
      </c>
      <c r="AE75" s="13">
        <f>VLOOKUP(Table24[[#This Row],[3_Elephant_ID]],'[1]Attributes(OUTDATED)'!$A$2:$N$19,14,FALSE)</f>
        <v>8.6599138783086713E-2</v>
      </c>
      <c r="AF75" s="13">
        <v>0</v>
      </c>
      <c r="AG75" s="13">
        <v>0</v>
      </c>
      <c r="AH75" s="13">
        <v>0</v>
      </c>
      <c r="AI75" s="13">
        <v>0</v>
      </c>
      <c r="AJ75" s="13">
        <f>VLOOKUP(Table24[[#This Row],[3_Elephant_ID]],'[1]Attributes(OUTDATED)'!$A$2:$P$19,16,FALSE)</f>
        <v>1</v>
      </c>
      <c r="AK75" s="13">
        <f>VLOOKUP(Table24[[#This Row],[3_Elephant_ID]],'[1]Attributes(OUTDATED)'!$A$2:$S$19,17,FALSE)</f>
        <v>4</v>
      </c>
      <c r="AL75" s="13">
        <f>VLOOKUP(Table24[[#This Row],[3_Elephant_ID]],'[1]Attributes(OUTDATED)'!$A$2:$S$19,18,FALSE)</f>
        <v>20</v>
      </c>
    </row>
    <row r="76" spans="1:38" ht="28" x14ac:dyDescent="0.15">
      <c r="A76" s="3">
        <v>4</v>
      </c>
      <c r="B76" s="6" t="s">
        <v>28</v>
      </c>
      <c r="C76" s="7">
        <v>28</v>
      </c>
      <c r="D76" s="7">
        <v>3</v>
      </c>
      <c r="E76" s="7">
        <v>2023</v>
      </c>
      <c r="F76" s="5">
        <v>45013</v>
      </c>
      <c r="G76" s="6" t="s">
        <v>16</v>
      </c>
      <c r="H76" s="17">
        <v>0.31129798903107869</v>
      </c>
      <c r="I76" s="3" t="str">
        <f>VLOOKUP(G76,'[1]Attributes(OUTDATED)'!$A$2:$C$19,2,FALSE)</f>
        <v>F</v>
      </c>
      <c r="J76" s="3" t="str">
        <f>VLOOKUP(G76,'[1]Attributes(OUTDATED)'!$A$2:$C$19,3,FALSE)</f>
        <v>A</v>
      </c>
      <c r="K76" s="3">
        <f>VLOOKUP(G76,'[1]Attributes(OUTDATED)'!$A$2:$H$19,8,FALSE)</f>
        <v>1346</v>
      </c>
      <c r="L76" s="3" t="str">
        <f>J76&amp;I76</f>
        <v>AF</v>
      </c>
      <c r="M76" s="11">
        <v>45011</v>
      </c>
      <c r="N76" s="13">
        <v>19.899999999999999</v>
      </c>
      <c r="O76" s="13">
        <v>15.2</v>
      </c>
      <c r="P76" s="13">
        <v>10.8</v>
      </c>
      <c r="Q76" s="13">
        <f>Table24[[#This Row],[2_Temp_H]]-Table24[[#This Row],[2_Temp_L]]</f>
        <v>9.0999999999999979</v>
      </c>
      <c r="R76" s="13">
        <v>26.9</v>
      </c>
      <c r="S76" s="13">
        <v>6.7</v>
      </c>
      <c r="T76" s="13">
        <v>1017.95</v>
      </c>
      <c r="U76" s="13">
        <v>1008.81</v>
      </c>
      <c r="V76" s="13">
        <v>1.78</v>
      </c>
      <c r="W76" s="13" t="s">
        <v>147</v>
      </c>
      <c r="X76" s="16" t="s">
        <v>171</v>
      </c>
      <c r="Y76" s="13" t="s">
        <v>137</v>
      </c>
      <c r="Z76" s="13" t="s">
        <v>142</v>
      </c>
      <c r="AA76" s="13" t="s">
        <v>145</v>
      </c>
      <c r="AB76" s="13" t="s">
        <v>137</v>
      </c>
      <c r="AC76" s="13">
        <f>VLOOKUP(Table24[[#This Row],[3_Elephant_ID]],'[1]Attributes(OUTDATED)'!$A$2:$N$19,12,FALSE)</f>
        <v>474</v>
      </c>
      <c r="AD76" s="13">
        <f>VLOOKUP(Table24[[#This Row],[3_Elephant_ID]],'[1]Attributes(OUTDATED)'!$A$2:$N$19,13,FALSE)</f>
        <v>0.121</v>
      </c>
      <c r="AE76" s="13">
        <f>VLOOKUP(Table24[[#This Row],[3_Elephant_ID]],'[1]Attributes(OUTDATED)'!$A$2:$N$19,14,FALSE)</f>
        <v>0.1206993463154281</v>
      </c>
      <c r="AF76" s="13">
        <v>0</v>
      </c>
      <c r="AG76" s="13">
        <v>0</v>
      </c>
      <c r="AH76" s="13">
        <v>0</v>
      </c>
      <c r="AI76" s="13">
        <v>0</v>
      </c>
      <c r="AJ76" s="13">
        <f>VLOOKUP(Table24[[#This Row],[3_Elephant_ID]],'[1]Attributes(OUTDATED)'!$A$2:$P$19,16,FALSE)</f>
        <v>1</v>
      </c>
      <c r="AK76" s="13">
        <f>VLOOKUP(Table24[[#This Row],[3_Elephant_ID]],'[1]Attributes(OUTDATED)'!$A$2:$S$19,17,FALSE)</f>
        <v>16</v>
      </c>
      <c r="AL76" s="13">
        <f>VLOOKUP(Table24[[#This Row],[3_Elephant_ID]],'[1]Attributes(OUTDATED)'!$A$2:$S$19,18,FALSE)</f>
        <v>1</v>
      </c>
    </row>
    <row r="77" spans="1:38" ht="28" x14ac:dyDescent="0.15">
      <c r="A77" s="3">
        <v>1</v>
      </c>
      <c r="B77" s="7">
        <v>3103231551</v>
      </c>
      <c r="C77" s="7">
        <v>31</v>
      </c>
      <c r="D77" s="7">
        <v>3</v>
      </c>
      <c r="E77" s="7">
        <v>2023</v>
      </c>
      <c r="F77" s="5">
        <v>45016</v>
      </c>
      <c r="G77" s="6" t="s">
        <v>31</v>
      </c>
      <c r="H77" s="17">
        <v>0.25911153119092623</v>
      </c>
      <c r="I77" s="3" t="str">
        <f>VLOOKUP(G77,'[1]Attributes(OUTDATED)'!$A$2:$C$19,2,FALSE)</f>
        <v>F</v>
      </c>
      <c r="J77" s="3" t="str">
        <f>VLOOKUP(G77,'[1]Attributes(OUTDATED)'!$A$2:$C$19,3,FALSE)</f>
        <v>J</v>
      </c>
      <c r="K77" s="3">
        <f>VLOOKUP(G77,'[1]Attributes(OUTDATED)'!$A$2:$H$19,8,FALSE)</f>
        <v>765</v>
      </c>
      <c r="L77" s="3" t="str">
        <f>J77&amp;I77</f>
        <v>JF</v>
      </c>
      <c r="M77" s="11">
        <v>45014</v>
      </c>
      <c r="N77" s="13">
        <v>21.7</v>
      </c>
      <c r="O77" s="13">
        <v>14.7</v>
      </c>
      <c r="P77" s="13">
        <v>6.7</v>
      </c>
      <c r="Q77" s="13">
        <f>Table24[[#This Row],[2_Temp_H]]-Table24[[#This Row],[2_Temp_L]]</f>
        <v>15</v>
      </c>
      <c r="R77" s="13">
        <v>29.8</v>
      </c>
      <c r="S77" s="13">
        <v>4.9000000000000004</v>
      </c>
      <c r="T77" s="13">
        <v>1011.85</v>
      </c>
      <c r="U77" s="13">
        <v>1006.77</v>
      </c>
      <c r="V77" s="13">
        <v>0</v>
      </c>
      <c r="W77" s="13" t="s">
        <v>147</v>
      </c>
      <c r="X77" s="13" t="s">
        <v>139</v>
      </c>
      <c r="Y77" s="13" t="s">
        <v>26</v>
      </c>
      <c r="Z77" s="13" t="s">
        <v>142</v>
      </c>
      <c r="AA77" s="13" t="s">
        <v>145</v>
      </c>
      <c r="AB77" s="13" t="s">
        <v>137</v>
      </c>
      <c r="AC77" s="13">
        <f>VLOOKUP(Table24[[#This Row],[3_Elephant_ID]],'[1]Attributes(OUTDATED)'!$A$2:$N$19,12,FALSE)</f>
        <v>258</v>
      </c>
      <c r="AD77" s="13">
        <f>VLOOKUP(Table24[[#This Row],[3_Elephant_ID]],'[1]Attributes(OUTDATED)'!$A$2:$N$19,13,FALSE)</f>
        <v>0.25700000000000001</v>
      </c>
      <c r="AE77" s="13">
        <f>VLOOKUP(Table24[[#This Row],[3_Elephant_ID]],'[1]Attributes(OUTDATED)'!$A$2:$N$19,14,FALSE)</f>
        <v>0.25665547185998128</v>
      </c>
      <c r="AF77" s="13">
        <v>0</v>
      </c>
      <c r="AG77" s="13">
        <v>0</v>
      </c>
      <c r="AH77" s="13">
        <v>0</v>
      </c>
      <c r="AI77" s="13">
        <v>0</v>
      </c>
      <c r="AJ77" s="13">
        <f>VLOOKUP(Table24[[#This Row],[3_Elephant_ID]],'[1]Attributes(OUTDATED)'!$A$2:$P$19,16,FALSE)</f>
        <v>2</v>
      </c>
      <c r="AK77" s="13">
        <f>VLOOKUP(Table24[[#This Row],[3_Elephant_ID]],'[1]Attributes(OUTDATED)'!$A$2:$S$19,17,FALSE)</f>
        <v>1</v>
      </c>
      <c r="AL77" s="13">
        <f>VLOOKUP(Table24[[#This Row],[3_Elephant_ID]],'[1]Attributes(OUTDATED)'!$A$2:$S$19,18,FALSE)</f>
        <v>10</v>
      </c>
    </row>
    <row r="78" spans="1:38" ht="28" x14ac:dyDescent="0.15">
      <c r="A78" s="3">
        <v>2</v>
      </c>
      <c r="B78" s="7">
        <v>3103231223</v>
      </c>
      <c r="C78" s="7">
        <v>31</v>
      </c>
      <c r="D78" s="7">
        <v>3</v>
      </c>
      <c r="E78" s="7">
        <v>2023</v>
      </c>
      <c r="F78" s="5">
        <v>45016</v>
      </c>
      <c r="G78" s="6" t="s">
        <v>14</v>
      </c>
      <c r="H78" s="17">
        <v>0.48263059701492522</v>
      </c>
      <c r="I78" s="3" t="str">
        <f>VLOOKUP(G78,'[1]Attributes(OUTDATED)'!$A$2:$C$19,2,FALSE)</f>
        <v>F</v>
      </c>
      <c r="J78" s="3" t="str">
        <f>VLOOKUP(G78,'[1]Attributes(OUTDATED)'!$A$2:$C$19,3,FALSE)</f>
        <v>J</v>
      </c>
      <c r="K78" s="3">
        <f>VLOOKUP(G78,'[1]Attributes(OUTDATED)'!$A$2:$H$19,8,FALSE)</f>
        <v>879</v>
      </c>
      <c r="L78" s="3" t="str">
        <f>J78&amp;I78</f>
        <v>JF</v>
      </c>
      <c r="M78" s="11">
        <v>45014</v>
      </c>
      <c r="N78" s="13">
        <v>21.7</v>
      </c>
      <c r="O78" s="13">
        <v>14.7</v>
      </c>
      <c r="P78" s="13">
        <v>6.7</v>
      </c>
      <c r="Q78" s="13">
        <f>Table24[[#This Row],[2_Temp_H]]-Table24[[#This Row],[2_Temp_L]]</f>
        <v>15</v>
      </c>
      <c r="R78" s="13">
        <v>29.8</v>
      </c>
      <c r="S78" s="13">
        <v>4.9000000000000004</v>
      </c>
      <c r="T78" s="13">
        <v>1011.85</v>
      </c>
      <c r="U78" s="13">
        <v>1006.77</v>
      </c>
      <c r="V78" s="13">
        <v>0</v>
      </c>
      <c r="W78" s="13" t="s">
        <v>147</v>
      </c>
      <c r="X78" s="13" t="s">
        <v>139</v>
      </c>
      <c r="Y78" s="13" t="s">
        <v>26</v>
      </c>
      <c r="Z78" s="13" t="s">
        <v>142</v>
      </c>
      <c r="AA78" s="13" t="s">
        <v>145</v>
      </c>
      <c r="AB78" s="13" t="s">
        <v>137</v>
      </c>
      <c r="AC78" s="13">
        <f>VLOOKUP(Table24[[#This Row],[3_Elephant_ID]],'[1]Attributes(OUTDATED)'!$A$2:$N$19,12,FALSE)</f>
        <v>269</v>
      </c>
      <c r="AD78" s="13">
        <f>VLOOKUP(Table24[[#This Row],[3_Elephant_ID]],'[1]Attributes(OUTDATED)'!$A$2:$N$19,13,FALSE)</f>
        <v>0.65800000000000003</v>
      </c>
      <c r="AE78" s="13">
        <f>VLOOKUP(Table24[[#This Row],[3_Elephant_ID]],'[1]Attributes(OUTDATED)'!$A$2:$N$19,14,FALSE)</f>
        <v>0.65767064449315993</v>
      </c>
      <c r="AF78" s="13">
        <v>0</v>
      </c>
      <c r="AG78" s="13">
        <v>0</v>
      </c>
      <c r="AH78" s="13">
        <v>0</v>
      </c>
      <c r="AI78" s="13">
        <v>0</v>
      </c>
      <c r="AJ78" s="13">
        <f>VLOOKUP(Table24[[#This Row],[3_Elephant_ID]],'[1]Attributes(OUTDATED)'!$A$2:$P$19,16,FALSE)</f>
        <v>1</v>
      </c>
      <c r="AK78" s="13">
        <f>VLOOKUP(Table24[[#This Row],[3_Elephant_ID]],'[1]Attributes(OUTDATED)'!$A$2:$S$19,17,FALSE)</f>
        <v>3</v>
      </c>
      <c r="AL78" s="13">
        <f>VLOOKUP(Table24[[#This Row],[3_Elephant_ID]],'[1]Attributes(OUTDATED)'!$A$2:$S$19,18,FALSE)</f>
        <v>9</v>
      </c>
    </row>
    <row r="79" spans="1:38" ht="28" x14ac:dyDescent="0.15">
      <c r="A79" s="3">
        <v>3</v>
      </c>
      <c r="B79" s="6" t="s">
        <v>30</v>
      </c>
      <c r="C79" s="7">
        <v>31</v>
      </c>
      <c r="D79" s="7">
        <v>3</v>
      </c>
      <c r="E79" s="7">
        <v>2023</v>
      </c>
      <c r="F79" s="5">
        <v>45016</v>
      </c>
      <c r="G79" s="6" t="s">
        <v>13</v>
      </c>
      <c r="H79" s="17">
        <v>0.26043643263757121</v>
      </c>
      <c r="I79" s="3" t="str">
        <f>VLOOKUP(G79,'[1]Attributes(OUTDATED)'!$A$2:$C$19,2,FALSE)</f>
        <v>F</v>
      </c>
      <c r="J79" s="3" t="str">
        <f>VLOOKUP(G79,'[1]Attributes(OUTDATED)'!$A$2:$C$19,3,FALSE)</f>
        <v>A</v>
      </c>
      <c r="K79" s="3">
        <f>VLOOKUP(G79,'[1]Attributes(OUTDATED)'!$A$2:$H$19,8,FALSE)</f>
        <v>963</v>
      </c>
      <c r="L79" s="3" t="str">
        <f>J79&amp;I79</f>
        <v>AF</v>
      </c>
      <c r="M79" s="11">
        <v>45014</v>
      </c>
      <c r="N79" s="13">
        <v>21.7</v>
      </c>
      <c r="O79" s="13">
        <v>14.7</v>
      </c>
      <c r="P79" s="13">
        <v>6.7</v>
      </c>
      <c r="Q79" s="13">
        <f>Table24[[#This Row],[2_Temp_H]]-Table24[[#This Row],[2_Temp_L]]</f>
        <v>15</v>
      </c>
      <c r="R79" s="13">
        <v>29.8</v>
      </c>
      <c r="S79" s="13">
        <v>4.9000000000000004</v>
      </c>
      <c r="T79" s="13">
        <v>1011.85</v>
      </c>
      <c r="U79" s="13">
        <v>1006.77</v>
      </c>
      <c r="V79" s="13">
        <v>0</v>
      </c>
      <c r="W79" s="13" t="s">
        <v>147</v>
      </c>
      <c r="X79" s="13" t="s">
        <v>139</v>
      </c>
      <c r="Y79" s="13" t="s">
        <v>26</v>
      </c>
      <c r="Z79" s="13" t="s">
        <v>142</v>
      </c>
      <c r="AA79" s="13" t="s">
        <v>145</v>
      </c>
      <c r="AB79" s="13" t="s">
        <v>137</v>
      </c>
      <c r="AC79" s="13">
        <f>VLOOKUP(Table24[[#This Row],[3_Elephant_ID]],'[1]Attributes(OUTDATED)'!$A$2:$N$19,12,FALSE)</f>
        <v>289</v>
      </c>
      <c r="AD79" s="13">
        <f>VLOOKUP(Table24[[#This Row],[3_Elephant_ID]],'[1]Attributes(OUTDATED)'!$A$2:$N$19,13,FALSE)</f>
        <v>0.32400000000000001</v>
      </c>
      <c r="AE79" s="13">
        <f>VLOOKUP(Table24[[#This Row],[3_Elephant_ID]],'[1]Attributes(OUTDATED)'!$A$2:$N$19,14,FALSE)</f>
        <v>0.32380809109629533</v>
      </c>
      <c r="AF79" s="13">
        <v>0</v>
      </c>
      <c r="AG79" s="13">
        <v>0</v>
      </c>
      <c r="AH79" s="13">
        <v>0</v>
      </c>
      <c r="AI79" s="13">
        <v>0</v>
      </c>
      <c r="AJ79" s="13">
        <f>VLOOKUP(Table24[[#This Row],[3_Elephant_ID]],'[1]Attributes(OUTDATED)'!$A$2:$P$19,16,FALSE)</f>
        <v>2</v>
      </c>
      <c r="AK79" s="13">
        <f>VLOOKUP(Table24[[#This Row],[3_Elephant_ID]],'[1]Attributes(OUTDATED)'!$A$2:$S$19,17,FALSE)</f>
        <v>9</v>
      </c>
      <c r="AL79" s="13">
        <f>VLOOKUP(Table24[[#This Row],[3_Elephant_ID]],'[1]Attributes(OUTDATED)'!$A$2:$S$19,18,FALSE)</f>
        <v>9</v>
      </c>
    </row>
    <row r="80" spans="1:38" ht="28" x14ac:dyDescent="0.15">
      <c r="A80" s="3">
        <v>193</v>
      </c>
      <c r="B80" s="6">
        <v>1705231500</v>
      </c>
      <c r="C80" s="7">
        <v>17</v>
      </c>
      <c r="D80" s="7">
        <v>5</v>
      </c>
      <c r="E80" s="7">
        <v>2023</v>
      </c>
      <c r="F80" s="5">
        <v>45063</v>
      </c>
      <c r="G80" s="6" t="s">
        <v>6</v>
      </c>
      <c r="H80" s="17">
        <v>0.42821292775665398</v>
      </c>
      <c r="I80" s="3" t="str">
        <f>VLOOKUP(G80,'[1]Attributes(OUTDATED)'!$A$2:$C$19,2,FALSE)</f>
        <v>F</v>
      </c>
      <c r="J80" s="3" t="str">
        <f>VLOOKUP(G80,'[1]Attributes(OUTDATED)'!$A$2:$C$19,3,FALSE)</f>
        <v>A</v>
      </c>
      <c r="K80" s="3">
        <f>VLOOKUP(G80,'[1]Attributes(OUTDATED)'!$A$2:$H$19,8,FALSE)</f>
        <v>1168</v>
      </c>
      <c r="L80" s="3" t="str">
        <f>J80&amp;I80</f>
        <v>AF</v>
      </c>
      <c r="M80" s="11">
        <v>45061</v>
      </c>
      <c r="N80" s="13">
        <v>13.8</v>
      </c>
      <c r="O80" s="13">
        <v>9.5</v>
      </c>
      <c r="P80" s="13">
        <v>7.3</v>
      </c>
      <c r="Q80" s="13">
        <f>Table24[[#This Row],[2_Temp_H]]-Table24[[#This Row],[2_Temp_L]]</f>
        <v>6.5000000000000009</v>
      </c>
      <c r="R80" s="13">
        <v>15.4</v>
      </c>
      <c r="S80" s="13">
        <v>2.8</v>
      </c>
      <c r="T80" s="13">
        <v>1021</v>
      </c>
      <c r="U80" s="13">
        <v>1016.93</v>
      </c>
      <c r="V80" s="13">
        <v>0</v>
      </c>
      <c r="W80" s="13" t="s">
        <v>147</v>
      </c>
      <c r="X80" s="16" t="s">
        <v>171</v>
      </c>
      <c r="Y80" s="13" t="s">
        <v>137</v>
      </c>
      <c r="Z80" s="13" t="s">
        <v>144</v>
      </c>
      <c r="AA80" s="13" t="s">
        <v>146</v>
      </c>
      <c r="AB80" s="13" t="s">
        <v>137</v>
      </c>
      <c r="AC80" s="13">
        <f>VLOOKUP(Table24[[#This Row],[3_Elephant_ID]],'[1]Attributes(OUTDATED)'!$A$2:$N$19,12,FALSE)</f>
        <v>286</v>
      </c>
      <c r="AD80" s="13">
        <f>VLOOKUP(Table24[[#This Row],[3_Elephant_ID]],'[1]Attributes(OUTDATED)'!$A$2:$N$19,13,FALSE)</f>
        <v>0.26800000000000002</v>
      </c>
      <c r="AE80" s="13">
        <f>VLOOKUP(Table24[[#This Row],[3_Elephant_ID]],'[1]Attributes(OUTDATED)'!$A$2:$N$19,14,FALSE)</f>
        <v>0.26721028245328138</v>
      </c>
      <c r="AF80" s="13">
        <v>0</v>
      </c>
      <c r="AG80" s="13">
        <v>0</v>
      </c>
      <c r="AH80" s="13">
        <v>0</v>
      </c>
      <c r="AI80" s="13">
        <v>0</v>
      </c>
      <c r="AJ80" s="13">
        <f>VLOOKUP(Table24[[#This Row],[3_Elephant_ID]],'[1]Attributes(OUTDATED)'!$A$2:$P$19,16,FALSE)</f>
        <v>2</v>
      </c>
      <c r="AK80" s="13">
        <f>VLOOKUP(Table24[[#This Row],[3_Elephant_ID]],'[1]Attributes(OUTDATED)'!$A$2:$S$19,17,FALSE)</f>
        <v>12</v>
      </c>
      <c r="AL80" s="13">
        <f>VLOOKUP(Table24[[#This Row],[3_Elephant_ID]],'[1]Attributes(OUTDATED)'!$A$2:$S$19,18,FALSE)</f>
        <v>5</v>
      </c>
    </row>
    <row r="81" spans="1:38" ht="28" x14ac:dyDescent="0.15">
      <c r="A81" s="3">
        <v>194</v>
      </c>
      <c r="B81" s="6">
        <v>1705231215</v>
      </c>
      <c r="C81" s="7">
        <v>17</v>
      </c>
      <c r="D81" s="7">
        <v>5</v>
      </c>
      <c r="E81" s="7">
        <v>2023</v>
      </c>
      <c r="F81" s="5">
        <v>45063</v>
      </c>
      <c r="G81" s="6" t="s">
        <v>15</v>
      </c>
      <c r="H81" s="17">
        <v>0.36972527472527478</v>
      </c>
      <c r="I81" s="3" t="str">
        <f>VLOOKUP(G81,'[1]Attributes(OUTDATED)'!$A$2:$C$19,2,FALSE)</f>
        <v>M</v>
      </c>
      <c r="J81" s="3" t="str">
        <f>VLOOKUP(G81,'[1]Attributes(OUTDATED)'!$A$2:$C$19,3,FALSE)</f>
        <v>J</v>
      </c>
      <c r="K81" s="3">
        <f>VLOOKUP(G81,'[1]Attributes(OUTDATED)'!$A$2:$H$19,8,FALSE)</f>
        <v>828</v>
      </c>
      <c r="L81" s="3" t="str">
        <f>J81&amp;I81</f>
        <v>JM</v>
      </c>
      <c r="M81" s="11">
        <v>45061</v>
      </c>
      <c r="N81" s="13">
        <v>13.8</v>
      </c>
      <c r="O81" s="13">
        <v>9.5</v>
      </c>
      <c r="P81" s="13">
        <v>7.3</v>
      </c>
      <c r="Q81" s="13">
        <f>Table24[[#This Row],[2_Temp_H]]-Table24[[#This Row],[2_Temp_L]]</f>
        <v>6.5000000000000009</v>
      </c>
      <c r="R81" s="13">
        <v>15.4</v>
      </c>
      <c r="S81" s="13">
        <v>2.8</v>
      </c>
      <c r="T81" s="13">
        <v>1021</v>
      </c>
      <c r="U81" s="13">
        <v>1016.93</v>
      </c>
      <c r="V81" s="13">
        <v>0</v>
      </c>
      <c r="W81" s="13" t="s">
        <v>147</v>
      </c>
      <c r="X81" s="16" t="s">
        <v>171</v>
      </c>
      <c r="Y81" s="13" t="s">
        <v>137</v>
      </c>
      <c r="Z81" s="13" t="s">
        <v>144</v>
      </c>
      <c r="AA81" s="13" t="s">
        <v>146</v>
      </c>
      <c r="AB81" s="13" t="s">
        <v>137</v>
      </c>
      <c r="AC81" s="13">
        <f>VLOOKUP(Table24[[#This Row],[3_Elephant_ID]],'[1]Attributes(OUTDATED)'!$A$2:$N$19,12,FALSE)</f>
        <v>219</v>
      </c>
      <c r="AD81" s="13">
        <f>VLOOKUP(Table24[[#This Row],[3_Elephant_ID]],'[1]Attributes(OUTDATED)'!$A$2:$N$19,13,FALSE)</f>
        <v>0.32300000000000001</v>
      </c>
      <c r="AE81" s="13">
        <f>VLOOKUP(Table24[[#This Row],[3_Elephant_ID]],'[1]Attributes(OUTDATED)'!$A$2:$N$19,14,FALSE)</f>
        <v>0.32257531484312868</v>
      </c>
      <c r="AF81" s="13">
        <v>0</v>
      </c>
      <c r="AG81" s="13">
        <v>0</v>
      </c>
      <c r="AH81" s="13">
        <v>0</v>
      </c>
      <c r="AI81" s="13">
        <v>0</v>
      </c>
      <c r="AJ81" s="13">
        <f>VLOOKUP(Table24[[#This Row],[3_Elephant_ID]],'[1]Attributes(OUTDATED)'!$A$2:$P$19,16,FALSE)</f>
        <v>2</v>
      </c>
      <c r="AK81" s="13">
        <f>VLOOKUP(Table24[[#This Row],[3_Elephant_ID]],'[1]Attributes(OUTDATED)'!$A$2:$S$19,17,FALSE)</f>
        <v>1</v>
      </c>
      <c r="AL81" s="13">
        <f>VLOOKUP(Table24[[#This Row],[3_Elephant_ID]],'[1]Attributes(OUTDATED)'!$A$2:$S$19,18,FALSE)</f>
        <v>6</v>
      </c>
    </row>
    <row r="82" spans="1:38" ht="28" x14ac:dyDescent="0.15">
      <c r="A82" s="3">
        <v>191</v>
      </c>
      <c r="B82" s="6">
        <v>1905231138</v>
      </c>
      <c r="C82" s="7">
        <v>19</v>
      </c>
      <c r="D82" s="7">
        <v>5</v>
      </c>
      <c r="E82" s="7">
        <v>2023</v>
      </c>
      <c r="F82" s="5">
        <v>45065</v>
      </c>
      <c r="G82" s="6" t="s">
        <v>3</v>
      </c>
      <c r="H82" s="17">
        <v>0.34644230769230772</v>
      </c>
      <c r="I82" s="3" t="str">
        <f>VLOOKUP(G82,'[1]Attributes(OUTDATED)'!$A$2:$C$19,2,FALSE)</f>
        <v>M</v>
      </c>
      <c r="J82" s="3" t="str">
        <f>VLOOKUP(G82,'[1]Attributes(OUTDATED)'!$A$2:$C$19,3,FALSE)</f>
        <v>J</v>
      </c>
      <c r="K82" s="3">
        <f>VLOOKUP(G82,'[1]Attributes(OUTDATED)'!$A$2:$H$19,8,FALSE)</f>
        <v>1031</v>
      </c>
      <c r="L82" s="3" t="str">
        <f>J82&amp;I82</f>
        <v>JM</v>
      </c>
      <c r="M82" s="11">
        <v>45063</v>
      </c>
      <c r="N82" s="13">
        <v>21.2</v>
      </c>
      <c r="O82" s="13">
        <v>13.3</v>
      </c>
      <c r="P82" s="13">
        <v>6.3</v>
      </c>
      <c r="Q82" s="13">
        <f>Table24[[#This Row],[2_Temp_H]]-Table24[[#This Row],[2_Temp_L]]</f>
        <v>14.899999999999999</v>
      </c>
      <c r="R82" s="13">
        <v>21.1</v>
      </c>
      <c r="S82" s="13">
        <v>5.6</v>
      </c>
      <c r="T82" s="13">
        <v>1010.84</v>
      </c>
      <c r="U82" s="13">
        <v>1006.77</v>
      </c>
      <c r="V82" s="13">
        <v>0</v>
      </c>
      <c r="W82" s="13" t="s">
        <v>147</v>
      </c>
      <c r="X82" s="13" t="s">
        <v>141</v>
      </c>
      <c r="Y82" s="13" t="s">
        <v>26</v>
      </c>
      <c r="Z82" s="13" t="s">
        <v>144</v>
      </c>
      <c r="AA82" s="13" t="s">
        <v>146</v>
      </c>
      <c r="AB82" s="13" t="s">
        <v>137</v>
      </c>
      <c r="AC82" s="13">
        <f>VLOOKUP(Table24[[#This Row],[3_Elephant_ID]],'[1]Attributes(OUTDATED)'!$A$2:$N$19,12,FALSE)</f>
        <v>234</v>
      </c>
      <c r="AD82" s="13">
        <f>VLOOKUP(Table24[[#This Row],[3_Elephant_ID]],'[1]Attributes(OUTDATED)'!$A$2:$N$19,13,FALSE)</f>
        <v>0.16500000000000001</v>
      </c>
      <c r="AE82" s="13">
        <f>VLOOKUP(Table24[[#This Row],[3_Elephant_ID]],'[1]Attributes(OUTDATED)'!$A$2:$N$19,14,FALSE)</f>
        <v>0.16420161303383449</v>
      </c>
      <c r="AF82" s="13">
        <v>0</v>
      </c>
      <c r="AG82" s="13">
        <v>0</v>
      </c>
      <c r="AH82" s="13">
        <v>0</v>
      </c>
      <c r="AI82" s="13">
        <v>0</v>
      </c>
      <c r="AJ82" s="13">
        <f>VLOOKUP(Table24[[#This Row],[3_Elephant_ID]],'[1]Attributes(OUTDATED)'!$A$2:$P$19,16,FALSE)</f>
        <v>1</v>
      </c>
      <c r="AK82" s="13">
        <f>VLOOKUP(Table24[[#This Row],[3_Elephant_ID]],'[1]Attributes(OUTDATED)'!$A$2:$S$19,17,FALSE)</f>
        <v>9</v>
      </c>
      <c r="AL82" s="13">
        <f>VLOOKUP(Table24[[#This Row],[3_Elephant_ID]],'[1]Attributes(OUTDATED)'!$A$2:$S$19,18,FALSE)</f>
        <v>9</v>
      </c>
    </row>
    <row r="83" spans="1:38" ht="28" x14ac:dyDescent="0.15">
      <c r="A83" s="3">
        <v>192</v>
      </c>
      <c r="B83" s="6">
        <v>1905231153</v>
      </c>
      <c r="C83" s="7">
        <v>19</v>
      </c>
      <c r="D83" s="7">
        <v>5</v>
      </c>
      <c r="E83" s="7">
        <v>2023</v>
      </c>
      <c r="F83" s="5">
        <v>45065</v>
      </c>
      <c r="G83" s="6" t="s">
        <v>10</v>
      </c>
      <c r="H83" s="17">
        <v>0.3942936802973977</v>
      </c>
      <c r="I83" s="3" t="str">
        <f>VLOOKUP(G83,'[1]Attributes(OUTDATED)'!$A$2:$C$19,2,FALSE)</f>
        <v>F</v>
      </c>
      <c r="J83" s="3" t="str">
        <f>VLOOKUP(G83,'[1]Attributes(OUTDATED)'!$A$2:$C$19,3,FALSE)</f>
        <v>A</v>
      </c>
      <c r="K83" s="3">
        <f>VLOOKUP(G83,'[1]Attributes(OUTDATED)'!$A$2:$H$19,8,FALSE)</f>
        <v>1146</v>
      </c>
      <c r="L83" s="3" t="str">
        <f>J83&amp;I83</f>
        <v>AF</v>
      </c>
      <c r="M83" s="11">
        <v>45063</v>
      </c>
      <c r="N83" s="13">
        <v>21.2</v>
      </c>
      <c r="O83" s="13">
        <v>13.3</v>
      </c>
      <c r="P83" s="13">
        <v>6.3</v>
      </c>
      <c r="Q83" s="13">
        <f>Table24[[#This Row],[2_Temp_H]]-Table24[[#This Row],[2_Temp_L]]</f>
        <v>14.899999999999999</v>
      </c>
      <c r="R83" s="13">
        <v>21.1</v>
      </c>
      <c r="S83" s="13">
        <v>5.6</v>
      </c>
      <c r="T83" s="13">
        <v>1010.84</v>
      </c>
      <c r="U83" s="13">
        <v>1006.77</v>
      </c>
      <c r="V83" s="13">
        <v>0</v>
      </c>
      <c r="W83" s="13" t="s">
        <v>147</v>
      </c>
      <c r="X83" s="13" t="s">
        <v>141</v>
      </c>
      <c r="Y83" s="13" t="s">
        <v>26</v>
      </c>
      <c r="Z83" s="13" t="s">
        <v>144</v>
      </c>
      <c r="AA83" s="13" t="s">
        <v>146</v>
      </c>
      <c r="AB83" s="13" t="s">
        <v>137</v>
      </c>
      <c r="AC83" s="13">
        <f>VLOOKUP(Table24[[#This Row],[3_Elephant_ID]],'[1]Attributes(OUTDATED)'!$A$2:$N$19,12,FALSE)</f>
        <v>424</v>
      </c>
      <c r="AD83" s="13">
        <f>VLOOKUP(Table24[[#This Row],[3_Elephant_ID]],'[1]Attributes(OUTDATED)'!$A$2:$N$19,13,FALSE)</f>
        <v>0.10299999999999999</v>
      </c>
      <c r="AE83" s="13">
        <f>VLOOKUP(Table24[[#This Row],[3_Elephant_ID]],'[1]Attributes(OUTDATED)'!$A$2:$N$19,14,FALSE)</f>
        <v>0.10282190709599449</v>
      </c>
      <c r="AF83" s="13">
        <v>0</v>
      </c>
      <c r="AG83" s="13">
        <v>0</v>
      </c>
      <c r="AH83" s="13">
        <v>0</v>
      </c>
      <c r="AI83" s="13">
        <v>0</v>
      </c>
      <c r="AJ83" s="13">
        <f>VLOOKUP(Table24[[#This Row],[3_Elephant_ID]],'[1]Attributes(OUTDATED)'!$A$2:$P$19,16,FALSE)</f>
        <v>1</v>
      </c>
      <c r="AK83" s="13">
        <f>VLOOKUP(Table24[[#This Row],[3_Elephant_ID]],'[1]Attributes(OUTDATED)'!$A$2:$S$19,17,FALSE)</f>
        <v>9</v>
      </c>
      <c r="AL83" s="13">
        <f>VLOOKUP(Table24[[#This Row],[3_Elephant_ID]],'[1]Attributes(OUTDATED)'!$A$2:$S$19,18,FALSE)</f>
        <v>8</v>
      </c>
    </row>
    <row r="84" spans="1:38" ht="28" x14ac:dyDescent="0.15">
      <c r="A84" s="3">
        <v>188</v>
      </c>
      <c r="B84" s="6">
        <v>2205231429</v>
      </c>
      <c r="C84" s="7">
        <v>22</v>
      </c>
      <c r="D84" s="7">
        <v>5</v>
      </c>
      <c r="E84" s="7">
        <v>2023</v>
      </c>
      <c r="F84" s="5">
        <v>45068</v>
      </c>
      <c r="G84" s="6" t="s">
        <v>17</v>
      </c>
      <c r="H84" s="17">
        <v>0.28106796116504856</v>
      </c>
      <c r="I84" s="3" t="str">
        <f>VLOOKUP(G84,'[1]Attributes(OUTDATED)'!$A$2:$C$19,2,FALSE)</f>
        <v>M</v>
      </c>
      <c r="J84" s="3" t="str">
        <f>VLOOKUP(G84,'[1]Attributes(OUTDATED)'!$A$2:$C$19,3,FALSE)</f>
        <v>J</v>
      </c>
      <c r="K84" s="3">
        <f>VLOOKUP(G84,'[1]Attributes(OUTDATED)'!$A$2:$H$19,8,FALSE)</f>
        <v>699</v>
      </c>
      <c r="L84" s="3" t="str">
        <f>J84&amp;I84</f>
        <v>JM</v>
      </c>
      <c r="M84" s="11">
        <v>45066</v>
      </c>
      <c r="N84" s="13">
        <v>18.5</v>
      </c>
      <c r="O84" s="13">
        <v>8.3000000000000007</v>
      </c>
      <c r="P84" s="13">
        <v>0.3</v>
      </c>
      <c r="Q84" s="13">
        <f>Table24[[#This Row],[2_Temp_H]]-Table24[[#This Row],[2_Temp_L]]</f>
        <v>18.2</v>
      </c>
      <c r="R84" s="13">
        <v>20.8</v>
      </c>
      <c r="S84" s="13">
        <v>3.8</v>
      </c>
      <c r="T84" s="13">
        <v>1013.88</v>
      </c>
      <c r="U84" s="13">
        <v>1009.82</v>
      </c>
      <c r="V84" s="13">
        <v>0</v>
      </c>
      <c r="W84" s="13" t="s">
        <v>147</v>
      </c>
      <c r="X84" s="13" t="s">
        <v>139</v>
      </c>
      <c r="Y84" s="13" t="s">
        <v>26</v>
      </c>
      <c r="Z84" s="13" t="s">
        <v>144</v>
      </c>
      <c r="AA84" s="13" t="s">
        <v>146</v>
      </c>
      <c r="AB84" s="13" t="s">
        <v>137</v>
      </c>
      <c r="AC84" s="13">
        <f>VLOOKUP(Table24[[#This Row],[3_Elephant_ID]],'[1]Attributes(OUTDATED)'!$A$2:$N$19,12,FALSE)</f>
        <v>343</v>
      </c>
      <c r="AD84" s="13">
        <f>VLOOKUP(Table24[[#This Row],[3_Elephant_ID]],'[1]Attributes(OUTDATED)'!$A$2:$N$19,13,FALSE)</f>
        <v>0.81</v>
      </c>
      <c r="AE84" s="13">
        <f>VLOOKUP(Table24[[#This Row],[3_Elephant_ID]],'[1]Attributes(OUTDATED)'!$A$2:$N$19,14,FALSE)</f>
        <v>0.80966774571167055</v>
      </c>
      <c r="AF84" s="13">
        <v>0</v>
      </c>
      <c r="AG84" s="13">
        <v>0</v>
      </c>
      <c r="AH84" s="13">
        <v>0</v>
      </c>
      <c r="AI84" s="13">
        <v>0</v>
      </c>
      <c r="AJ84" s="13">
        <f>VLOOKUP(Table24[[#This Row],[3_Elephant_ID]],'[1]Attributes(OUTDATED)'!$A$2:$P$19,16,FALSE)</f>
        <v>1</v>
      </c>
      <c r="AK84" s="13">
        <f>VLOOKUP(Table24[[#This Row],[3_Elephant_ID]],'[1]Attributes(OUTDATED)'!$A$2:$S$19,17,FALSE)</f>
        <v>0</v>
      </c>
      <c r="AL84" s="13">
        <f>VLOOKUP(Table24[[#This Row],[3_Elephant_ID]],'[1]Attributes(OUTDATED)'!$A$2:$S$19,18,FALSE)</f>
        <v>8</v>
      </c>
    </row>
    <row r="85" spans="1:38" ht="28" x14ac:dyDescent="0.15">
      <c r="A85" s="3">
        <v>190</v>
      </c>
      <c r="B85" s="6">
        <v>2205231146</v>
      </c>
      <c r="C85" s="7">
        <v>22</v>
      </c>
      <c r="D85" s="7">
        <v>5</v>
      </c>
      <c r="E85" s="7">
        <v>2023</v>
      </c>
      <c r="F85" s="5">
        <v>45068</v>
      </c>
      <c r="G85" s="6" t="s">
        <v>5</v>
      </c>
      <c r="H85" s="17">
        <v>0.26130111524163568</v>
      </c>
      <c r="I85" s="3" t="str">
        <f>VLOOKUP(G85,'[1]Attributes(OUTDATED)'!$A$2:$C$19,2,FALSE)</f>
        <v>M</v>
      </c>
      <c r="J85" s="3" t="str">
        <f>VLOOKUP(G85,'[1]Attributes(OUTDATED)'!$A$2:$C$19,3,FALSE)</f>
        <v>J</v>
      </c>
      <c r="K85" s="3">
        <f>VLOOKUP(G85,'[1]Attributes(OUTDATED)'!$A$2:$H$19,8,FALSE)</f>
        <v>940</v>
      </c>
      <c r="L85" s="3" t="str">
        <f>J85&amp;I85</f>
        <v>JM</v>
      </c>
      <c r="M85" s="11">
        <v>45066</v>
      </c>
      <c r="N85" s="13">
        <v>18.5</v>
      </c>
      <c r="O85" s="13">
        <v>8.3000000000000007</v>
      </c>
      <c r="P85" s="13">
        <v>0.3</v>
      </c>
      <c r="Q85" s="13">
        <f>Table24[[#This Row],[2_Temp_H]]-Table24[[#This Row],[2_Temp_L]]</f>
        <v>18.2</v>
      </c>
      <c r="R85" s="13">
        <v>20.8</v>
      </c>
      <c r="S85" s="13">
        <v>3.8</v>
      </c>
      <c r="T85" s="13">
        <v>1013.88</v>
      </c>
      <c r="U85" s="13">
        <v>1009.82</v>
      </c>
      <c r="V85" s="13">
        <v>0</v>
      </c>
      <c r="W85" s="13" t="s">
        <v>147</v>
      </c>
      <c r="X85" s="13" t="s">
        <v>139</v>
      </c>
      <c r="Y85" s="13" t="s">
        <v>26</v>
      </c>
      <c r="Z85" s="13" t="s">
        <v>144</v>
      </c>
      <c r="AA85" s="13" t="s">
        <v>146</v>
      </c>
      <c r="AB85" s="13" t="s">
        <v>137</v>
      </c>
      <c r="AC85" s="13">
        <f>VLOOKUP(Table24[[#This Row],[3_Elephant_ID]],'[1]Attributes(OUTDATED)'!$A$2:$N$19,12,FALSE)</f>
        <v>361</v>
      </c>
      <c r="AD85" s="13">
        <f>VLOOKUP(Table24[[#This Row],[3_Elephant_ID]],'[1]Attributes(OUTDATED)'!$A$2:$N$19,13,FALSE)</f>
        <v>0.40600000000000003</v>
      </c>
      <c r="AE85" s="13">
        <f>VLOOKUP(Table24[[#This Row],[3_Elephant_ID]],'[1]Attributes(OUTDATED)'!$A$2:$N$19,14,FALSE)</f>
        <v>0.40590323220736402</v>
      </c>
      <c r="AF85" s="13">
        <v>0</v>
      </c>
      <c r="AG85" s="13">
        <v>0</v>
      </c>
      <c r="AH85" s="13">
        <v>0</v>
      </c>
      <c r="AI85" s="13">
        <v>0</v>
      </c>
      <c r="AJ85" s="13">
        <f>VLOOKUP(Table24[[#This Row],[3_Elephant_ID]],'[1]Attributes(OUTDATED)'!$A$2:$P$19,16,FALSE)</f>
        <v>1</v>
      </c>
      <c r="AK85" s="13">
        <f>VLOOKUP(Table24[[#This Row],[3_Elephant_ID]],'[1]Attributes(OUTDATED)'!$A$2:$S$19,17,FALSE)</f>
        <v>2</v>
      </c>
      <c r="AL85" s="13">
        <f>VLOOKUP(Table24[[#This Row],[3_Elephant_ID]],'[1]Attributes(OUTDATED)'!$A$2:$S$19,18,FALSE)</f>
        <v>7</v>
      </c>
    </row>
    <row r="86" spans="1:38" ht="28" x14ac:dyDescent="0.15">
      <c r="A86" s="3">
        <v>189</v>
      </c>
      <c r="B86" s="6">
        <v>2205231148</v>
      </c>
      <c r="C86" s="7">
        <v>22</v>
      </c>
      <c r="D86" s="7">
        <v>5</v>
      </c>
      <c r="E86" s="7">
        <v>2023</v>
      </c>
      <c r="F86" s="5">
        <v>45068</v>
      </c>
      <c r="G86" s="6" t="s">
        <v>11</v>
      </c>
      <c r="H86" s="17">
        <v>0.48067924528301903</v>
      </c>
      <c r="I86" s="3" t="str">
        <f>VLOOKUP(G86,'[1]Attributes(OUTDATED)'!$A$2:$C$19,2,FALSE)</f>
        <v>M</v>
      </c>
      <c r="J86" s="3" t="str">
        <f>VLOOKUP(G86,'[1]Attributes(OUTDATED)'!$A$2:$C$19,3,FALSE)</f>
        <v>A</v>
      </c>
      <c r="K86" s="3">
        <f>VLOOKUP(G86,'[1]Attributes(OUTDATED)'!$A$2:$H$19,8,FALSE)</f>
        <v>1223</v>
      </c>
      <c r="L86" s="3" t="str">
        <f>J86&amp;I86</f>
        <v>AM</v>
      </c>
      <c r="M86" s="11">
        <v>45066</v>
      </c>
      <c r="N86" s="13">
        <v>18.5</v>
      </c>
      <c r="O86" s="13">
        <v>8.3000000000000007</v>
      </c>
      <c r="P86" s="13">
        <v>0.3</v>
      </c>
      <c r="Q86" s="13">
        <f>Table24[[#This Row],[2_Temp_H]]-Table24[[#This Row],[2_Temp_L]]</f>
        <v>18.2</v>
      </c>
      <c r="R86" s="13">
        <v>20.8</v>
      </c>
      <c r="S86" s="13">
        <v>3.8</v>
      </c>
      <c r="T86" s="13">
        <v>1013.88</v>
      </c>
      <c r="U86" s="13">
        <v>1009.82</v>
      </c>
      <c r="V86" s="13">
        <v>0</v>
      </c>
      <c r="W86" s="13" t="s">
        <v>147</v>
      </c>
      <c r="X86" s="13" t="s">
        <v>139</v>
      </c>
      <c r="Y86" s="13" t="s">
        <v>26</v>
      </c>
      <c r="Z86" s="13" t="s">
        <v>144</v>
      </c>
      <c r="AA86" s="13" t="s">
        <v>146</v>
      </c>
      <c r="AB86" s="13" t="s">
        <v>137</v>
      </c>
      <c r="AC86" s="13">
        <f>VLOOKUP(Table24[[#This Row],[3_Elephant_ID]],'[1]Attributes(OUTDATED)'!$A$2:$N$19,12,FALSE)</f>
        <v>404</v>
      </c>
      <c r="AD86" s="13">
        <f>VLOOKUP(Table24[[#This Row],[3_Elephant_ID]],'[1]Attributes(OUTDATED)'!$A$2:$N$19,13,FALSE)</f>
        <v>0.91700000000000004</v>
      </c>
      <c r="AE86" s="13">
        <f>VLOOKUP(Table24[[#This Row],[3_Elephant_ID]],'[1]Attributes(OUTDATED)'!$A$2:$N$19,14,FALSE)</f>
        <v>0.91664628583929353</v>
      </c>
      <c r="AF86" s="13">
        <v>0</v>
      </c>
      <c r="AG86" s="13">
        <v>0</v>
      </c>
      <c r="AH86" s="13">
        <v>0</v>
      </c>
      <c r="AI86" s="13">
        <v>0</v>
      </c>
      <c r="AJ86" s="13">
        <f>VLOOKUP(Table24[[#This Row],[3_Elephant_ID]],'[1]Attributes(OUTDATED)'!$A$2:$P$19,16,FALSE)</f>
        <v>1</v>
      </c>
      <c r="AK86" s="13">
        <f>VLOOKUP(Table24[[#This Row],[3_Elephant_ID]],'[1]Attributes(OUTDATED)'!$A$2:$S$19,17,FALSE)</f>
        <v>14</v>
      </c>
      <c r="AL86" s="13">
        <f>VLOOKUP(Table24[[#This Row],[3_Elephant_ID]],'[1]Attributes(OUTDATED)'!$A$2:$S$19,18,FALSE)</f>
        <v>17</v>
      </c>
    </row>
    <row r="87" spans="1:38" ht="28" x14ac:dyDescent="0.15">
      <c r="A87" s="3">
        <v>187</v>
      </c>
      <c r="B87" s="6">
        <v>2205231508</v>
      </c>
      <c r="C87" s="7">
        <v>22</v>
      </c>
      <c r="D87" s="7">
        <v>5</v>
      </c>
      <c r="E87" s="7">
        <v>2023</v>
      </c>
      <c r="F87" s="5">
        <v>45068</v>
      </c>
      <c r="G87" s="6" t="s">
        <v>2</v>
      </c>
      <c r="H87" s="17">
        <v>0.18082514734774066</v>
      </c>
      <c r="I87" s="3" t="str">
        <f>VLOOKUP(G87,'[1]Attributes(OUTDATED)'!$A$2:$C$19,2,FALSE)</f>
        <v>F</v>
      </c>
      <c r="J87" s="3" t="str">
        <f>VLOOKUP(G87,'[1]Attributes(OUTDATED)'!$A$2:$C$19,3,FALSE)</f>
        <v>A</v>
      </c>
      <c r="K87" s="3">
        <f>VLOOKUP(G87,'[1]Attributes(OUTDATED)'!$A$2:$H$19,8,FALSE)</f>
        <v>892</v>
      </c>
      <c r="L87" s="3" t="str">
        <f>J87&amp;I87</f>
        <v>AF</v>
      </c>
      <c r="M87" s="11">
        <v>45066</v>
      </c>
      <c r="N87" s="13">
        <v>18.5</v>
      </c>
      <c r="O87" s="13">
        <v>8.3000000000000007</v>
      </c>
      <c r="P87" s="13">
        <v>0.3</v>
      </c>
      <c r="Q87" s="13">
        <f>Table24[[#This Row],[2_Temp_H]]-Table24[[#This Row],[2_Temp_L]]</f>
        <v>18.2</v>
      </c>
      <c r="R87" s="13">
        <v>20.8</v>
      </c>
      <c r="S87" s="13">
        <v>3.8</v>
      </c>
      <c r="T87" s="13">
        <v>1013.88</v>
      </c>
      <c r="U87" s="13">
        <v>1009.82</v>
      </c>
      <c r="V87" s="13">
        <v>0</v>
      </c>
      <c r="W87" s="13" t="s">
        <v>147</v>
      </c>
      <c r="X87" s="13" t="s">
        <v>139</v>
      </c>
      <c r="Y87" s="13" t="s">
        <v>26</v>
      </c>
      <c r="Z87" s="13" t="s">
        <v>144</v>
      </c>
      <c r="AA87" s="13" t="s">
        <v>146</v>
      </c>
      <c r="AB87" s="13" t="s">
        <v>137</v>
      </c>
      <c r="AC87" s="13">
        <f>VLOOKUP(Table24[[#This Row],[3_Elephant_ID]],'[1]Attributes(OUTDATED)'!$A$2:$N$19,12,FALSE)</f>
        <v>378</v>
      </c>
      <c r="AD87" s="13">
        <f>VLOOKUP(Table24[[#This Row],[3_Elephant_ID]],'[1]Attributes(OUTDATED)'!$A$2:$N$19,13,FALSE)</f>
        <v>8.6999999999999994E-2</v>
      </c>
      <c r="AE87" s="13">
        <f>VLOOKUP(Table24[[#This Row],[3_Elephant_ID]],'[1]Attributes(OUTDATED)'!$A$2:$N$19,14,FALSE)</f>
        <v>8.6599138783086713E-2</v>
      </c>
      <c r="AF87" s="13">
        <v>0</v>
      </c>
      <c r="AG87" s="13">
        <v>0</v>
      </c>
      <c r="AH87" s="13">
        <v>0</v>
      </c>
      <c r="AI87" s="13">
        <v>0</v>
      </c>
      <c r="AJ87" s="13">
        <f>VLOOKUP(Table24[[#This Row],[3_Elephant_ID]],'[1]Attributes(OUTDATED)'!$A$2:$P$19,16,FALSE)</f>
        <v>1</v>
      </c>
      <c r="AK87" s="13">
        <f>VLOOKUP(Table24[[#This Row],[3_Elephant_ID]],'[1]Attributes(OUTDATED)'!$A$2:$S$19,17,FALSE)</f>
        <v>4</v>
      </c>
      <c r="AL87" s="13">
        <f>VLOOKUP(Table24[[#This Row],[3_Elephant_ID]],'[1]Attributes(OUTDATED)'!$A$2:$S$19,18,FALSE)</f>
        <v>20</v>
      </c>
    </row>
    <row r="88" spans="1:38" ht="28" x14ac:dyDescent="0.15">
      <c r="A88" s="3">
        <v>186</v>
      </c>
      <c r="B88" s="6">
        <v>2305231012</v>
      </c>
      <c r="C88" s="7">
        <v>23</v>
      </c>
      <c r="D88" s="7">
        <v>5</v>
      </c>
      <c r="E88" s="7">
        <v>2023</v>
      </c>
      <c r="F88" s="5">
        <v>45069</v>
      </c>
      <c r="G88" s="6" t="s">
        <v>12</v>
      </c>
      <c r="H88" s="17">
        <v>0.44620817843866178</v>
      </c>
      <c r="I88" s="3" t="str">
        <f>VLOOKUP(G88,'[1]Attributes(OUTDATED)'!$A$2:$C$19,2,FALSE)</f>
        <v>M</v>
      </c>
      <c r="J88" s="3" t="str">
        <f>VLOOKUP(G88,'[1]Attributes(OUTDATED)'!$A$2:$C$19,3,FALSE)</f>
        <v>A</v>
      </c>
      <c r="K88" s="3">
        <f>VLOOKUP(G88,'[1]Attributes(OUTDATED)'!$A$2:$H$19,8,FALSE)</f>
        <v>1509</v>
      </c>
      <c r="L88" s="3" t="str">
        <f>J88&amp;I88</f>
        <v>AM</v>
      </c>
      <c r="M88" s="11">
        <v>45067</v>
      </c>
      <c r="N88" s="13">
        <v>17</v>
      </c>
      <c r="O88" s="13">
        <v>11.8</v>
      </c>
      <c r="P88" s="13">
        <v>3.8</v>
      </c>
      <c r="Q88" s="13">
        <f>Table24[[#This Row],[2_Temp_H]]-Table24[[#This Row],[2_Temp_L]]</f>
        <v>13.2</v>
      </c>
      <c r="R88" s="13">
        <v>28</v>
      </c>
      <c r="S88" s="13">
        <v>6.9</v>
      </c>
      <c r="T88" s="13">
        <v>1016.93</v>
      </c>
      <c r="U88" s="13">
        <v>1007.79</v>
      </c>
      <c r="V88" s="13">
        <v>0.25</v>
      </c>
      <c r="W88" s="13" t="s">
        <v>147</v>
      </c>
      <c r="X88" s="13" t="s">
        <v>139</v>
      </c>
      <c r="Y88" s="13" t="s">
        <v>26</v>
      </c>
      <c r="Z88" s="13" t="s">
        <v>144</v>
      </c>
      <c r="AA88" s="13" t="s">
        <v>146</v>
      </c>
      <c r="AB88" s="13" t="s">
        <v>137</v>
      </c>
      <c r="AC88" s="13">
        <f>VLOOKUP(Table24[[#This Row],[3_Elephant_ID]],'[1]Attributes(OUTDATED)'!$A$2:$N$19,12,FALSE)</f>
        <v>450</v>
      </c>
      <c r="AD88" s="13">
        <f>VLOOKUP(Table24[[#This Row],[3_Elephant_ID]],'[1]Attributes(OUTDATED)'!$A$2:$N$19,13,FALSE)</f>
        <v>0.375</v>
      </c>
      <c r="AE88" s="13">
        <f>VLOOKUP(Table24[[#This Row],[3_Elephant_ID]],'[1]Attributes(OUTDATED)'!$A$2:$N$19,14,FALSE)</f>
        <v>0.37414375430996583</v>
      </c>
      <c r="AF88" s="13">
        <v>0</v>
      </c>
      <c r="AG88" s="13">
        <v>0</v>
      </c>
      <c r="AH88" s="13">
        <v>0</v>
      </c>
      <c r="AI88" s="13">
        <v>0</v>
      </c>
      <c r="AJ88" s="13">
        <f>VLOOKUP(Table24[[#This Row],[3_Elephant_ID]],'[1]Attributes(OUTDATED)'!$A$2:$P$19,16,FALSE)</f>
        <v>1</v>
      </c>
      <c r="AK88" s="13">
        <f>VLOOKUP(Table24[[#This Row],[3_Elephant_ID]],'[1]Attributes(OUTDATED)'!$A$2:$S$19,17,FALSE)</f>
        <v>48</v>
      </c>
      <c r="AL88" s="13">
        <f>VLOOKUP(Table24[[#This Row],[3_Elephant_ID]],'[1]Attributes(OUTDATED)'!$A$2:$S$19,18,FALSE)</f>
        <v>3</v>
      </c>
    </row>
    <row r="89" spans="1:38" ht="28" x14ac:dyDescent="0.15">
      <c r="A89" s="3">
        <v>181</v>
      </c>
      <c r="B89" s="6">
        <v>2405231132</v>
      </c>
      <c r="C89" s="7">
        <v>24</v>
      </c>
      <c r="D89" s="7">
        <v>5</v>
      </c>
      <c r="E89" s="7">
        <v>2023</v>
      </c>
      <c r="F89" s="5">
        <v>45070</v>
      </c>
      <c r="G89" s="6" t="s">
        <v>3</v>
      </c>
      <c r="H89" s="17">
        <v>0.15493307839388146</v>
      </c>
      <c r="I89" s="3" t="str">
        <f>VLOOKUP(G89,'[1]Attributes(OUTDATED)'!$A$2:$C$19,2,FALSE)</f>
        <v>M</v>
      </c>
      <c r="J89" s="3" t="str">
        <f>VLOOKUP(G89,'[1]Attributes(OUTDATED)'!$A$2:$C$19,3,FALSE)</f>
        <v>J</v>
      </c>
      <c r="K89" s="3">
        <f>VLOOKUP(G89,'[1]Attributes(OUTDATED)'!$A$2:$H$19,8,FALSE)</f>
        <v>1031</v>
      </c>
      <c r="L89" s="3" t="str">
        <f>J89&amp;I89</f>
        <v>JM</v>
      </c>
      <c r="M89" s="11">
        <v>45068</v>
      </c>
      <c r="N89" s="13">
        <v>16.2</v>
      </c>
      <c r="O89" s="13">
        <v>7.6</v>
      </c>
      <c r="P89" s="13">
        <v>0.6</v>
      </c>
      <c r="Q89" s="13">
        <f>Table24[[#This Row],[2_Temp_H]]-Table24[[#This Row],[2_Temp_L]]</f>
        <v>15.6</v>
      </c>
      <c r="R89" s="13">
        <v>19.8</v>
      </c>
      <c r="S89" s="13">
        <v>2.5</v>
      </c>
      <c r="T89" s="13">
        <v>1016.93</v>
      </c>
      <c r="U89" s="13">
        <v>1012.87</v>
      </c>
      <c r="V89" s="13">
        <v>0</v>
      </c>
      <c r="W89" s="13" t="s">
        <v>147</v>
      </c>
      <c r="X89" s="13" t="s">
        <v>139</v>
      </c>
      <c r="Y89" s="13" t="s">
        <v>26</v>
      </c>
      <c r="Z89" s="13" t="s">
        <v>144</v>
      </c>
      <c r="AA89" s="13" t="s">
        <v>146</v>
      </c>
      <c r="AB89" s="13" t="s">
        <v>137</v>
      </c>
      <c r="AC89" s="13">
        <f>VLOOKUP(Table24[[#This Row],[3_Elephant_ID]],'[1]Attributes(OUTDATED)'!$A$2:$N$19,12,FALSE)</f>
        <v>234</v>
      </c>
      <c r="AD89" s="13">
        <f>VLOOKUP(Table24[[#This Row],[3_Elephant_ID]],'[1]Attributes(OUTDATED)'!$A$2:$N$19,13,FALSE)</f>
        <v>0.16500000000000001</v>
      </c>
      <c r="AE89" s="13">
        <f>VLOOKUP(Table24[[#This Row],[3_Elephant_ID]],'[1]Attributes(OUTDATED)'!$A$2:$N$19,14,FALSE)</f>
        <v>0.16420161303383449</v>
      </c>
      <c r="AF89" s="13">
        <v>1</v>
      </c>
      <c r="AG89" s="13">
        <v>0</v>
      </c>
      <c r="AH89" s="13">
        <v>0</v>
      </c>
      <c r="AI89" s="13">
        <v>0</v>
      </c>
      <c r="AJ89" s="13">
        <f>VLOOKUP(Table24[[#This Row],[3_Elephant_ID]],'[1]Attributes(OUTDATED)'!$A$2:$P$19,16,FALSE)</f>
        <v>1</v>
      </c>
      <c r="AK89" s="13">
        <f>VLOOKUP(Table24[[#This Row],[3_Elephant_ID]],'[1]Attributes(OUTDATED)'!$A$2:$S$19,17,FALSE)</f>
        <v>9</v>
      </c>
      <c r="AL89" s="13">
        <f>VLOOKUP(Table24[[#This Row],[3_Elephant_ID]],'[1]Attributes(OUTDATED)'!$A$2:$S$19,18,FALSE)</f>
        <v>9</v>
      </c>
    </row>
    <row r="90" spans="1:38" ht="28" x14ac:dyDescent="0.15">
      <c r="A90" s="3">
        <v>177</v>
      </c>
      <c r="B90" s="6">
        <v>2405231250</v>
      </c>
      <c r="C90" s="7">
        <v>24</v>
      </c>
      <c r="D90" s="7">
        <v>5</v>
      </c>
      <c r="E90" s="7">
        <v>2023</v>
      </c>
      <c r="F90" s="5">
        <v>45070</v>
      </c>
      <c r="G90" s="6" t="s">
        <v>9</v>
      </c>
      <c r="H90" s="17">
        <v>0.25755963302752299</v>
      </c>
      <c r="I90" s="3" t="str">
        <f>VLOOKUP(G90,'[1]Attributes(OUTDATED)'!$A$2:$C$19,2,FALSE)</f>
        <v>F</v>
      </c>
      <c r="J90" s="3" t="str">
        <f>VLOOKUP(G90,'[1]Attributes(OUTDATED)'!$A$2:$C$19,3,FALSE)</f>
        <v>J</v>
      </c>
      <c r="K90" s="3">
        <f>VLOOKUP(G90,'[1]Attributes(OUTDATED)'!$A$2:$H$19,8,FALSE)</f>
        <v>820</v>
      </c>
      <c r="L90" s="3" t="str">
        <f>J90&amp;I90</f>
        <v>JF</v>
      </c>
      <c r="M90" s="11">
        <v>45068</v>
      </c>
      <c r="N90" s="13">
        <v>16.2</v>
      </c>
      <c r="O90" s="13">
        <v>7.6</v>
      </c>
      <c r="P90" s="13">
        <v>0.6</v>
      </c>
      <c r="Q90" s="13">
        <f>Table24[[#This Row],[2_Temp_H]]-Table24[[#This Row],[2_Temp_L]]</f>
        <v>15.6</v>
      </c>
      <c r="R90" s="13">
        <v>19.8</v>
      </c>
      <c r="S90" s="13">
        <v>2.5</v>
      </c>
      <c r="T90" s="13">
        <v>1016.93</v>
      </c>
      <c r="U90" s="13">
        <v>1012.87</v>
      </c>
      <c r="V90" s="13">
        <v>0</v>
      </c>
      <c r="W90" s="13" t="s">
        <v>147</v>
      </c>
      <c r="X90" s="13" t="s">
        <v>139</v>
      </c>
      <c r="Y90" s="13" t="s">
        <v>26</v>
      </c>
      <c r="Z90" s="13" t="s">
        <v>144</v>
      </c>
      <c r="AA90" s="13" t="s">
        <v>146</v>
      </c>
      <c r="AB90" s="13" t="s">
        <v>137</v>
      </c>
      <c r="AC90" s="13">
        <f>VLOOKUP(Table24[[#This Row],[3_Elephant_ID]],'[1]Attributes(OUTDATED)'!$A$2:$N$19,12,FALSE)</f>
        <v>305</v>
      </c>
      <c r="AD90" s="13">
        <f>VLOOKUP(Table24[[#This Row],[3_Elephant_ID]],'[1]Attributes(OUTDATED)'!$A$2:$N$19,13,FALSE)</f>
        <v>0.17499999999999999</v>
      </c>
      <c r="AE90" s="13">
        <f>VLOOKUP(Table24[[#This Row],[3_Elephant_ID]],'[1]Attributes(OUTDATED)'!$A$2:$N$19,14,FALSE)</f>
        <v>0.17467336145108631</v>
      </c>
      <c r="AF90" s="13">
        <v>1</v>
      </c>
      <c r="AG90" s="13">
        <v>0</v>
      </c>
      <c r="AH90" s="13">
        <v>0</v>
      </c>
      <c r="AI90" s="13">
        <v>0</v>
      </c>
      <c r="AJ90" s="13">
        <f>VLOOKUP(Table24[[#This Row],[3_Elephant_ID]],'[1]Attributes(OUTDATED)'!$A$2:$P$19,16,FALSE)</f>
        <v>2</v>
      </c>
      <c r="AK90" s="13">
        <f>VLOOKUP(Table24[[#This Row],[3_Elephant_ID]],'[1]Attributes(OUTDATED)'!$A$2:$S$19,17,FALSE)</f>
        <v>0</v>
      </c>
      <c r="AL90" s="13">
        <f>VLOOKUP(Table24[[#This Row],[3_Elephant_ID]],'[1]Attributes(OUTDATED)'!$A$2:$S$19,18,FALSE)</f>
        <v>4</v>
      </c>
    </row>
    <row r="91" spans="1:38" ht="28" x14ac:dyDescent="0.15">
      <c r="A91" s="3">
        <v>183</v>
      </c>
      <c r="B91" s="6">
        <v>2405231050</v>
      </c>
      <c r="C91" s="7">
        <v>24</v>
      </c>
      <c r="D91" s="7">
        <v>5</v>
      </c>
      <c r="E91" s="7">
        <v>2023</v>
      </c>
      <c r="F91" s="5">
        <v>45070</v>
      </c>
      <c r="G91" s="6" t="s">
        <v>12</v>
      </c>
      <c r="H91" s="17">
        <v>0.4976878612716763</v>
      </c>
      <c r="I91" s="3" t="str">
        <f>VLOOKUP(G91,'[1]Attributes(OUTDATED)'!$A$2:$C$19,2,FALSE)</f>
        <v>M</v>
      </c>
      <c r="J91" s="3" t="str">
        <f>VLOOKUP(G91,'[1]Attributes(OUTDATED)'!$A$2:$C$19,3,FALSE)</f>
        <v>A</v>
      </c>
      <c r="K91" s="3">
        <f>VLOOKUP(G91,'[1]Attributes(OUTDATED)'!$A$2:$H$19,8,FALSE)</f>
        <v>1509</v>
      </c>
      <c r="L91" s="3" t="str">
        <f>J91&amp;I91</f>
        <v>AM</v>
      </c>
      <c r="M91" s="11">
        <v>45068</v>
      </c>
      <c r="N91" s="13">
        <v>16.2</v>
      </c>
      <c r="O91" s="13">
        <v>7.6</v>
      </c>
      <c r="P91" s="13">
        <v>0.6</v>
      </c>
      <c r="Q91" s="13">
        <f>Table24[[#This Row],[2_Temp_H]]-Table24[[#This Row],[2_Temp_L]]</f>
        <v>15.6</v>
      </c>
      <c r="R91" s="13">
        <v>19.8</v>
      </c>
      <c r="S91" s="13">
        <v>2.5</v>
      </c>
      <c r="T91" s="13">
        <v>1016.93</v>
      </c>
      <c r="U91" s="13">
        <v>1012.87</v>
      </c>
      <c r="V91" s="13">
        <v>0</v>
      </c>
      <c r="W91" s="13" t="s">
        <v>147</v>
      </c>
      <c r="X91" s="13" t="s">
        <v>139</v>
      </c>
      <c r="Y91" s="13" t="s">
        <v>26</v>
      </c>
      <c r="Z91" s="13" t="s">
        <v>144</v>
      </c>
      <c r="AA91" s="13" t="s">
        <v>146</v>
      </c>
      <c r="AB91" s="13" t="s">
        <v>137</v>
      </c>
      <c r="AC91" s="13">
        <f>VLOOKUP(Table24[[#This Row],[3_Elephant_ID]],'[1]Attributes(OUTDATED)'!$A$2:$N$19,12,FALSE)</f>
        <v>450</v>
      </c>
      <c r="AD91" s="13">
        <f>VLOOKUP(Table24[[#This Row],[3_Elephant_ID]],'[1]Attributes(OUTDATED)'!$A$2:$N$19,13,FALSE)</f>
        <v>0.375</v>
      </c>
      <c r="AE91" s="13">
        <f>VLOOKUP(Table24[[#This Row],[3_Elephant_ID]],'[1]Attributes(OUTDATED)'!$A$2:$N$19,14,FALSE)</f>
        <v>0.37414375430996583</v>
      </c>
      <c r="AF91" s="13">
        <v>1</v>
      </c>
      <c r="AG91" s="13">
        <v>0</v>
      </c>
      <c r="AH91" s="13">
        <v>0</v>
      </c>
      <c r="AI91" s="13">
        <v>0</v>
      </c>
      <c r="AJ91" s="13">
        <f>VLOOKUP(Table24[[#This Row],[3_Elephant_ID]],'[1]Attributes(OUTDATED)'!$A$2:$P$19,16,FALSE)</f>
        <v>1</v>
      </c>
      <c r="AK91" s="13">
        <f>VLOOKUP(Table24[[#This Row],[3_Elephant_ID]],'[1]Attributes(OUTDATED)'!$A$2:$S$19,17,FALSE)</f>
        <v>48</v>
      </c>
      <c r="AL91" s="13">
        <f>VLOOKUP(Table24[[#This Row],[3_Elephant_ID]],'[1]Attributes(OUTDATED)'!$A$2:$S$19,18,FALSE)</f>
        <v>3</v>
      </c>
    </row>
    <row r="92" spans="1:38" ht="28" x14ac:dyDescent="0.15">
      <c r="A92" s="3">
        <v>178</v>
      </c>
      <c r="B92" s="6">
        <v>2405231235</v>
      </c>
      <c r="C92" s="7">
        <v>24</v>
      </c>
      <c r="D92" s="7">
        <v>5</v>
      </c>
      <c r="E92" s="7">
        <v>2023</v>
      </c>
      <c r="F92" s="5">
        <v>45070</v>
      </c>
      <c r="G92" s="6" t="s">
        <v>1</v>
      </c>
      <c r="H92" s="17">
        <v>0.23734774066797645</v>
      </c>
      <c r="I92" s="3" t="str">
        <f>VLOOKUP(G92,'[1]Attributes(OUTDATED)'!$A$2:$C$19,2,FALSE)</f>
        <v>F</v>
      </c>
      <c r="J92" s="3" t="str">
        <f>VLOOKUP(G92,'[1]Attributes(OUTDATED)'!$A$2:$C$19,3,FALSE)</f>
        <v>A</v>
      </c>
      <c r="K92" s="3">
        <f>VLOOKUP(G92,'[1]Attributes(OUTDATED)'!$A$2:$H$19,8,FALSE)</f>
        <v>929</v>
      </c>
      <c r="L92" s="3" t="str">
        <f>J92&amp;I92</f>
        <v>AF</v>
      </c>
      <c r="M92" s="11">
        <v>45068</v>
      </c>
      <c r="N92" s="13">
        <v>16.2</v>
      </c>
      <c r="O92" s="13">
        <v>7.6</v>
      </c>
      <c r="P92" s="13">
        <v>0.6</v>
      </c>
      <c r="Q92" s="13">
        <f>Table24[[#This Row],[2_Temp_H]]-Table24[[#This Row],[2_Temp_L]]</f>
        <v>15.6</v>
      </c>
      <c r="R92" s="13">
        <v>19.8</v>
      </c>
      <c r="S92" s="13">
        <v>2.5</v>
      </c>
      <c r="T92" s="13">
        <v>1016.93</v>
      </c>
      <c r="U92" s="13">
        <v>1012.87</v>
      </c>
      <c r="V92" s="13">
        <v>0</v>
      </c>
      <c r="W92" s="13" t="s">
        <v>147</v>
      </c>
      <c r="X92" s="13" t="s">
        <v>139</v>
      </c>
      <c r="Y92" s="13" t="s">
        <v>26</v>
      </c>
      <c r="Z92" s="13" t="s">
        <v>144</v>
      </c>
      <c r="AA92" s="13" t="s">
        <v>146</v>
      </c>
      <c r="AB92" s="13" t="s">
        <v>137</v>
      </c>
      <c r="AC92" s="13">
        <f>VLOOKUP(Table24[[#This Row],[3_Elephant_ID]],'[1]Attributes(OUTDATED)'!$A$2:$N$19,12,FALSE)</f>
        <v>321</v>
      </c>
      <c r="AD92" s="13">
        <f>VLOOKUP(Table24[[#This Row],[3_Elephant_ID]],'[1]Attributes(OUTDATED)'!$A$2:$N$19,13,FALSE)</f>
        <v>0.17599999999999999</v>
      </c>
      <c r="AE92" s="13">
        <f>VLOOKUP(Table24[[#This Row],[3_Elephant_ID]],'[1]Attributes(OUTDATED)'!$A$2:$N$19,14,FALSE)</f>
        <v>0.17530262753188491</v>
      </c>
      <c r="AF92" s="13">
        <v>1</v>
      </c>
      <c r="AG92" s="13">
        <v>0</v>
      </c>
      <c r="AH92" s="13">
        <v>0</v>
      </c>
      <c r="AI92" s="13">
        <v>0</v>
      </c>
      <c r="AJ92" s="13">
        <f>VLOOKUP(Table24[[#This Row],[3_Elephant_ID]],'[1]Attributes(OUTDATED)'!$A$2:$P$19,16,FALSE)</f>
        <v>1</v>
      </c>
      <c r="AK92" s="13">
        <f>VLOOKUP(Table24[[#This Row],[3_Elephant_ID]],'[1]Attributes(OUTDATED)'!$A$2:$S$19,17,FALSE)</f>
        <v>6</v>
      </c>
      <c r="AL92" s="13">
        <f>VLOOKUP(Table24[[#This Row],[3_Elephant_ID]],'[1]Attributes(OUTDATED)'!$A$2:$S$19,18,FALSE)</f>
        <v>8</v>
      </c>
    </row>
    <row r="93" spans="1:38" ht="28" x14ac:dyDescent="0.15">
      <c r="A93" s="3">
        <v>185</v>
      </c>
      <c r="B93" s="6">
        <v>2405231002</v>
      </c>
      <c r="C93" s="7">
        <v>24</v>
      </c>
      <c r="D93" s="7">
        <v>5</v>
      </c>
      <c r="E93" s="7">
        <v>2023</v>
      </c>
      <c r="F93" s="5">
        <v>45070</v>
      </c>
      <c r="G93" s="6" t="s">
        <v>1</v>
      </c>
      <c r="H93" s="17">
        <v>0.18351888667992047</v>
      </c>
      <c r="I93" s="3" t="str">
        <f>VLOOKUP(G93,'[1]Attributes(OUTDATED)'!$A$2:$C$19,2,FALSE)</f>
        <v>F</v>
      </c>
      <c r="J93" s="3" t="str">
        <f>VLOOKUP(G93,'[1]Attributes(OUTDATED)'!$A$2:$C$19,3,FALSE)</f>
        <v>A</v>
      </c>
      <c r="K93" s="3">
        <f>VLOOKUP(G93,'[1]Attributes(OUTDATED)'!$A$2:$H$19,8,FALSE)</f>
        <v>929</v>
      </c>
      <c r="L93" s="3" t="str">
        <f>J93&amp;I93</f>
        <v>AF</v>
      </c>
      <c r="M93" s="11">
        <v>45068</v>
      </c>
      <c r="N93" s="13">
        <v>16.2</v>
      </c>
      <c r="O93" s="13">
        <v>7.6</v>
      </c>
      <c r="P93" s="13">
        <v>0.6</v>
      </c>
      <c r="Q93" s="13">
        <f>Table24[[#This Row],[2_Temp_H]]-Table24[[#This Row],[2_Temp_L]]</f>
        <v>15.6</v>
      </c>
      <c r="R93" s="13">
        <v>19.8</v>
      </c>
      <c r="S93" s="13">
        <v>2.5</v>
      </c>
      <c r="T93" s="13">
        <v>1016.93</v>
      </c>
      <c r="U93" s="13">
        <v>1012.87</v>
      </c>
      <c r="V93" s="13">
        <v>0</v>
      </c>
      <c r="W93" s="13" t="s">
        <v>147</v>
      </c>
      <c r="X93" s="13" t="s">
        <v>139</v>
      </c>
      <c r="Y93" s="13" t="s">
        <v>26</v>
      </c>
      <c r="Z93" s="13" t="s">
        <v>144</v>
      </c>
      <c r="AA93" s="13" t="s">
        <v>146</v>
      </c>
      <c r="AB93" s="13" t="s">
        <v>137</v>
      </c>
      <c r="AC93" s="13">
        <f>VLOOKUP(Table24[[#This Row],[3_Elephant_ID]],'[1]Attributes(OUTDATED)'!$A$2:$N$19,12,FALSE)</f>
        <v>321</v>
      </c>
      <c r="AD93" s="13">
        <f>VLOOKUP(Table24[[#This Row],[3_Elephant_ID]],'[1]Attributes(OUTDATED)'!$A$2:$N$19,13,FALSE)</f>
        <v>0.17599999999999999</v>
      </c>
      <c r="AE93" s="13">
        <f>VLOOKUP(Table24[[#This Row],[3_Elephant_ID]],'[1]Attributes(OUTDATED)'!$A$2:$N$19,14,FALSE)</f>
        <v>0.17530262753188491</v>
      </c>
      <c r="AF93" s="13">
        <v>1</v>
      </c>
      <c r="AG93" s="13">
        <v>0</v>
      </c>
      <c r="AH93" s="13">
        <v>0</v>
      </c>
      <c r="AI93" s="13">
        <v>0</v>
      </c>
      <c r="AJ93" s="13">
        <f>VLOOKUP(Table24[[#This Row],[3_Elephant_ID]],'[1]Attributes(OUTDATED)'!$A$2:$P$19,16,FALSE)</f>
        <v>1</v>
      </c>
      <c r="AK93" s="13">
        <f>VLOOKUP(Table24[[#This Row],[3_Elephant_ID]],'[1]Attributes(OUTDATED)'!$A$2:$S$19,17,FALSE)</f>
        <v>6</v>
      </c>
      <c r="AL93" s="13">
        <f>VLOOKUP(Table24[[#This Row],[3_Elephant_ID]],'[1]Attributes(OUTDATED)'!$A$2:$S$19,18,FALSE)</f>
        <v>8</v>
      </c>
    </row>
    <row r="94" spans="1:38" ht="28" x14ac:dyDescent="0.15">
      <c r="A94" s="3">
        <v>182</v>
      </c>
      <c r="B94" s="6">
        <v>2405231127</v>
      </c>
      <c r="C94" s="7">
        <v>24</v>
      </c>
      <c r="D94" s="7">
        <v>5</v>
      </c>
      <c r="E94" s="7">
        <v>2023</v>
      </c>
      <c r="F94" s="5">
        <v>45070</v>
      </c>
      <c r="G94" s="6" t="s">
        <v>2</v>
      </c>
      <c r="H94" s="17">
        <v>0.22659813084112154</v>
      </c>
      <c r="I94" s="3" t="str">
        <f>VLOOKUP(G94,'[1]Attributes(OUTDATED)'!$A$2:$C$19,2,FALSE)</f>
        <v>F</v>
      </c>
      <c r="J94" s="3" t="str">
        <f>VLOOKUP(G94,'[1]Attributes(OUTDATED)'!$A$2:$C$19,3,FALSE)</f>
        <v>A</v>
      </c>
      <c r="K94" s="3">
        <f>VLOOKUP(G94,'[1]Attributes(OUTDATED)'!$A$2:$H$19,8,FALSE)</f>
        <v>892</v>
      </c>
      <c r="L94" s="3" t="str">
        <f>J94&amp;I94</f>
        <v>AF</v>
      </c>
      <c r="M94" s="11">
        <v>45068</v>
      </c>
      <c r="N94" s="13">
        <v>16.2</v>
      </c>
      <c r="O94" s="13">
        <v>7.6</v>
      </c>
      <c r="P94" s="13">
        <v>0.6</v>
      </c>
      <c r="Q94" s="13">
        <f>Table24[[#This Row],[2_Temp_H]]-Table24[[#This Row],[2_Temp_L]]</f>
        <v>15.6</v>
      </c>
      <c r="R94" s="13">
        <v>19.8</v>
      </c>
      <c r="S94" s="13">
        <v>2.5</v>
      </c>
      <c r="T94" s="13">
        <v>1016.93</v>
      </c>
      <c r="U94" s="13">
        <v>1012.87</v>
      </c>
      <c r="V94" s="13">
        <v>0</v>
      </c>
      <c r="W94" s="13" t="s">
        <v>147</v>
      </c>
      <c r="X94" s="13" t="s">
        <v>139</v>
      </c>
      <c r="Y94" s="13" t="s">
        <v>26</v>
      </c>
      <c r="Z94" s="13" t="s">
        <v>144</v>
      </c>
      <c r="AA94" s="13" t="s">
        <v>146</v>
      </c>
      <c r="AB94" s="13" t="s">
        <v>137</v>
      </c>
      <c r="AC94" s="13">
        <f>VLOOKUP(Table24[[#This Row],[3_Elephant_ID]],'[1]Attributes(OUTDATED)'!$A$2:$N$19,12,FALSE)</f>
        <v>378</v>
      </c>
      <c r="AD94" s="13">
        <f>VLOOKUP(Table24[[#This Row],[3_Elephant_ID]],'[1]Attributes(OUTDATED)'!$A$2:$N$19,13,FALSE)</f>
        <v>8.6999999999999994E-2</v>
      </c>
      <c r="AE94" s="13">
        <f>VLOOKUP(Table24[[#This Row],[3_Elephant_ID]],'[1]Attributes(OUTDATED)'!$A$2:$N$19,14,FALSE)</f>
        <v>8.6599138783086713E-2</v>
      </c>
      <c r="AF94" s="13">
        <v>1</v>
      </c>
      <c r="AG94" s="13">
        <v>0</v>
      </c>
      <c r="AH94" s="13">
        <v>0</v>
      </c>
      <c r="AI94" s="13">
        <v>0</v>
      </c>
      <c r="AJ94" s="13">
        <f>VLOOKUP(Table24[[#This Row],[3_Elephant_ID]],'[1]Attributes(OUTDATED)'!$A$2:$P$19,16,FALSE)</f>
        <v>1</v>
      </c>
      <c r="AK94" s="13">
        <f>VLOOKUP(Table24[[#This Row],[3_Elephant_ID]],'[1]Attributes(OUTDATED)'!$A$2:$S$19,17,FALSE)</f>
        <v>4</v>
      </c>
      <c r="AL94" s="13">
        <f>VLOOKUP(Table24[[#This Row],[3_Elephant_ID]],'[1]Attributes(OUTDATED)'!$A$2:$S$19,18,FALSE)</f>
        <v>20</v>
      </c>
    </row>
    <row r="95" spans="1:38" ht="28" x14ac:dyDescent="0.15">
      <c r="A95" s="3">
        <v>184</v>
      </c>
      <c r="B95" s="6">
        <v>2405231035</v>
      </c>
      <c r="C95" s="7">
        <v>24</v>
      </c>
      <c r="D95" s="7">
        <v>5</v>
      </c>
      <c r="E95" s="7">
        <v>2023</v>
      </c>
      <c r="F95" s="5">
        <v>45070</v>
      </c>
      <c r="G95" s="6" t="s">
        <v>15</v>
      </c>
      <c r="H95" s="17">
        <v>0.25013207547169813</v>
      </c>
      <c r="I95" s="3" t="str">
        <f>VLOOKUP(G95,'[1]Attributes(OUTDATED)'!$A$2:$C$19,2,FALSE)</f>
        <v>M</v>
      </c>
      <c r="J95" s="3" t="str">
        <f>VLOOKUP(G95,'[1]Attributes(OUTDATED)'!$A$2:$C$19,3,FALSE)</f>
        <v>J</v>
      </c>
      <c r="K95" s="3">
        <f>VLOOKUP(G95,'[1]Attributes(OUTDATED)'!$A$2:$H$19,8,FALSE)</f>
        <v>828</v>
      </c>
      <c r="L95" s="3" t="str">
        <f>J95&amp;I95</f>
        <v>JM</v>
      </c>
      <c r="M95" s="11">
        <v>45068</v>
      </c>
      <c r="N95" s="13">
        <v>16.2</v>
      </c>
      <c r="O95" s="13">
        <v>7.6</v>
      </c>
      <c r="P95" s="13">
        <v>0.6</v>
      </c>
      <c r="Q95" s="13">
        <f>Table24[[#This Row],[2_Temp_H]]-Table24[[#This Row],[2_Temp_L]]</f>
        <v>15.6</v>
      </c>
      <c r="R95" s="13">
        <v>19.8</v>
      </c>
      <c r="S95" s="13">
        <v>2.5</v>
      </c>
      <c r="T95" s="13">
        <v>1016.93</v>
      </c>
      <c r="U95" s="13">
        <v>1012.87</v>
      </c>
      <c r="V95" s="13">
        <v>0</v>
      </c>
      <c r="W95" s="13" t="s">
        <v>147</v>
      </c>
      <c r="X95" s="13" t="s">
        <v>139</v>
      </c>
      <c r="Y95" s="13" t="s">
        <v>26</v>
      </c>
      <c r="Z95" s="13" t="s">
        <v>144</v>
      </c>
      <c r="AA95" s="13" t="s">
        <v>146</v>
      </c>
      <c r="AB95" s="13" t="s">
        <v>137</v>
      </c>
      <c r="AC95" s="13">
        <f>VLOOKUP(Table24[[#This Row],[3_Elephant_ID]],'[1]Attributes(OUTDATED)'!$A$2:$N$19,12,FALSE)</f>
        <v>219</v>
      </c>
      <c r="AD95" s="13">
        <f>VLOOKUP(Table24[[#This Row],[3_Elephant_ID]],'[1]Attributes(OUTDATED)'!$A$2:$N$19,13,FALSE)</f>
        <v>0.32300000000000001</v>
      </c>
      <c r="AE95" s="13">
        <f>VLOOKUP(Table24[[#This Row],[3_Elephant_ID]],'[1]Attributes(OUTDATED)'!$A$2:$N$19,14,FALSE)</f>
        <v>0.32257531484312868</v>
      </c>
      <c r="AF95" s="13">
        <v>1</v>
      </c>
      <c r="AG95" s="13">
        <v>0</v>
      </c>
      <c r="AH95" s="13">
        <v>0</v>
      </c>
      <c r="AI95" s="13">
        <v>0</v>
      </c>
      <c r="AJ95" s="13">
        <f>VLOOKUP(Table24[[#This Row],[3_Elephant_ID]],'[1]Attributes(OUTDATED)'!$A$2:$P$19,16,FALSE)</f>
        <v>2</v>
      </c>
      <c r="AK95" s="13">
        <f>VLOOKUP(Table24[[#This Row],[3_Elephant_ID]],'[1]Attributes(OUTDATED)'!$A$2:$S$19,17,FALSE)</f>
        <v>1</v>
      </c>
      <c r="AL95" s="13">
        <f>VLOOKUP(Table24[[#This Row],[3_Elephant_ID]],'[1]Attributes(OUTDATED)'!$A$2:$S$19,18,FALSE)</f>
        <v>6</v>
      </c>
    </row>
    <row r="96" spans="1:38" ht="28" x14ac:dyDescent="0.15">
      <c r="A96" s="3">
        <v>180</v>
      </c>
      <c r="B96" s="6">
        <v>2405231223</v>
      </c>
      <c r="C96" s="7">
        <v>24</v>
      </c>
      <c r="D96" s="7">
        <v>5</v>
      </c>
      <c r="E96" s="7">
        <v>2023</v>
      </c>
      <c r="F96" s="5">
        <v>45070</v>
      </c>
      <c r="G96" s="6" t="s">
        <v>7</v>
      </c>
      <c r="H96" s="17">
        <v>0.18541747572815534</v>
      </c>
      <c r="I96" s="3" t="str">
        <f>VLOOKUP(G96,'[1]Attributes(OUTDATED)'!$A$2:$C$19,2,FALSE)</f>
        <v>F</v>
      </c>
      <c r="J96" s="3" t="str">
        <f>VLOOKUP(G96,'[1]Attributes(OUTDATED)'!$A$2:$C$19,3,FALSE)</f>
        <v>J</v>
      </c>
      <c r="K96" s="3">
        <f>VLOOKUP(G96,'[1]Attributes(OUTDATED)'!$A$2:$H$19,8,FALSE)</f>
        <v>711</v>
      </c>
      <c r="L96" s="3" t="str">
        <f>J96&amp;I96</f>
        <v>JF</v>
      </c>
      <c r="M96" s="11">
        <v>45068</v>
      </c>
      <c r="N96" s="13">
        <v>16.2</v>
      </c>
      <c r="O96" s="13">
        <v>7.6</v>
      </c>
      <c r="P96" s="13">
        <v>0.6</v>
      </c>
      <c r="Q96" s="13">
        <f>Table24[[#This Row],[2_Temp_H]]-Table24[[#This Row],[2_Temp_L]]</f>
        <v>15.6</v>
      </c>
      <c r="R96" s="13">
        <v>19.8</v>
      </c>
      <c r="S96" s="13">
        <v>2.5</v>
      </c>
      <c r="T96" s="13">
        <v>1016.93</v>
      </c>
      <c r="U96" s="13">
        <v>1012.87</v>
      </c>
      <c r="V96" s="13">
        <v>0</v>
      </c>
      <c r="W96" s="13" t="s">
        <v>147</v>
      </c>
      <c r="X96" s="13" t="s">
        <v>139</v>
      </c>
      <c r="Y96" s="13" t="s">
        <v>26</v>
      </c>
      <c r="Z96" s="13" t="s">
        <v>144</v>
      </c>
      <c r="AA96" s="13" t="s">
        <v>146</v>
      </c>
      <c r="AB96" s="13" t="s">
        <v>137</v>
      </c>
      <c r="AC96" s="13">
        <f>VLOOKUP(Table24[[#This Row],[3_Elephant_ID]],'[1]Attributes(OUTDATED)'!$A$2:$N$19,12,FALSE)</f>
        <v>398</v>
      </c>
      <c r="AD96" s="13">
        <f>VLOOKUP(Table24[[#This Row],[3_Elephant_ID]],'[1]Attributes(OUTDATED)'!$A$2:$N$19,13,FALSE)</f>
        <v>0.47899999999999998</v>
      </c>
      <c r="AE96" s="13">
        <f>VLOOKUP(Table24[[#This Row],[3_Elephant_ID]],'[1]Attributes(OUTDATED)'!$A$2:$N$19,14,FALSE)</f>
        <v>0.47820662037086947</v>
      </c>
      <c r="AF96" s="13">
        <v>1</v>
      </c>
      <c r="AG96" s="13">
        <v>0</v>
      </c>
      <c r="AH96" s="13">
        <v>0</v>
      </c>
      <c r="AI96" s="13">
        <v>0</v>
      </c>
      <c r="AJ96" s="13">
        <f>VLOOKUP(Table24[[#This Row],[3_Elephant_ID]],'[1]Attributes(OUTDATED)'!$A$2:$P$19,16,FALSE)</f>
        <v>1</v>
      </c>
      <c r="AK96" s="13">
        <f>VLOOKUP(Table24[[#This Row],[3_Elephant_ID]],'[1]Attributes(OUTDATED)'!$A$2:$S$19,17,FALSE)</f>
        <v>0</v>
      </c>
      <c r="AL96" s="13">
        <f>VLOOKUP(Table24[[#This Row],[3_Elephant_ID]],'[1]Attributes(OUTDATED)'!$A$2:$S$19,18,FALSE)</f>
        <v>12</v>
      </c>
    </row>
    <row r="97" spans="1:38" ht="28" x14ac:dyDescent="0.15">
      <c r="A97" s="3">
        <v>179</v>
      </c>
      <c r="B97" s="6">
        <v>2405231227</v>
      </c>
      <c r="C97" s="7">
        <v>24</v>
      </c>
      <c r="D97" s="7">
        <v>5</v>
      </c>
      <c r="E97" s="7">
        <v>2023</v>
      </c>
      <c r="F97" s="5">
        <v>45070</v>
      </c>
      <c r="G97" s="6" t="s">
        <v>16</v>
      </c>
      <c r="H97" s="17">
        <v>0.34543689320388349</v>
      </c>
      <c r="I97" s="3" t="str">
        <f>VLOOKUP(G97,'[1]Attributes(OUTDATED)'!$A$2:$C$19,2,FALSE)</f>
        <v>F</v>
      </c>
      <c r="J97" s="3" t="str">
        <f>VLOOKUP(G97,'[1]Attributes(OUTDATED)'!$A$2:$C$19,3,FALSE)</f>
        <v>A</v>
      </c>
      <c r="K97" s="3">
        <f>VLOOKUP(G97,'[1]Attributes(OUTDATED)'!$A$2:$H$19,8,FALSE)</f>
        <v>1346</v>
      </c>
      <c r="L97" s="3" t="str">
        <f>J97&amp;I97</f>
        <v>AF</v>
      </c>
      <c r="M97" s="11">
        <v>45068</v>
      </c>
      <c r="N97" s="13">
        <v>16.2</v>
      </c>
      <c r="O97" s="13">
        <v>7.6</v>
      </c>
      <c r="P97" s="13">
        <v>0.6</v>
      </c>
      <c r="Q97" s="13">
        <f>Table24[[#This Row],[2_Temp_H]]-Table24[[#This Row],[2_Temp_L]]</f>
        <v>15.6</v>
      </c>
      <c r="R97" s="13">
        <v>19.8</v>
      </c>
      <c r="S97" s="13">
        <v>2.5</v>
      </c>
      <c r="T97" s="13">
        <v>1016.93</v>
      </c>
      <c r="U97" s="13">
        <v>1012.87</v>
      </c>
      <c r="V97" s="13">
        <v>0</v>
      </c>
      <c r="W97" s="13" t="s">
        <v>147</v>
      </c>
      <c r="X97" s="13" t="s">
        <v>139</v>
      </c>
      <c r="Y97" s="13" t="s">
        <v>26</v>
      </c>
      <c r="Z97" s="13" t="s">
        <v>144</v>
      </c>
      <c r="AA97" s="13" t="s">
        <v>146</v>
      </c>
      <c r="AB97" s="13" t="s">
        <v>137</v>
      </c>
      <c r="AC97" s="13">
        <f>VLOOKUP(Table24[[#This Row],[3_Elephant_ID]],'[1]Attributes(OUTDATED)'!$A$2:$N$19,12,FALSE)</f>
        <v>474</v>
      </c>
      <c r="AD97" s="13">
        <f>VLOOKUP(Table24[[#This Row],[3_Elephant_ID]],'[1]Attributes(OUTDATED)'!$A$2:$N$19,13,FALSE)</f>
        <v>0.121</v>
      </c>
      <c r="AE97" s="13">
        <f>VLOOKUP(Table24[[#This Row],[3_Elephant_ID]],'[1]Attributes(OUTDATED)'!$A$2:$N$19,14,FALSE)</f>
        <v>0.1206993463154281</v>
      </c>
      <c r="AF97" s="13">
        <v>1</v>
      </c>
      <c r="AG97" s="13">
        <v>0</v>
      </c>
      <c r="AH97" s="13">
        <v>0</v>
      </c>
      <c r="AI97" s="13">
        <v>0</v>
      </c>
      <c r="AJ97" s="13">
        <f>VLOOKUP(Table24[[#This Row],[3_Elephant_ID]],'[1]Attributes(OUTDATED)'!$A$2:$P$19,16,FALSE)</f>
        <v>1</v>
      </c>
      <c r="AK97" s="13">
        <f>VLOOKUP(Table24[[#This Row],[3_Elephant_ID]],'[1]Attributes(OUTDATED)'!$A$2:$S$19,17,FALSE)</f>
        <v>16</v>
      </c>
      <c r="AL97" s="13">
        <f>VLOOKUP(Table24[[#This Row],[3_Elephant_ID]],'[1]Attributes(OUTDATED)'!$A$2:$S$19,18,FALSE)</f>
        <v>1</v>
      </c>
    </row>
    <row r="98" spans="1:38" ht="28" x14ac:dyDescent="0.15">
      <c r="A98" s="3">
        <v>176</v>
      </c>
      <c r="B98" s="6">
        <v>2505231536</v>
      </c>
      <c r="C98" s="7">
        <v>25</v>
      </c>
      <c r="D98" s="7">
        <v>5</v>
      </c>
      <c r="E98" s="7">
        <v>2023</v>
      </c>
      <c r="F98" s="5">
        <v>45071</v>
      </c>
      <c r="G98" s="6" t="s">
        <v>10</v>
      </c>
      <c r="H98" s="17">
        <v>0.2867976424361493</v>
      </c>
      <c r="I98" s="3" t="str">
        <f>VLOOKUP(G98,'[1]Attributes(OUTDATED)'!$A$2:$C$19,2,FALSE)</f>
        <v>F</v>
      </c>
      <c r="J98" s="3" t="str">
        <f>VLOOKUP(G98,'[1]Attributes(OUTDATED)'!$A$2:$C$19,3,FALSE)</f>
        <v>A</v>
      </c>
      <c r="K98" s="3">
        <f>VLOOKUP(G98,'[1]Attributes(OUTDATED)'!$A$2:$H$19,8,FALSE)</f>
        <v>1146</v>
      </c>
      <c r="L98" s="3" t="str">
        <f>J98&amp;I98</f>
        <v>AF</v>
      </c>
      <c r="M98" s="11">
        <v>45069</v>
      </c>
      <c r="N98" s="13">
        <v>21.8</v>
      </c>
      <c r="O98" s="13">
        <v>11.1</v>
      </c>
      <c r="P98" s="13">
        <v>2.9</v>
      </c>
      <c r="Q98" s="13">
        <f>Table24[[#This Row],[2_Temp_H]]-Table24[[#This Row],[2_Temp_L]]</f>
        <v>18.900000000000002</v>
      </c>
      <c r="R98" s="13">
        <v>22.5</v>
      </c>
      <c r="S98" s="13">
        <v>4.3</v>
      </c>
      <c r="T98" s="13">
        <v>1011.85</v>
      </c>
      <c r="U98" s="13">
        <v>1006.77</v>
      </c>
      <c r="V98" s="13">
        <v>0</v>
      </c>
      <c r="W98" s="13" t="s">
        <v>147</v>
      </c>
      <c r="X98" s="13" t="s">
        <v>139</v>
      </c>
      <c r="Y98" s="13" t="s">
        <v>26</v>
      </c>
      <c r="Z98" s="13" t="s">
        <v>144</v>
      </c>
      <c r="AA98" s="13" t="s">
        <v>146</v>
      </c>
      <c r="AB98" s="13" t="s">
        <v>137</v>
      </c>
      <c r="AC98" s="13">
        <f>VLOOKUP(Table24[[#This Row],[3_Elephant_ID]],'[1]Attributes(OUTDATED)'!$A$2:$N$19,12,FALSE)</f>
        <v>424</v>
      </c>
      <c r="AD98" s="13">
        <f>VLOOKUP(Table24[[#This Row],[3_Elephant_ID]],'[1]Attributes(OUTDATED)'!$A$2:$N$19,13,FALSE)</f>
        <v>0.10299999999999999</v>
      </c>
      <c r="AE98" s="13">
        <f>VLOOKUP(Table24[[#This Row],[3_Elephant_ID]],'[1]Attributes(OUTDATED)'!$A$2:$N$19,14,FALSE)</f>
        <v>0.10282190709599449</v>
      </c>
      <c r="AF98" s="13">
        <v>2</v>
      </c>
      <c r="AG98" s="13">
        <v>0</v>
      </c>
      <c r="AH98" s="13">
        <v>0</v>
      </c>
      <c r="AI98" s="13">
        <v>0</v>
      </c>
      <c r="AJ98" s="13">
        <f>VLOOKUP(Table24[[#This Row],[3_Elephant_ID]],'[1]Attributes(OUTDATED)'!$A$2:$P$19,16,FALSE)</f>
        <v>1</v>
      </c>
      <c r="AK98" s="13">
        <f>VLOOKUP(Table24[[#This Row],[3_Elephant_ID]],'[1]Attributes(OUTDATED)'!$A$2:$S$19,17,FALSE)</f>
        <v>9</v>
      </c>
      <c r="AL98" s="13">
        <f>VLOOKUP(Table24[[#This Row],[3_Elephant_ID]],'[1]Attributes(OUTDATED)'!$A$2:$S$19,18,FALSE)</f>
        <v>8</v>
      </c>
    </row>
    <row r="99" spans="1:38" ht="28" x14ac:dyDescent="0.15">
      <c r="A99" s="3">
        <v>175</v>
      </c>
      <c r="B99" s="6">
        <v>2505231602</v>
      </c>
      <c r="C99" s="7">
        <v>25</v>
      </c>
      <c r="D99" s="7">
        <v>5</v>
      </c>
      <c r="E99" s="7">
        <v>2023</v>
      </c>
      <c r="F99" s="5">
        <v>45071</v>
      </c>
      <c r="G99" s="6" t="s">
        <v>2</v>
      </c>
      <c r="H99" s="17">
        <v>0.22644444444444445</v>
      </c>
      <c r="I99" s="3" t="str">
        <f>VLOOKUP(G99,'[1]Attributes(OUTDATED)'!$A$2:$C$19,2,FALSE)</f>
        <v>F</v>
      </c>
      <c r="J99" s="3" t="str">
        <f>VLOOKUP(G99,'[1]Attributes(OUTDATED)'!$A$2:$C$19,3,FALSE)</f>
        <v>A</v>
      </c>
      <c r="K99" s="3">
        <f>VLOOKUP(G99,'[1]Attributes(OUTDATED)'!$A$2:$H$19,8,FALSE)</f>
        <v>892</v>
      </c>
      <c r="L99" s="3" t="str">
        <f>J99&amp;I99</f>
        <v>AF</v>
      </c>
      <c r="M99" s="11">
        <v>45069</v>
      </c>
      <c r="N99" s="13">
        <v>21.8</v>
      </c>
      <c r="O99" s="13">
        <v>11.1</v>
      </c>
      <c r="P99" s="13">
        <v>2.9</v>
      </c>
      <c r="Q99" s="13">
        <f>Table24[[#This Row],[2_Temp_H]]-Table24[[#This Row],[2_Temp_L]]</f>
        <v>18.900000000000002</v>
      </c>
      <c r="R99" s="13">
        <v>22.5</v>
      </c>
      <c r="S99" s="13">
        <v>4.3</v>
      </c>
      <c r="T99" s="13">
        <v>1011.85</v>
      </c>
      <c r="U99" s="13">
        <v>1006.77</v>
      </c>
      <c r="V99" s="13">
        <v>0</v>
      </c>
      <c r="W99" s="13" t="s">
        <v>147</v>
      </c>
      <c r="X99" s="13" t="s">
        <v>139</v>
      </c>
      <c r="Y99" s="13" t="s">
        <v>26</v>
      </c>
      <c r="Z99" s="13" t="s">
        <v>144</v>
      </c>
      <c r="AA99" s="13" t="s">
        <v>146</v>
      </c>
      <c r="AB99" s="13" t="s">
        <v>137</v>
      </c>
      <c r="AC99" s="13">
        <f>VLOOKUP(Table24[[#This Row],[3_Elephant_ID]],'[1]Attributes(OUTDATED)'!$A$2:$N$19,12,FALSE)</f>
        <v>378</v>
      </c>
      <c r="AD99" s="13">
        <f>VLOOKUP(Table24[[#This Row],[3_Elephant_ID]],'[1]Attributes(OUTDATED)'!$A$2:$N$19,13,FALSE)</f>
        <v>8.6999999999999994E-2</v>
      </c>
      <c r="AE99" s="13">
        <f>VLOOKUP(Table24[[#This Row],[3_Elephant_ID]],'[1]Attributes(OUTDATED)'!$A$2:$N$19,14,FALSE)</f>
        <v>8.6599138783086713E-2</v>
      </c>
      <c r="AF99" s="13">
        <v>2</v>
      </c>
      <c r="AG99" s="13">
        <v>0</v>
      </c>
      <c r="AH99" s="13">
        <v>0</v>
      </c>
      <c r="AI99" s="13">
        <v>0</v>
      </c>
      <c r="AJ99" s="13">
        <f>VLOOKUP(Table24[[#This Row],[3_Elephant_ID]],'[1]Attributes(OUTDATED)'!$A$2:$P$19,16,FALSE)</f>
        <v>1</v>
      </c>
      <c r="AK99" s="13">
        <f>VLOOKUP(Table24[[#This Row],[3_Elephant_ID]],'[1]Attributes(OUTDATED)'!$A$2:$S$19,17,FALSE)</f>
        <v>4</v>
      </c>
      <c r="AL99" s="13">
        <f>VLOOKUP(Table24[[#This Row],[3_Elephant_ID]],'[1]Attributes(OUTDATED)'!$A$2:$S$19,18,FALSE)</f>
        <v>20</v>
      </c>
    </row>
    <row r="100" spans="1:38" ht="28" x14ac:dyDescent="0.15">
      <c r="A100" s="3">
        <v>173</v>
      </c>
      <c r="B100" s="6">
        <v>2505231717</v>
      </c>
      <c r="C100" s="7">
        <v>25</v>
      </c>
      <c r="D100" s="7">
        <v>5</v>
      </c>
      <c r="E100" s="7">
        <v>2023</v>
      </c>
      <c r="F100" s="5">
        <v>45071</v>
      </c>
      <c r="G100" s="6" t="s">
        <v>13</v>
      </c>
      <c r="H100" s="17">
        <v>0.36966990291262136</v>
      </c>
      <c r="I100" s="3" t="str">
        <f>VLOOKUP(G100,'[1]Attributes(OUTDATED)'!$A$2:$C$19,2,FALSE)</f>
        <v>F</v>
      </c>
      <c r="J100" s="3" t="str">
        <f>VLOOKUP(G100,'[1]Attributes(OUTDATED)'!$A$2:$C$19,3,FALSE)</f>
        <v>A</v>
      </c>
      <c r="K100" s="3">
        <f>VLOOKUP(G100,'[1]Attributes(OUTDATED)'!$A$2:$H$19,8,FALSE)</f>
        <v>963</v>
      </c>
      <c r="L100" s="3" t="str">
        <f>J100&amp;I100</f>
        <v>AF</v>
      </c>
      <c r="M100" s="11">
        <v>45069</v>
      </c>
      <c r="N100" s="13">
        <v>21.8</v>
      </c>
      <c r="O100" s="13">
        <v>11.1</v>
      </c>
      <c r="P100" s="13">
        <v>2.9</v>
      </c>
      <c r="Q100" s="13">
        <f>Table24[[#This Row],[2_Temp_H]]-Table24[[#This Row],[2_Temp_L]]</f>
        <v>18.900000000000002</v>
      </c>
      <c r="R100" s="13">
        <v>22.5</v>
      </c>
      <c r="S100" s="13">
        <v>4.3</v>
      </c>
      <c r="T100" s="13">
        <v>1011.85</v>
      </c>
      <c r="U100" s="13">
        <v>1006.77</v>
      </c>
      <c r="V100" s="13">
        <v>0</v>
      </c>
      <c r="W100" s="13" t="s">
        <v>147</v>
      </c>
      <c r="X100" s="13" t="s">
        <v>139</v>
      </c>
      <c r="Y100" s="13" t="s">
        <v>26</v>
      </c>
      <c r="Z100" s="13" t="s">
        <v>144</v>
      </c>
      <c r="AA100" s="13" t="s">
        <v>146</v>
      </c>
      <c r="AB100" s="13" t="s">
        <v>137</v>
      </c>
      <c r="AC100" s="13">
        <f>VLOOKUP(Table24[[#This Row],[3_Elephant_ID]],'[1]Attributes(OUTDATED)'!$A$2:$N$19,12,FALSE)</f>
        <v>289</v>
      </c>
      <c r="AD100" s="13">
        <f>VLOOKUP(Table24[[#This Row],[3_Elephant_ID]],'[1]Attributes(OUTDATED)'!$A$2:$N$19,13,FALSE)</f>
        <v>0.32400000000000001</v>
      </c>
      <c r="AE100" s="13">
        <f>VLOOKUP(Table24[[#This Row],[3_Elephant_ID]],'[1]Attributes(OUTDATED)'!$A$2:$N$19,14,FALSE)</f>
        <v>0.32380809109629533</v>
      </c>
      <c r="AF100" s="13">
        <v>2</v>
      </c>
      <c r="AG100" s="13">
        <v>0</v>
      </c>
      <c r="AH100" s="13">
        <v>0</v>
      </c>
      <c r="AI100" s="13">
        <v>0</v>
      </c>
      <c r="AJ100" s="13">
        <f>VLOOKUP(Table24[[#This Row],[3_Elephant_ID]],'[1]Attributes(OUTDATED)'!$A$2:$P$19,16,FALSE)</f>
        <v>2</v>
      </c>
      <c r="AK100" s="13">
        <f>VLOOKUP(Table24[[#This Row],[3_Elephant_ID]],'[1]Attributes(OUTDATED)'!$A$2:$S$19,17,FALSE)</f>
        <v>9</v>
      </c>
      <c r="AL100" s="13">
        <f>VLOOKUP(Table24[[#This Row],[3_Elephant_ID]],'[1]Attributes(OUTDATED)'!$A$2:$S$19,18,FALSE)</f>
        <v>9</v>
      </c>
    </row>
    <row r="101" spans="1:38" ht="28" x14ac:dyDescent="0.15">
      <c r="A101" s="3">
        <v>174</v>
      </c>
      <c r="B101" s="6">
        <v>2505231624</v>
      </c>
      <c r="C101" s="7">
        <v>25</v>
      </c>
      <c r="D101" s="7">
        <v>5</v>
      </c>
      <c r="E101" s="7">
        <v>2023</v>
      </c>
      <c r="F101" s="5">
        <v>45071</v>
      </c>
      <c r="G101" s="6" t="s">
        <v>16</v>
      </c>
      <c r="H101" s="17">
        <v>0.40188235294117641</v>
      </c>
      <c r="I101" s="3" t="str">
        <f>VLOOKUP(G101,'[1]Attributes(OUTDATED)'!$A$2:$C$19,2,FALSE)</f>
        <v>F</v>
      </c>
      <c r="J101" s="3" t="str">
        <f>VLOOKUP(G101,'[1]Attributes(OUTDATED)'!$A$2:$C$19,3,FALSE)</f>
        <v>A</v>
      </c>
      <c r="K101" s="3">
        <f>VLOOKUP(G101,'[1]Attributes(OUTDATED)'!$A$2:$H$19,8,FALSE)</f>
        <v>1346</v>
      </c>
      <c r="L101" s="3" t="str">
        <f>J101&amp;I101</f>
        <v>AF</v>
      </c>
      <c r="M101" s="11">
        <v>45069</v>
      </c>
      <c r="N101" s="13">
        <v>21.8</v>
      </c>
      <c r="O101" s="13">
        <v>11.1</v>
      </c>
      <c r="P101" s="13">
        <v>2.9</v>
      </c>
      <c r="Q101" s="13">
        <f>Table24[[#This Row],[2_Temp_H]]-Table24[[#This Row],[2_Temp_L]]</f>
        <v>18.900000000000002</v>
      </c>
      <c r="R101" s="13">
        <v>22.5</v>
      </c>
      <c r="S101" s="13">
        <v>4.3</v>
      </c>
      <c r="T101" s="13">
        <v>1011.85</v>
      </c>
      <c r="U101" s="13">
        <v>1006.77</v>
      </c>
      <c r="V101" s="13">
        <v>0</v>
      </c>
      <c r="W101" s="13" t="s">
        <v>147</v>
      </c>
      <c r="X101" s="13" t="s">
        <v>139</v>
      </c>
      <c r="Y101" s="13" t="s">
        <v>26</v>
      </c>
      <c r="Z101" s="13" t="s">
        <v>144</v>
      </c>
      <c r="AA101" s="13" t="s">
        <v>146</v>
      </c>
      <c r="AB101" s="13" t="s">
        <v>137</v>
      </c>
      <c r="AC101" s="13">
        <f>VLOOKUP(Table24[[#This Row],[3_Elephant_ID]],'[1]Attributes(OUTDATED)'!$A$2:$N$19,12,FALSE)</f>
        <v>474</v>
      </c>
      <c r="AD101" s="13">
        <f>VLOOKUP(Table24[[#This Row],[3_Elephant_ID]],'[1]Attributes(OUTDATED)'!$A$2:$N$19,13,FALSE)</f>
        <v>0.121</v>
      </c>
      <c r="AE101" s="13">
        <f>VLOOKUP(Table24[[#This Row],[3_Elephant_ID]],'[1]Attributes(OUTDATED)'!$A$2:$N$19,14,FALSE)</f>
        <v>0.1206993463154281</v>
      </c>
      <c r="AF101" s="13">
        <v>2</v>
      </c>
      <c r="AG101" s="13">
        <v>1</v>
      </c>
      <c r="AH101" s="13">
        <v>0</v>
      </c>
      <c r="AI101" s="13">
        <v>1</v>
      </c>
      <c r="AJ101" s="13">
        <f>VLOOKUP(Table24[[#This Row],[3_Elephant_ID]],'[1]Attributes(OUTDATED)'!$A$2:$P$19,16,FALSE)</f>
        <v>1</v>
      </c>
      <c r="AK101" s="13">
        <f>VLOOKUP(Table24[[#This Row],[3_Elephant_ID]],'[1]Attributes(OUTDATED)'!$A$2:$S$19,17,FALSE)</f>
        <v>16</v>
      </c>
      <c r="AL101" s="13">
        <f>VLOOKUP(Table24[[#This Row],[3_Elephant_ID]],'[1]Attributes(OUTDATED)'!$A$2:$S$19,18,FALSE)</f>
        <v>1</v>
      </c>
    </row>
    <row r="102" spans="1:38" ht="28" x14ac:dyDescent="0.15">
      <c r="A102" s="3">
        <v>167</v>
      </c>
      <c r="B102" s="6">
        <v>2805231020</v>
      </c>
      <c r="C102" s="7">
        <v>28</v>
      </c>
      <c r="D102" s="7">
        <v>5</v>
      </c>
      <c r="E102" s="7">
        <v>2023</v>
      </c>
      <c r="F102" s="5">
        <v>45074</v>
      </c>
      <c r="G102" s="6" t="s">
        <v>31</v>
      </c>
      <c r="H102" s="17">
        <v>0.3677735124760077</v>
      </c>
      <c r="I102" s="3" t="str">
        <f>VLOOKUP(G102,'[1]Attributes(OUTDATED)'!$A$2:$C$19,2,FALSE)</f>
        <v>F</v>
      </c>
      <c r="J102" s="3" t="str">
        <f>VLOOKUP(G102,'[1]Attributes(OUTDATED)'!$A$2:$C$19,3,FALSE)</f>
        <v>J</v>
      </c>
      <c r="K102" s="3">
        <f>VLOOKUP(G102,'[1]Attributes(OUTDATED)'!$A$2:$H$19,8,FALSE)</f>
        <v>765</v>
      </c>
      <c r="L102" s="3" t="str">
        <f>J102&amp;I102</f>
        <v>JF</v>
      </c>
      <c r="M102" s="11">
        <v>45072</v>
      </c>
      <c r="N102" s="13">
        <v>13.5</v>
      </c>
      <c r="O102" s="13">
        <v>7.3</v>
      </c>
      <c r="P102" s="13">
        <v>0.9</v>
      </c>
      <c r="Q102" s="13">
        <f>Table24[[#This Row],[2_Temp_H]]-Table24[[#This Row],[2_Temp_L]]</f>
        <v>12.6</v>
      </c>
      <c r="R102" s="13">
        <v>32.700000000000003</v>
      </c>
      <c r="S102" s="13">
        <v>6.3</v>
      </c>
      <c r="T102" s="13">
        <v>1014.9</v>
      </c>
      <c r="U102" s="13">
        <v>1008.81</v>
      </c>
      <c r="V102" s="13">
        <v>2.79</v>
      </c>
      <c r="W102" s="13" t="s">
        <v>147</v>
      </c>
      <c r="X102" s="13" t="s">
        <v>139</v>
      </c>
      <c r="Y102" s="13" t="s">
        <v>26</v>
      </c>
      <c r="Z102" s="13" t="s">
        <v>144</v>
      </c>
      <c r="AA102" s="13" t="s">
        <v>146</v>
      </c>
      <c r="AB102" s="13" t="s">
        <v>137</v>
      </c>
      <c r="AC102" s="13">
        <f>VLOOKUP(Table24[[#This Row],[3_Elephant_ID]],'[1]Attributes(OUTDATED)'!$A$2:$N$19,12,FALSE)</f>
        <v>258</v>
      </c>
      <c r="AD102" s="13">
        <f>VLOOKUP(Table24[[#This Row],[3_Elephant_ID]],'[1]Attributes(OUTDATED)'!$A$2:$N$19,13,FALSE)</f>
        <v>0.25700000000000001</v>
      </c>
      <c r="AE102" s="13">
        <f>VLOOKUP(Table24[[#This Row],[3_Elephant_ID]],'[1]Attributes(OUTDATED)'!$A$2:$N$19,14,FALSE)</f>
        <v>0.25665547185998128</v>
      </c>
      <c r="AF102" s="13">
        <v>0</v>
      </c>
      <c r="AG102" s="13">
        <v>0</v>
      </c>
      <c r="AH102" s="13">
        <v>0</v>
      </c>
      <c r="AI102" s="13">
        <v>0</v>
      </c>
      <c r="AJ102" s="13">
        <f>VLOOKUP(Table24[[#This Row],[3_Elephant_ID]],'[1]Attributes(OUTDATED)'!$A$2:$P$19,16,FALSE)</f>
        <v>2</v>
      </c>
      <c r="AK102" s="13">
        <f>VLOOKUP(Table24[[#This Row],[3_Elephant_ID]],'[1]Attributes(OUTDATED)'!$A$2:$S$19,17,FALSE)</f>
        <v>1</v>
      </c>
      <c r="AL102" s="13">
        <f>VLOOKUP(Table24[[#This Row],[3_Elephant_ID]],'[1]Attributes(OUTDATED)'!$A$2:$S$19,18,FALSE)</f>
        <v>10</v>
      </c>
    </row>
    <row r="103" spans="1:38" ht="28" x14ac:dyDescent="0.15">
      <c r="A103" s="3">
        <v>168</v>
      </c>
      <c r="B103" s="6">
        <v>2805231058</v>
      </c>
      <c r="C103" s="7">
        <v>28</v>
      </c>
      <c r="D103" s="7">
        <v>5</v>
      </c>
      <c r="E103" s="7">
        <v>2023</v>
      </c>
      <c r="F103" s="5">
        <v>45074</v>
      </c>
      <c r="G103" s="6" t="s">
        <v>11</v>
      </c>
      <c r="H103" s="17">
        <v>0.33807909604519776</v>
      </c>
      <c r="I103" s="3" t="str">
        <f>VLOOKUP(G103,'[1]Attributes(OUTDATED)'!$A$2:$C$19,2,FALSE)</f>
        <v>M</v>
      </c>
      <c r="J103" s="3" t="str">
        <f>VLOOKUP(G103,'[1]Attributes(OUTDATED)'!$A$2:$C$19,3,FALSE)</f>
        <v>A</v>
      </c>
      <c r="K103" s="3">
        <f>VLOOKUP(G103,'[1]Attributes(OUTDATED)'!$A$2:$H$19,8,FALSE)</f>
        <v>1223</v>
      </c>
      <c r="L103" s="3" t="str">
        <f>J103&amp;I103</f>
        <v>AM</v>
      </c>
      <c r="M103" s="11">
        <v>45072</v>
      </c>
      <c r="N103" s="13">
        <v>13.5</v>
      </c>
      <c r="O103" s="13">
        <v>7.3</v>
      </c>
      <c r="P103" s="13">
        <v>0.9</v>
      </c>
      <c r="Q103" s="13">
        <f>Table24[[#This Row],[2_Temp_H]]-Table24[[#This Row],[2_Temp_L]]</f>
        <v>12.6</v>
      </c>
      <c r="R103" s="13">
        <v>32.700000000000003</v>
      </c>
      <c r="S103" s="13">
        <v>6.3</v>
      </c>
      <c r="T103" s="13">
        <v>1014.9</v>
      </c>
      <c r="U103" s="13">
        <v>1008.81</v>
      </c>
      <c r="V103" s="13">
        <v>2.79</v>
      </c>
      <c r="W103" s="13" t="s">
        <v>147</v>
      </c>
      <c r="X103" s="13" t="s">
        <v>139</v>
      </c>
      <c r="Y103" s="13" t="s">
        <v>26</v>
      </c>
      <c r="Z103" s="13" t="s">
        <v>144</v>
      </c>
      <c r="AA103" s="13" t="s">
        <v>146</v>
      </c>
      <c r="AB103" s="13" t="s">
        <v>137</v>
      </c>
      <c r="AC103" s="13">
        <f>VLOOKUP(Table24[[#This Row],[3_Elephant_ID]],'[1]Attributes(OUTDATED)'!$A$2:$N$19,12,FALSE)</f>
        <v>404</v>
      </c>
      <c r="AD103" s="13">
        <f>VLOOKUP(Table24[[#This Row],[3_Elephant_ID]],'[1]Attributes(OUTDATED)'!$A$2:$N$19,13,FALSE)</f>
        <v>0.91700000000000004</v>
      </c>
      <c r="AE103" s="13">
        <f>VLOOKUP(Table24[[#This Row],[3_Elephant_ID]],'[1]Attributes(OUTDATED)'!$A$2:$N$19,14,FALSE)</f>
        <v>0.91664628583929353</v>
      </c>
      <c r="AF103" s="13">
        <v>0</v>
      </c>
      <c r="AG103" s="13">
        <v>0</v>
      </c>
      <c r="AH103" s="13">
        <v>0</v>
      </c>
      <c r="AI103" s="13">
        <v>0</v>
      </c>
      <c r="AJ103" s="13">
        <f>VLOOKUP(Table24[[#This Row],[3_Elephant_ID]],'[1]Attributes(OUTDATED)'!$A$2:$P$19,16,FALSE)</f>
        <v>1</v>
      </c>
      <c r="AK103" s="13">
        <f>VLOOKUP(Table24[[#This Row],[3_Elephant_ID]],'[1]Attributes(OUTDATED)'!$A$2:$S$19,17,FALSE)</f>
        <v>14</v>
      </c>
      <c r="AL103" s="13">
        <f>VLOOKUP(Table24[[#This Row],[3_Elephant_ID]],'[1]Attributes(OUTDATED)'!$A$2:$S$19,18,FALSE)</f>
        <v>17</v>
      </c>
    </row>
    <row r="104" spans="1:38" ht="28" x14ac:dyDescent="0.15">
      <c r="A104" s="3">
        <v>169</v>
      </c>
      <c r="B104" s="6">
        <v>2805231101</v>
      </c>
      <c r="C104" s="7">
        <v>28</v>
      </c>
      <c r="D104" s="7">
        <v>5</v>
      </c>
      <c r="E104" s="7">
        <v>2023</v>
      </c>
      <c r="F104" s="5">
        <v>45074</v>
      </c>
      <c r="G104" s="6" t="s">
        <v>6</v>
      </c>
      <c r="H104" s="17">
        <v>0.78770949720670402</v>
      </c>
      <c r="I104" s="3" t="str">
        <f>VLOOKUP(G104,'[1]Attributes(OUTDATED)'!$A$2:$C$19,2,FALSE)</f>
        <v>F</v>
      </c>
      <c r="J104" s="3" t="str">
        <f>VLOOKUP(G104,'[1]Attributes(OUTDATED)'!$A$2:$C$19,3,FALSE)</f>
        <v>A</v>
      </c>
      <c r="K104" s="3">
        <f>VLOOKUP(G104,'[1]Attributes(OUTDATED)'!$A$2:$H$19,8,FALSE)</f>
        <v>1168</v>
      </c>
      <c r="L104" s="3" t="str">
        <f>J104&amp;I104</f>
        <v>AF</v>
      </c>
      <c r="M104" s="11">
        <v>45072</v>
      </c>
      <c r="N104" s="13">
        <v>13.5</v>
      </c>
      <c r="O104" s="13">
        <v>7.3</v>
      </c>
      <c r="P104" s="13">
        <v>0.9</v>
      </c>
      <c r="Q104" s="13">
        <f>Table24[[#This Row],[2_Temp_H]]-Table24[[#This Row],[2_Temp_L]]</f>
        <v>12.6</v>
      </c>
      <c r="R104" s="13">
        <v>32.700000000000003</v>
      </c>
      <c r="S104" s="13">
        <v>6.3</v>
      </c>
      <c r="T104" s="13">
        <v>1014.9</v>
      </c>
      <c r="U104" s="13">
        <v>1008.81</v>
      </c>
      <c r="V104" s="13">
        <v>2.79</v>
      </c>
      <c r="W104" s="13" t="s">
        <v>147</v>
      </c>
      <c r="X104" s="13" t="s">
        <v>139</v>
      </c>
      <c r="Y104" s="13" t="s">
        <v>26</v>
      </c>
      <c r="Z104" s="13" t="s">
        <v>144</v>
      </c>
      <c r="AA104" s="13" t="s">
        <v>146</v>
      </c>
      <c r="AB104" s="13" t="s">
        <v>137</v>
      </c>
      <c r="AC104" s="13">
        <f>VLOOKUP(Table24[[#This Row],[3_Elephant_ID]],'[1]Attributes(OUTDATED)'!$A$2:$N$19,12,FALSE)</f>
        <v>286</v>
      </c>
      <c r="AD104" s="13">
        <f>VLOOKUP(Table24[[#This Row],[3_Elephant_ID]],'[1]Attributes(OUTDATED)'!$A$2:$N$19,13,FALSE)</f>
        <v>0.26800000000000002</v>
      </c>
      <c r="AE104" s="13">
        <f>VLOOKUP(Table24[[#This Row],[3_Elephant_ID]],'[1]Attributes(OUTDATED)'!$A$2:$N$19,14,FALSE)</f>
        <v>0.26721028245328138</v>
      </c>
      <c r="AF104" s="13">
        <v>0</v>
      </c>
      <c r="AG104" s="13">
        <v>0</v>
      </c>
      <c r="AH104" s="13">
        <v>0</v>
      </c>
      <c r="AI104" s="13">
        <v>0</v>
      </c>
      <c r="AJ104" s="13">
        <f>VLOOKUP(Table24[[#This Row],[3_Elephant_ID]],'[1]Attributes(OUTDATED)'!$A$2:$P$19,16,FALSE)</f>
        <v>2</v>
      </c>
      <c r="AK104" s="13">
        <f>VLOOKUP(Table24[[#This Row],[3_Elephant_ID]],'[1]Attributes(OUTDATED)'!$A$2:$S$19,17,FALSE)</f>
        <v>12</v>
      </c>
      <c r="AL104" s="13">
        <f>VLOOKUP(Table24[[#This Row],[3_Elephant_ID]],'[1]Attributes(OUTDATED)'!$A$2:$S$19,18,FALSE)</f>
        <v>5</v>
      </c>
    </row>
    <row r="105" spans="1:38" ht="28" x14ac:dyDescent="0.15">
      <c r="A105" s="3">
        <v>171</v>
      </c>
      <c r="B105" s="6">
        <v>2805231112</v>
      </c>
      <c r="C105" s="7">
        <v>28</v>
      </c>
      <c r="D105" s="7">
        <v>5</v>
      </c>
      <c r="E105" s="7">
        <v>2023</v>
      </c>
      <c r="F105" s="5">
        <v>45074</v>
      </c>
      <c r="G105" s="6" t="s">
        <v>13</v>
      </c>
      <c r="H105" s="17">
        <v>0.32697142857142864</v>
      </c>
      <c r="I105" s="3" t="str">
        <f>VLOOKUP(G105,'[1]Attributes(OUTDATED)'!$A$2:$C$19,2,FALSE)</f>
        <v>F</v>
      </c>
      <c r="J105" s="3" t="str">
        <f>VLOOKUP(G105,'[1]Attributes(OUTDATED)'!$A$2:$C$19,3,FALSE)</f>
        <v>A</v>
      </c>
      <c r="K105" s="3">
        <f>VLOOKUP(G105,'[1]Attributes(OUTDATED)'!$A$2:$H$19,8,FALSE)</f>
        <v>963</v>
      </c>
      <c r="L105" s="3" t="str">
        <f>J105&amp;I105</f>
        <v>AF</v>
      </c>
      <c r="M105" s="11">
        <v>45072</v>
      </c>
      <c r="N105" s="13">
        <v>13.5</v>
      </c>
      <c r="O105" s="13">
        <v>7.3</v>
      </c>
      <c r="P105" s="13">
        <v>0.9</v>
      </c>
      <c r="Q105" s="13">
        <f>Table24[[#This Row],[2_Temp_H]]-Table24[[#This Row],[2_Temp_L]]</f>
        <v>12.6</v>
      </c>
      <c r="R105" s="13">
        <v>32.700000000000003</v>
      </c>
      <c r="S105" s="13">
        <v>6.3</v>
      </c>
      <c r="T105" s="13">
        <v>1014.9</v>
      </c>
      <c r="U105" s="13">
        <v>1008.81</v>
      </c>
      <c r="V105" s="13">
        <v>2.79</v>
      </c>
      <c r="W105" s="13" t="s">
        <v>147</v>
      </c>
      <c r="X105" s="13" t="s">
        <v>139</v>
      </c>
      <c r="Y105" s="13" t="s">
        <v>26</v>
      </c>
      <c r="Z105" s="13" t="s">
        <v>144</v>
      </c>
      <c r="AA105" s="13" t="s">
        <v>146</v>
      </c>
      <c r="AB105" s="13" t="s">
        <v>137</v>
      </c>
      <c r="AC105" s="13">
        <f>VLOOKUP(Table24[[#This Row],[3_Elephant_ID]],'[1]Attributes(OUTDATED)'!$A$2:$N$19,12,FALSE)</f>
        <v>289</v>
      </c>
      <c r="AD105" s="13">
        <f>VLOOKUP(Table24[[#This Row],[3_Elephant_ID]],'[1]Attributes(OUTDATED)'!$A$2:$N$19,13,FALSE)</f>
        <v>0.32400000000000001</v>
      </c>
      <c r="AE105" s="13">
        <f>VLOOKUP(Table24[[#This Row],[3_Elephant_ID]],'[1]Attributes(OUTDATED)'!$A$2:$N$19,14,FALSE)</f>
        <v>0.32380809109629533</v>
      </c>
      <c r="AF105" s="13">
        <v>0</v>
      </c>
      <c r="AG105" s="13">
        <v>0</v>
      </c>
      <c r="AH105" s="13">
        <v>0</v>
      </c>
      <c r="AI105" s="13">
        <v>0</v>
      </c>
      <c r="AJ105" s="13">
        <f>VLOOKUP(Table24[[#This Row],[3_Elephant_ID]],'[1]Attributes(OUTDATED)'!$A$2:$P$19,16,FALSE)</f>
        <v>2</v>
      </c>
      <c r="AK105" s="13">
        <f>VLOOKUP(Table24[[#This Row],[3_Elephant_ID]],'[1]Attributes(OUTDATED)'!$A$2:$S$19,17,FALSE)</f>
        <v>9</v>
      </c>
      <c r="AL105" s="13">
        <f>VLOOKUP(Table24[[#This Row],[3_Elephant_ID]],'[1]Attributes(OUTDATED)'!$A$2:$S$19,18,FALSE)</f>
        <v>9</v>
      </c>
    </row>
    <row r="106" spans="1:38" ht="28" x14ac:dyDescent="0.15">
      <c r="A106" s="3">
        <v>170</v>
      </c>
      <c r="B106" s="6">
        <v>2805231103</v>
      </c>
      <c r="C106" s="7">
        <v>28</v>
      </c>
      <c r="D106" s="7">
        <v>5</v>
      </c>
      <c r="E106" s="7">
        <v>2023</v>
      </c>
      <c r="F106" s="5">
        <v>45074</v>
      </c>
      <c r="G106" s="6" t="s">
        <v>15</v>
      </c>
      <c r="H106" s="17">
        <v>0.29660919540229885</v>
      </c>
      <c r="I106" s="3" t="str">
        <f>VLOOKUP(G106,'[1]Attributes(OUTDATED)'!$A$2:$C$19,2,FALSE)</f>
        <v>M</v>
      </c>
      <c r="J106" s="3" t="str">
        <f>VLOOKUP(G106,'[1]Attributes(OUTDATED)'!$A$2:$C$19,3,FALSE)</f>
        <v>J</v>
      </c>
      <c r="K106" s="3">
        <f>VLOOKUP(G106,'[1]Attributes(OUTDATED)'!$A$2:$H$19,8,FALSE)</f>
        <v>828</v>
      </c>
      <c r="L106" s="3" t="str">
        <f>J106&amp;I106</f>
        <v>JM</v>
      </c>
      <c r="M106" s="11">
        <v>45072</v>
      </c>
      <c r="N106" s="13">
        <v>13.5</v>
      </c>
      <c r="O106" s="13">
        <v>7.3</v>
      </c>
      <c r="P106" s="13">
        <v>0.9</v>
      </c>
      <c r="Q106" s="13">
        <f>Table24[[#This Row],[2_Temp_H]]-Table24[[#This Row],[2_Temp_L]]</f>
        <v>12.6</v>
      </c>
      <c r="R106" s="13">
        <v>32.700000000000003</v>
      </c>
      <c r="S106" s="13">
        <v>6.3</v>
      </c>
      <c r="T106" s="13">
        <v>1014.9</v>
      </c>
      <c r="U106" s="13">
        <v>1008.81</v>
      </c>
      <c r="V106" s="13">
        <v>2.79</v>
      </c>
      <c r="W106" s="13" t="s">
        <v>147</v>
      </c>
      <c r="X106" s="13" t="s">
        <v>139</v>
      </c>
      <c r="Y106" s="13" t="s">
        <v>26</v>
      </c>
      <c r="Z106" s="13" t="s">
        <v>144</v>
      </c>
      <c r="AA106" s="13" t="s">
        <v>146</v>
      </c>
      <c r="AB106" s="13" t="s">
        <v>137</v>
      </c>
      <c r="AC106" s="13">
        <f>VLOOKUP(Table24[[#This Row],[3_Elephant_ID]],'[1]Attributes(OUTDATED)'!$A$2:$N$19,12,FALSE)</f>
        <v>219</v>
      </c>
      <c r="AD106" s="13">
        <f>VLOOKUP(Table24[[#This Row],[3_Elephant_ID]],'[1]Attributes(OUTDATED)'!$A$2:$N$19,13,FALSE)</f>
        <v>0.32300000000000001</v>
      </c>
      <c r="AE106" s="13">
        <f>VLOOKUP(Table24[[#This Row],[3_Elephant_ID]],'[1]Attributes(OUTDATED)'!$A$2:$N$19,14,FALSE)</f>
        <v>0.32257531484312868</v>
      </c>
      <c r="AF106" s="13">
        <v>0</v>
      </c>
      <c r="AG106" s="13">
        <v>0</v>
      </c>
      <c r="AH106" s="13">
        <v>0</v>
      </c>
      <c r="AI106" s="13">
        <v>0</v>
      </c>
      <c r="AJ106" s="13">
        <f>VLOOKUP(Table24[[#This Row],[3_Elephant_ID]],'[1]Attributes(OUTDATED)'!$A$2:$P$19,16,FALSE)</f>
        <v>2</v>
      </c>
      <c r="AK106" s="13">
        <f>VLOOKUP(Table24[[#This Row],[3_Elephant_ID]],'[1]Attributes(OUTDATED)'!$A$2:$S$19,17,FALSE)</f>
        <v>1</v>
      </c>
      <c r="AL106" s="13">
        <f>VLOOKUP(Table24[[#This Row],[3_Elephant_ID]],'[1]Attributes(OUTDATED)'!$A$2:$S$19,18,FALSE)</f>
        <v>6</v>
      </c>
    </row>
    <row r="107" spans="1:38" ht="28" x14ac:dyDescent="0.15">
      <c r="A107" s="3">
        <v>172</v>
      </c>
      <c r="B107" s="6">
        <v>2805230858</v>
      </c>
      <c r="C107" s="7">
        <v>28</v>
      </c>
      <c r="D107" s="7">
        <v>5</v>
      </c>
      <c r="E107" s="7">
        <v>2023</v>
      </c>
      <c r="F107" s="5">
        <v>45074</v>
      </c>
      <c r="G107" s="6" t="s">
        <v>7</v>
      </c>
      <c r="H107" s="17">
        <v>0.28318014705882344</v>
      </c>
      <c r="I107" s="3" t="str">
        <f>VLOOKUP(G107,'[1]Attributes(OUTDATED)'!$A$2:$C$19,2,FALSE)</f>
        <v>F</v>
      </c>
      <c r="J107" s="3" t="str">
        <f>VLOOKUP(G107,'[1]Attributes(OUTDATED)'!$A$2:$C$19,3,FALSE)</f>
        <v>J</v>
      </c>
      <c r="K107" s="3">
        <f>VLOOKUP(G107,'[1]Attributes(OUTDATED)'!$A$2:$H$19,8,FALSE)</f>
        <v>711</v>
      </c>
      <c r="L107" s="3" t="str">
        <f>J107&amp;I107</f>
        <v>JF</v>
      </c>
      <c r="M107" s="11">
        <v>45072</v>
      </c>
      <c r="N107" s="13">
        <v>13.5</v>
      </c>
      <c r="O107" s="13">
        <v>7.3</v>
      </c>
      <c r="P107" s="13">
        <v>0.9</v>
      </c>
      <c r="Q107" s="13">
        <f>Table24[[#This Row],[2_Temp_H]]-Table24[[#This Row],[2_Temp_L]]</f>
        <v>12.6</v>
      </c>
      <c r="R107" s="13">
        <v>32.700000000000003</v>
      </c>
      <c r="S107" s="13">
        <v>6.3</v>
      </c>
      <c r="T107" s="13">
        <v>1014.9</v>
      </c>
      <c r="U107" s="13">
        <v>1008.81</v>
      </c>
      <c r="V107" s="13">
        <v>2.79</v>
      </c>
      <c r="W107" s="13" t="s">
        <v>147</v>
      </c>
      <c r="X107" s="13" t="s">
        <v>139</v>
      </c>
      <c r="Y107" s="13" t="s">
        <v>26</v>
      </c>
      <c r="Z107" s="13" t="s">
        <v>144</v>
      </c>
      <c r="AA107" s="13" t="s">
        <v>146</v>
      </c>
      <c r="AB107" s="13" t="s">
        <v>137</v>
      </c>
      <c r="AC107" s="13">
        <f>VLOOKUP(Table24[[#This Row],[3_Elephant_ID]],'[1]Attributes(OUTDATED)'!$A$2:$N$19,12,FALSE)</f>
        <v>398</v>
      </c>
      <c r="AD107" s="13">
        <f>VLOOKUP(Table24[[#This Row],[3_Elephant_ID]],'[1]Attributes(OUTDATED)'!$A$2:$N$19,13,FALSE)</f>
        <v>0.47899999999999998</v>
      </c>
      <c r="AE107" s="13">
        <f>VLOOKUP(Table24[[#This Row],[3_Elephant_ID]],'[1]Attributes(OUTDATED)'!$A$2:$N$19,14,FALSE)</f>
        <v>0.47820662037086947</v>
      </c>
      <c r="AF107" s="13">
        <v>0</v>
      </c>
      <c r="AG107" s="13">
        <v>0</v>
      </c>
      <c r="AH107" s="13">
        <v>0</v>
      </c>
      <c r="AI107" s="13">
        <v>0</v>
      </c>
      <c r="AJ107" s="13">
        <f>VLOOKUP(Table24[[#This Row],[3_Elephant_ID]],'[1]Attributes(OUTDATED)'!$A$2:$P$19,16,FALSE)</f>
        <v>1</v>
      </c>
      <c r="AK107" s="13">
        <f>VLOOKUP(Table24[[#This Row],[3_Elephant_ID]],'[1]Attributes(OUTDATED)'!$A$2:$S$19,17,FALSE)</f>
        <v>0</v>
      </c>
      <c r="AL107" s="13">
        <f>VLOOKUP(Table24[[#This Row],[3_Elephant_ID]],'[1]Attributes(OUTDATED)'!$A$2:$S$19,18,FALSE)</f>
        <v>12</v>
      </c>
    </row>
    <row r="108" spans="1:38" ht="28" x14ac:dyDescent="0.15">
      <c r="A108" s="3">
        <v>165</v>
      </c>
      <c r="B108" s="6" t="s">
        <v>78</v>
      </c>
      <c r="C108" s="7">
        <v>1</v>
      </c>
      <c r="D108" s="7">
        <v>6</v>
      </c>
      <c r="E108" s="7">
        <v>2023</v>
      </c>
      <c r="F108" s="5">
        <v>45078</v>
      </c>
      <c r="G108" s="6" t="s">
        <v>3</v>
      </c>
      <c r="H108" s="17">
        <v>0.41218348623853218</v>
      </c>
      <c r="I108" s="3" t="str">
        <f>VLOOKUP(G108,'[1]Attributes(OUTDATED)'!$A$2:$C$19,2,FALSE)</f>
        <v>M</v>
      </c>
      <c r="J108" s="3" t="str">
        <f>VLOOKUP(G108,'[1]Attributes(OUTDATED)'!$A$2:$C$19,3,FALSE)</f>
        <v>J</v>
      </c>
      <c r="K108" s="3">
        <f>VLOOKUP(G108,'[1]Attributes(OUTDATED)'!$A$2:$H$19,8,FALSE)</f>
        <v>1031</v>
      </c>
      <c r="L108" s="3" t="str">
        <f>J108&amp;I108</f>
        <v>JM</v>
      </c>
      <c r="M108" s="11">
        <v>45076</v>
      </c>
      <c r="N108" s="13">
        <v>17.7</v>
      </c>
      <c r="O108" s="13">
        <v>11.9</v>
      </c>
      <c r="P108" s="13">
        <v>6.5</v>
      </c>
      <c r="Q108" s="13">
        <f>Table24[[#This Row],[2_Temp_H]]-Table24[[#This Row],[2_Temp_L]]</f>
        <v>11.2</v>
      </c>
      <c r="R108" s="13">
        <v>41</v>
      </c>
      <c r="S108" s="13">
        <v>6.5</v>
      </c>
      <c r="T108" s="13">
        <v>1011.85</v>
      </c>
      <c r="U108" s="13">
        <v>1007.79</v>
      </c>
      <c r="V108" s="13">
        <v>30.23</v>
      </c>
      <c r="W108" s="13" t="s">
        <v>147</v>
      </c>
      <c r="X108" s="16" t="s">
        <v>171</v>
      </c>
      <c r="Y108" s="13" t="s">
        <v>137</v>
      </c>
      <c r="Z108" s="13" t="s">
        <v>144</v>
      </c>
      <c r="AA108" s="13" t="s">
        <v>146</v>
      </c>
      <c r="AB108" s="13" t="s">
        <v>137</v>
      </c>
      <c r="AC108" s="13">
        <f>VLOOKUP(Table24[[#This Row],[3_Elephant_ID]],'[1]Attributes(OUTDATED)'!$A$2:$N$19,12,FALSE)</f>
        <v>234</v>
      </c>
      <c r="AD108" s="13">
        <f>VLOOKUP(Table24[[#This Row],[3_Elephant_ID]],'[1]Attributes(OUTDATED)'!$A$2:$N$19,13,FALSE)</f>
        <v>0.16500000000000001</v>
      </c>
      <c r="AE108" s="13">
        <f>VLOOKUP(Table24[[#This Row],[3_Elephant_ID]],'[1]Attributes(OUTDATED)'!$A$2:$N$19,14,FALSE)</f>
        <v>0.16420161303383449</v>
      </c>
      <c r="AF108" s="13">
        <v>0</v>
      </c>
      <c r="AG108" s="13">
        <v>0</v>
      </c>
      <c r="AH108" s="13">
        <v>0</v>
      </c>
      <c r="AI108" s="13">
        <v>0</v>
      </c>
      <c r="AJ108" s="13">
        <f>VLOOKUP(Table24[[#This Row],[3_Elephant_ID]],'[1]Attributes(OUTDATED)'!$A$2:$P$19,16,FALSE)</f>
        <v>1</v>
      </c>
      <c r="AK108" s="13">
        <f>VLOOKUP(Table24[[#This Row],[3_Elephant_ID]],'[1]Attributes(OUTDATED)'!$A$2:$S$19,17,FALSE)</f>
        <v>9</v>
      </c>
      <c r="AL108" s="13">
        <f>VLOOKUP(Table24[[#This Row],[3_Elephant_ID]],'[1]Attributes(OUTDATED)'!$A$2:$S$19,18,FALSE)</f>
        <v>9</v>
      </c>
    </row>
    <row r="109" spans="1:38" ht="28" x14ac:dyDescent="0.15">
      <c r="A109" s="3">
        <v>166</v>
      </c>
      <c r="B109" s="6" t="s">
        <v>79</v>
      </c>
      <c r="C109" s="7">
        <v>1</v>
      </c>
      <c r="D109" s="7">
        <v>6</v>
      </c>
      <c r="E109" s="7">
        <v>2023</v>
      </c>
      <c r="F109" s="5">
        <v>45078</v>
      </c>
      <c r="G109" s="6" t="s">
        <v>11</v>
      </c>
      <c r="H109" s="17">
        <v>0.44108737864077668</v>
      </c>
      <c r="I109" s="3" t="str">
        <f>VLOOKUP(G109,'[1]Attributes(OUTDATED)'!$A$2:$C$19,2,FALSE)</f>
        <v>M</v>
      </c>
      <c r="J109" s="3" t="str">
        <f>VLOOKUP(G109,'[1]Attributes(OUTDATED)'!$A$2:$C$19,3,FALSE)</f>
        <v>A</v>
      </c>
      <c r="K109" s="3">
        <f>VLOOKUP(G109,'[1]Attributes(OUTDATED)'!$A$2:$H$19,8,FALSE)</f>
        <v>1223</v>
      </c>
      <c r="L109" s="3" t="str">
        <f>J109&amp;I109</f>
        <v>AM</v>
      </c>
      <c r="M109" s="11">
        <v>45076</v>
      </c>
      <c r="N109" s="13">
        <v>17.7</v>
      </c>
      <c r="O109" s="13">
        <v>11.9</v>
      </c>
      <c r="P109" s="13">
        <v>6.5</v>
      </c>
      <c r="Q109" s="13">
        <f>Table24[[#This Row],[2_Temp_H]]-Table24[[#This Row],[2_Temp_L]]</f>
        <v>11.2</v>
      </c>
      <c r="R109" s="13">
        <v>41</v>
      </c>
      <c r="S109" s="13">
        <v>6.5</v>
      </c>
      <c r="T109" s="13">
        <v>1011.85</v>
      </c>
      <c r="U109" s="13">
        <v>1007.79</v>
      </c>
      <c r="V109" s="13">
        <v>30.23</v>
      </c>
      <c r="W109" s="13" t="s">
        <v>147</v>
      </c>
      <c r="X109" s="16" t="s">
        <v>171</v>
      </c>
      <c r="Y109" s="13" t="s">
        <v>137</v>
      </c>
      <c r="Z109" s="13" t="s">
        <v>144</v>
      </c>
      <c r="AA109" s="13" t="s">
        <v>146</v>
      </c>
      <c r="AB109" s="13" t="s">
        <v>137</v>
      </c>
      <c r="AC109" s="13">
        <f>VLOOKUP(Table24[[#This Row],[3_Elephant_ID]],'[1]Attributes(OUTDATED)'!$A$2:$N$19,12,FALSE)</f>
        <v>404</v>
      </c>
      <c r="AD109" s="13">
        <f>VLOOKUP(Table24[[#This Row],[3_Elephant_ID]],'[1]Attributes(OUTDATED)'!$A$2:$N$19,13,FALSE)</f>
        <v>0.91700000000000004</v>
      </c>
      <c r="AE109" s="13">
        <f>VLOOKUP(Table24[[#This Row],[3_Elephant_ID]],'[1]Attributes(OUTDATED)'!$A$2:$N$19,14,FALSE)</f>
        <v>0.91664628583929353</v>
      </c>
      <c r="AF109" s="13">
        <v>0</v>
      </c>
      <c r="AG109" s="13">
        <v>0</v>
      </c>
      <c r="AH109" s="13">
        <v>0</v>
      </c>
      <c r="AI109" s="13">
        <v>0</v>
      </c>
      <c r="AJ109" s="13">
        <f>VLOOKUP(Table24[[#This Row],[3_Elephant_ID]],'[1]Attributes(OUTDATED)'!$A$2:$P$19,16,FALSE)</f>
        <v>1</v>
      </c>
      <c r="AK109" s="13">
        <f>VLOOKUP(Table24[[#This Row],[3_Elephant_ID]],'[1]Attributes(OUTDATED)'!$A$2:$S$19,17,FALSE)</f>
        <v>14</v>
      </c>
      <c r="AL109" s="13">
        <f>VLOOKUP(Table24[[#This Row],[3_Elephant_ID]],'[1]Attributes(OUTDATED)'!$A$2:$S$19,18,FALSE)</f>
        <v>17</v>
      </c>
    </row>
    <row r="110" spans="1:38" ht="28" x14ac:dyDescent="0.15">
      <c r="A110" s="3">
        <v>164</v>
      </c>
      <c r="B110" s="6" t="s">
        <v>77</v>
      </c>
      <c r="C110" s="7">
        <v>2</v>
      </c>
      <c r="D110" s="7">
        <v>6</v>
      </c>
      <c r="E110" s="7">
        <v>2023</v>
      </c>
      <c r="F110" s="5">
        <v>45079</v>
      </c>
      <c r="G110" s="6" t="s">
        <v>14</v>
      </c>
      <c r="H110" s="17">
        <v>0.43198852772466539</v>
      </c>
      <c r="I110" s="3" t="str">
        <f>VLOOKUP(G110,'[1]Attributes(OUTDATED)'!$A$2:$C$19,2,FALSE)</f>
        <v>F</v>
      </c>
      <c r="J110" s="3" t="str">
        <f>VLOOKUP(G110,'[1]Attributes(OUTDATED)'!$A$2:$C$19,3,FALSE)</f>
        <v>J</v>
      </c>
      <c r="K110" s="3">
        <f>VLOOKUP(G110,'[1]Attributes(OUTDATED)'!$A$2:$H$19,8,FALSE)</f>
        <v>879</v>
      </c>
      <c r="L110" s="3" t="str">
        <f>J110&amp;I110</f>
        <v>JF</v>
      </c>
      <c r="M110" s="11">
        <v>45077</v>
      </c>
      <c r="N110" s="13">
        <v>14.1</v>
      </c>
      <c r="O110" s="13">
        <v>8.8000000000000007</v>
      </c>
      <c r="P110" s="13">
        <v>2.7</v>
      </c>
      <c r="Q110" s="13">
        <f>Table24[[#This Row],[2_Temp_H]]-Table24[[#This Row],[2_Temp_L]]</f>
        <v>11.399999999999999</v>
      </c>
      <c r="R110" s="13">
        <v>20.8</v>
      </c>
      <c r="S110" s="13">
        <v>2.2000000000000002</v>
      </c>
      <c r="T110" s="13">
        <v>1013.88</v>
      </c>
      <c r="U110" s="13">
        <v>1010.84</v>
      </c>
      <c r="V110" s="13">
        <v>0</v>
      </c>
      <c r="W110" s="13" t="s">
        <v>147</v>
      </c>
      <c r="X110" s="16" t="s">
        <v>171</v>
      </c>
      <c r="Y110" s="13" t="s">
        <v>137</v>
      </c>
      <c r="Z110" s="13" t="s">
        <v>144</v>
      </c>
      <c r="AA110" s="13" t="s">
        <v>146</v>
      </c>
      <c r="AB110" s="13" t="s">
        <v>137</v>
      </c>
      <c r="AC110" s="13">
        <f>VLOOKUP(Table24[[#This Row],[3_Elephant_ID]],'[1]Attributes(OUTDATED)'!$A$2:$N$19,12,FALSE)</f>
        <v>269</v>
      </c>
      <c r="AD110" s="13">
        <f>VLOOKUP(Table24[[#This Row],[3_Elephant_ID]],'[1]Attributes(OUTDATED)'!$A$2:$N$19,13,FALSE)</f>
        <v>0.65800000000000003</v>
      </c>
      <c r="AE110" s="13">
        <f>VLOOKUP(Table24[[#This Row],[3_Elephant_ID]],'[1]Attributes(OUTDATED)'!$A$2:$N$19,14,FALSE)</f>
        <v>0.65767064449315993</v>
      </c>
      <c r="AF110" s="13">
        <v>0</v>
      </c>
      <c r="AG110" s="13">
        <v>0</v>
      </c>
      <c r="AH110" s="13">
        <v>0</v>
      </c>
      <c r="AI110" s="13">
        <v>0</v>
      </c>
      <c r="AJ110" s="13">
        <f>VLOOKUP(Table24[[#This Row],[3_Elephant_ID]],'[1]Attributes(OUTDATED)'!$A$2:$P$19,16,FALSE)</f>
        <v>1</v>
      </c>
      <c r="AK110" s="13">
        <f>VLOOKUP(Table24[[#This Row],[3_Elephant_ID]],'[1]Attributes(OUTDATED)'!$A$2:$S$19,17,FALSE)</f>
        <v>3</v>
      </c>
      <c r="AL110" s="13">
        <f>VLOOKUP(Table24[[#This Row],[3_Elephant_ID]],'[1]Attributes(OUTDATED)'!$A$2:$S$19,18,FALSE)</f>
        <v>9</v>
      </c>
    </row>
    <row r="111" spans="1:38" ht="28" x14ac:dyDescent="0.15">
      <c r="A111" s="3">
        <v>163</v>
      </c>
      <c r="B111" s="6" t="s">
        <v>76</v>
      </c>
      <c r="C111" s="7">
        <v>5</v>
      </c>
      <c r="D111" s="7">
        <v>6</v>
      </c>
      <c r="E111" s="7">
        <v>2023</v>
      </c>
      <c r="F111" s="5">
        <v>45082</v>
      </c>
      <c r="G111" s="6" t="s">
        <v>3</v>
      </c>
      <c r="H111" s="17">
        <v>0.26359168241965969</v>
      </c>
      <c r="I111" s="3" t="str">
        <f>VLOOKUP(G111,'[1]Attributes(OUTDATED)'!$A$2:$C$19,2,FALSE)</f>
        <v>M</v>
      </c>
      <c r="J111" s="3" t="str">
        <f>VLOOKUP(G111,'[1]Attributes(OUTDATED)'!$A$2:$C$19,3,FALSE)</f>
        <v>J</v>
      </c>
      <c r="K111" s="3">
        <f>VLOOKUP(G111,'[1]Attributes(OUTDATED)'!$A$2:$H$19,8,FALSE)</f>
        <v>1031</v>
      </c>
      <c r="L111" s="3" t="str">
        <f>J111&amp;I111</f>
        <v>JM</v>
      </c>
      <c r="M111" s="11">
        <v>45080</v>
      </c>
      <c r="N111" s="13">
        <v>20.399999999999999</v>
      </c>
      <c r="O111" s="13">
        <v>16</v>
      </c>
      <c r="P111" s="13">
        <v>8.9</v>
      </c>
      <c r="Q111" s="13">
        <f>Table24[[#This Row],[2_Temp_H]]-Table24[[#This Row],[2_Temp_L]]</f>
        <v>11.499999999999998</v>
      </c>
      <c r="R111" s="13">
        <v>52.1</v>
      </c>
      <c r="S111" s="13">
        <v>12.3</v>
      </c>
      <c r="T111" s="13">
        <v>1008.81</v>
      </c>
      <c r="U111" s="13">
        <v>1003.05</v>
      </c>
      <c r="V111" s="13">
        <v>0.76</v>
      </c>
      <c r="W111" s="13" t="s">
        <v>147</v>
      </c>
      <c r="X111" s="13" t="s">
        <v>139</v>
      </c>
      <c r="Y111" s="13" t="s">
        <v>26</v>
      </c>
      <c r="Z111" s="13" t="s">
        <v>144</v>
      </c>
      <c r="AA111" s="13" t="s">
        <v>146</v>
      </c>
      <c r="AB111" s="13" t="s">
        <v>137</v>
      </c>
      <c r="AC111" s="13">
        <f>VLOOKUP(Table24[[#This Row],[3_Elephant_ID]],'[1]Attributes(OUTDATED)'!$A$2:$N$19,12,FALSE)</f>
        <v>234</v>
      </c>
      <c r="AD111" s="13">
        <f>VLOOKUP(Table24[[#This Row],[3_Elephant_ID]],'[1]Attributes(OUTDATED)'!$A$2:$N$19,13,FALSE)</f>
        <v>0.16500000000000001</v>
      </c>
      <c r="AE111" s="13">
        <f>VLOOKUP(Table24[[#This Row],[3_Elephant_ID]],'[1]Attributes(OUTDATED)'!$A$2:$N$19,14,FALSE)</f>
        <v>0.16420161303383449</v>
      </c>
      <c r="AF111" s="13">
        <v>0</v>
      </c>
      <c r="AG111" s="13">
        <v>0</v>
      </c>
      <c r="AH111" s="13">
        <v>0</v>
      </c>
      <c r="AI111" s="13">
        <v>0</v>
      </c>
      <c r="AJ111" s="13">
        <f>VLOOKUP(Table24[[#This Row],[3_Elephant_ID]],'[1]Attributes(OUTDATED)'!$A$2:$P$19,16,FALSE)</f>
        <v>1</v>
      </c>
      <c r="AK111" s="13">
        <f>VLOOKUP(Table24[[#This Row],[3_Elephant_ID]],'[1]Attributes(OUTDATED)'!$A$2:$S$19,17,FALSE)</f>
        <v>9</v>
      </c>
      <c r="AL111" s="13">
        <f>VLOOKUP(Table24[[#This Row],[3_Elephant_ID]],'[1]Attributes(OUTDATED)'!$A$2:$S$19,18,FALSE)</f>
        <v>9</v>
      </c>
    </row>
    <row r="112" spans="1:38" ht="28" x14ac:dyDescent="0.15">
      <c r="A112" s="3">
        <v>161</v>
      </c>
      <c r="B112" s="6" t="s">
        <v>74</v>
      </c>
      <c r="C112" s="7">
        <v>5</v>
      </c>
      <c r="D112" s="7">
        <v>6</v>
      </c>
      <c r="E112" s="7">
        <v>2023</v>
      </c>
      <c r="F112" s="5">
        <v>45082</v>
      </c>
      <c r="G112" s="6" t="s">
        <v>9</v>
      </c>
      <c r="H112" s="17">
        <v>0.31813186813186811</v>
      </c>
      <c r="I112" s="3" t="str">
        <f>VLOOKUP(G112,'[1]Attributes(OUTDATED)'!$A$2:$C$19,2,FALSE)</f>
        <v>F</v>
      </c>
      <c r="J112" s="3" t="str">
        <f>VLOOKUP(G112,'[1]Attributes(OUTDATED)'!$A$2:$C$19,3,FALSE)</f>
        <v>J</v>
      </c>
      <c r="K112" s="3">
        <f>VLOOKUP(G112,'[1]Attributes(OUTDATED)'!$A$2:$H$19,8,FALSE)</f>
        <v>820</v>
      </c>
      <c r="L112" s="3" t="str">
        <f>J112&amp;I112</f>
        <v>JF</v>
      </c>
      <c r="M112" s="11">
        <v>45080</v>
      </c>
      <c r="N112" s="13">
        <v>20.399999999999999</v>
      </c>
      <c r="O112" s="13">
        <v>16</v>
      </c>
      <c r="P112" s="13">
        <v>8.9</v>
      </c>
      <c r="Q112" s="13">
        <f>Table24[[#This Row],[2_Temp_H]]-Table24[[#This Row],[2_Temp_L]]</f>
        <v>11.499999999999998</v>
      </c>
      <c r="R112" s="13">
        <v>52.1</v>
      </c>
      <c r="S112" s="13">
        <v>12.3</v>
      </c>
      <c r="T112" s="13">
        <v>1008.81</v>
      </c>
      <c r="U112" s="13">
        <v>1003.05</v>
      </c>
      <c r="V112" s="13">
        <v>0.76</v>
      </c>
      <c r="W112" s="13" t="s">
        <v>147</v>
      </c>
      <c r="X112" s="13" t="s">
        <v>139</v>
      </c>
      <c r="Y112" s="13" t="s">
        <v>26</v>
      </c>
      <c r="Z112" s="13" t="s">
        <v>144</v>
      </c>
      <c r="AA112" s="13" t="s">
        <v>146</v>
      </c>
      <c r="AB112" s="13" t="s">
        <v>137</v>
      </c>
      <c r="AC112" s="13">
        <f>VLOOKUP(Table24[[#This Row],[3_Elephant_ID]],'[1]Attributes(OUTDATED)'!$A$2:$N$19,12,FALSE)</f>
        <v>305</v>
      </c>
      <c r="AD112" s="13">
        <f>VLOOKUP(Table24[[#This Row],[3_Elephant_ID]],'[1]Attributes(OUTDATED)'!$A$2:$N$19,13,FALSE)</f>
        <v>0.17499999999999999</v>
      </c>
      <c r="AE112" s="13">
        <f>VLOOKUP(Table24[[#This Row],[3_Elephant_ID]],'[1]Attributes(OUTDATED)'!$A$2:$N$19,14,FALSE)</f>
        <v>0.17467336145108631</v>
      </c>
      <c r="AF112" s="13">
        <v>0</v>
      </c>
      <c r="AG112" s="13">
        <v>0</v>
      </c>
      <c r="AH112" s="13">
        <v>0</v>
      </c>
      <c r="AI112" s="13">
        <v>0</v>
      </c>
      <c r="AJ112" s="13">
        <f>VLOOKUP(Table24[[#This Row],[3_Elephant_ID]],'[1]Attributes(OUTDATED)'!$A$2:$P$19,16,FALSE)</f>
        <v>2</v>
      </c>
      <c r="AK112" s="13">
        <f>VLOOKUP(Table24[[#This Row],[3_Elephant_ID]],'[1]Attributes(OUTDATED)'!$A$2:$S$19,17,FALSE)</f>
        <v>0</v>
      </c>
      <c r="AL112" s="13">
        <f>VLOOKUP(Table24[[#This Row],[3_Elephant_ID]],'[1]Attributes(OUTDATED)'!$A$2:$S$19,18,FALSE)</f>
        <v>4</v>
      </c>
    </row>
    <row r="113" spans="1:38" ht="28" x14ac:dyDescent="0.15">
      <c r="A113" s="3">
        <v>160</v>
      </c>
      <c r="B113" s="6" t="s">
        <v>73</v>
      </c>
      <c r="C113" s="7">
        <v>5</v>
      </c>
      <c r="D113" s="7">
        <v>6</v>
      </c>
      <c r="E113" s="7">
        <v>2023</v>
      </c>
      <c r="F113" s="5">
        <v>45082</v>
      </c>
      <c r="G113" s="6" t="s">
        <v>10</v>
      </c>
      <c r="H113" s="17">
        <v>0.33726256983240227</v>
      </c>
      <c r="I113" s="3" t="str">
        <f>VLOOKUP(G113,'[1]Attributes(OUTDATED)'!$A$2:$C$19,2,FALSE)</f>
        <v>F</v>
      </c>
      <c r="J113" s="3" t="str">
        <f>VLOOKUP(G113,'[1]Attributes(OUTDATED)'!$A$2:$C$19,3,FALSE)</f>
        <v>A</v>
      </c>
      <c r="K113" s="3">
        <f>VLOOKUP(G113,'[1]Attributes(OUTDATED)'!$A$2:$H$19,8,FALSE)</f>
        <v>1146</v>
      </c>
      <c r="L113" s="3" t="str">
        <f>J113&amp;I113</f>
        <v>AF</v>
      </c>
      <c r="M113" s="11">
        <v>45080</v>
      </c>
      <c r="N113" s="13">
        <v>20.399999999999999</v>
      </c>
      <c r="O113" s="13">
        <v>16</v>
      </c>
      <c r="P113" s="13">
        <v>8.9</v>
      </c>
      <c r="Q113" s="13">
        <f>Table24[[#This Row],[2_Temp_H]]-Table24[[#This Row],[2_Temp_L]]</f>
        <v>11.499999999999998</v>
      </c>
      <c r="R113" s="13">
        <v>52.1</v>
      </c>
      <c r="S113" s="13">
        <v>12.3</v>
      </c>
      <c r="T113" s="13">
        <v>1008.81</v>
      </c>
      <c r="U113" s="13">
        <v>1003.05</v>
      </c>
      <c r="V113" s="13">
        <v>0.76</v>
      </c>
      <c r="W113" s="13" t="s">
        <v>147</v>
      </c>
      <c r="X113" s="13" t="s">
        <v>139</v>
      </c>
      <c r="Y113" s="13" t="s">
        <v>26</v>
      </c>
      <c r="Z113" s="13" t="s">
        <v>144</v>
      </c>
      <c r="AA113" s="13" t="s">
        <v>146</v>
      </c>
      <c r="AB113" s="13" t="s">
        <v>137</v>
      </c>
      <c r="AC113" s="13">
        <f>VLOOKUP(Table24[[#This Row],[3_Elephant_ID]],'[1]Attributes(OUTDATED)'!$A$2:$N$19,12,FALSE)</f>
        <v>424</v>
      </c>
      <c r="AD113" s="13">
        <f>VLOOKUP(Table24[[#This Row],[3_Elephant_ID]],'[1]Attributes(OUTDATED)'!$A$2:$N$19,13,FALSE)</f>
        <v>0.10299999999999999</v>
      </c>
      <c r="AE113" s="13">
        <f>VLOOKUP(Table24[[#This Row],[3_Elephant_ID]],'[1]Attributes(OUTDATED)'!$A$2:$N$19,14,FALSE)</f>
        <v>0.10282190709599449</v>
      </c>
      <c r="AF113" s="13">
        <v>0</v>
      </c>
      <c r="AG113" s="13">
        <v>0</v>
      </c>
      <c r="AH113" s="13">
        <v>0</v>
      </c>
      <c r="AI113" s="13">
        <v>0</v>
      </c>
      <c r="AJ113" s="13">
        <f>VLOOKUP(Table24[[#This Row],[3_Elephant_ID]],'[1]Attributes(OUTDATED)'!$A$2:$P$19,16,FALSE)</f>
        <v>1</v>
      </c>
      <c r="AK113" s="13">
        <f>VLOOKUP(Table24[[#This Row],[3_Elephant_ID]],'[1]Attributes(OUTDATED)'!$A$2:$S$19,17,FALSE)</f>
        <v>9</v>
      </c>
      <c r="AL113" s="13">
        <f>VLOOKUP(Table24[[#This Row],[3_Elephant_ID]],'[1]Attributes(OUTDATED)'!$A$2:$S$19,18,FALSE)</f>
        <v>8</v>
      </c>
    </row>
    <row r="114" spans="1:38" ht="28" x14ac:dyDescent="0.15">
      <c r="A114" s="3">
        <v>162</v>
      </c>
      <c r="B114" s="6" t="s">
        <v>75</v>
      </c>
      <c r="C114" s="7">
        <v>5</v>
      </c>
      <c r="D114" s="7">
        <v>6</v>
      </c>
      <c r="E114" s="7">
        <v>2023</v>
      </c>
      <c r="F114" s="5">
        <v>45082</v>
      </c>
      <c r="G114" s="6" t="s">
        <v>2</v>
      </c>
      <c r="H114" s="17">
        <v>0.39080769230769224</v>
      </c>
      <c r="I114" s="3" t="str">
        <f>VLOOKUP(G114,'[1]Attributes(OUTDATED)'!$A$2:$C$19,2,FALSE)</f>
        <v>F</v>
      </c>
      <c r="J114" s="3" t="str">
        <f>VLOOKUP(G114,'[1]Attributes(OUTDATED)'!$A$2:$C$19,3,FALSE)</f>
        <v>A</v>
      </c>
      <c r="K114" s="3">
        <f>VLOOKUP(G114,'[1]Attributes(OUTDATED)'!$A$2:$H$19,8,FALSE)</f>
        <v>892</v>
      </c>
      <c r="L114" s="3" t="str">
        <f>J114&amp;I114</f>
        <v>AF</v>
      </c>
      <c r="M114" s="11">
        <v>45080</v>
      </c>
      <c r="N114" s="13">
        <v>20.399999999999999</v>
      </c>
      <c r="O114" s="13">
        <v>16</v>
      </c>
      <c r="P114" s="13">
        <v>8.9</v>
      </c>
      <c r="Q114" s="13">
        <f>Table24[[#This Row],[2_Temp_H]]-Table24[[#This Row],[2_Temp_L]]</f>
        <v>11.499999999999998</v>
      </c>
      <c r="R114" s="13">
        <v>52.1</v>
      </c>
      <c r="S114" s="13">
        <v>12.3</v>
      </c>
      <c r="T114" s="13">
        <v>1008.81</v>
      </c>
      <c r="U114" s="13">
        <v>1003.05</v>
      </c>
      <c r="V114" s="13">
        <v>0.76</v>
      </c>
      <c r="W114" s="13" t="s">
        <v>147</v>
      </c>
      <c r="X114" s="13" t="s">
        <v>139</v>
      </c>
      <c r="Y114" s="13" t="s">
        <v>26</v>
      </c>
      <c r="Z114" s="13" t="s">
        <v>144</v>
      </c>
      <c r="AA114" s="13" t="s">
        <v>146</v>
      </c>
      <c r="AB114" s="13" t="s">
        <v>137</v>
      </c>
      <c r="AC114" s="13">
        <f>VLOOKUP(Table24[[#This Row],[3_Elephant_ID]],'[1]Attributes(OUTDATED)'!$A$2:$N$19,12,FALSE)</f>
        <v>378</v>
      </c>
      <c r="AD114" s="13">
        <f>VLOOKUP(Table24[[#This Row],[3_Elephant_ID]],'[1]Attributes(OUTDATED)'!$A$2:$N$19,13,FALSE)</f>
        <v>8.6999999999999994E-2</v>
      </c>
      <c r="AE114" s="13">
        <f>VLOOKUP(Table24[[#This Row],[3_Elephant_ID]],'[1]Attributes(OUTDATED)'!$A$2:$N$19,14,FALSE)</f>
        <v>8.6599138783086713E-2</v>
      </c>
      <c r="AF114" s="13">
        <v>0</v>
      </c>
      <c r="AG114" s="13">
        <v>0</v>
      </c>
      <c r="AH114" s="13">
        <v>0</v>
      </c>
      <c r="AI114" s="13">
        <v>0</v>
      </c>
      <c r="AJ114" s="13">
        <f>VLOOKUP(Table24[[#This Row],[3_Elephant_ID]],'[1]Attributes(OUTDATED)'!$A$2:$P$19,16,FALSE)</f>
        <v>1</v>
      </c>
      <c r="AK114" s="13">
        <f>VLOOKUP(Table24[[#This Row],[3_Elephant_ID]],'[1]Attributes(OUTDATED)'!$A$2:$S$19,17,FALSE)</f>
        <v>4</v>
      </c>
      <c r="AL114" s="13">
        <f>VLOOKUP(Table24[[#This Row],[3_Elephant_ID]],'[1]Attributes(OUTDATED)'!$A$2:$S$19,18,FALSE)</f>
        <v>20</v>
      </c>
    </row>
    <row r="115" spans="1:38" ht="28" x14ac:dyDescent="0.15">
      <c r="A115" s="3">
        <v>157</v>
      </c>
      <c r="B115" s="6" t="s">
        <v>70</v>
      </c>
      <c r="C115" s="7">
        <v>6</v>
      </c>
      <c r="D115" s="7">
        <v>6</v>
      </c>
      <c r="E115" s="7">
        <v>2023</v>
      </c>
      <c r="F115" s="5">
        <v>45083</v>
      </c>
      <c r="G115" s="6" t="s">
        <v>3</v>
      </c>
      <c r="H115" s="17">
        <v>0.29157170923379178</v>
      </c>
      <c r="I115" s="3" t="str">
        <f>VLOOKUP(G115,'[1]Attributes(OUTDATED)'!$A$2:$C$19,2,FALSE)</f>
        <v>M</v>
      </c>
      <c r="J115" s="3" t="str">
        <f>VLOOKUP(G115,'[1]Attributes(OUTDATED)'!$A$2:$C$19,3,FALSE)</f>
        <v>J</v>
      </c>
      <c r="K115" s="3">
        <f>VLOOKUP(G115,'[1]Attributes(OUTDATED)'!$A$2:$H$19,8,FALSE)</f>
        <v>1031</v>
      </c>
      <c r="L115" s="3" t="str">
        <f>J115&amp;I115</f>
        <v>JM</v>
      </c>
      <c r="M115" s="11">
        <v>45081</v>
      </c>
      <c r="N115" s="13">
        <v>10.8</v>
      </c>
      <c r="O115" s="13">
        <v>7.7</v>
      </c>
      <c r="P115" s="13">
        <v>5.9</v>
      </c>
      <c r="Q115" s="13">
        <f>Table24[[#This Row],[2_Temp_H]]-Table24[[#This Row],[2_Temp_L]]</f>
        <v>4.9000000000000004</v>
      </c>
      <c r="R115" s="13">
        <v>21.1</v>
      </c>
      <c r="S115" s="13">
        <v>2</v>
      </c>
      <c r="T115" s="13">
        <v>1008.81</v>
      </c>
      <c r="U115" s="13">
        <v>1007.79</v>
      </c>
      <c r="V115" s="13">
        <v>0</v>
      </c>
      <c r="W115" s="13" t="s">
        <v>147</v>
      </c>
      <c r="X115" s="13" t="s">
        <v>139</v>
      </c>
      <c r="Y115" s="13" t="s">
        <v>26</v>
      </c>
      <c r="Z115" s="13" t="s">
        <v>144</v>
      </c>
      <c r="AA115" s="13" t="s">
        <v>146</v>
      </c>
      <c r="AB115" s="13" t="s">
        <v>137</v>
      </c>
      <c r="AC115" s="13">
        <f>VLOOKUP(Table24[[#This Row],[3_Elephant_ID]],'[1]Attributes(OUTDATED)'!$A$2:$N$19,12,FALSE)</f>
        <v>234</v>
      </c>
      <c r="AD115" s="13">
        <f>VLOOKUP(Table24[[#This Row],[3_Elephant_ID]],'[1]Attributes(OUTDATED)'!$A$2:$N$19,13,FALSE)</f>
        <v>0.16500000000000001</v>
      </c>
      <c r="AE115" s="13">
        <f>VLOOKUP(Table24[[#This Row],[3_Elephant_ID]],'[1]Attributes(OUTDATED)'!$A$2:$N$19,14,FALSE)</f>
        <v>0.16420161303383449</v>
      </c>
      <c r="AF115" s="13">
        <v>0</v>
      </c>
      <c r="AG115" s="13">
        <v>0</v>
      </c>
      <c r="AH115" s="13">
        <v>0</v>
      </c>
      <c r="AI115" s="13">
        <v>0</v>
      </c>
      <c r="AJ115" s="13">
        <f>VLOOKUP(Table24[[#This Row],[3_Elephant_ID]],'[1]Attributes(OUTDATED)'!$A$2:$P$19,16,FALSE)</f>
        <v>1</v>
      </c>
      <c r="AK115" s="13">
        <f>VLOOKUP(Table24[[#This Row],[3_Elephant_ID]],'[1]Attributes(OUTDATED)'!$A$2:$S$19,17,FALSE)</f>
        <v>9</v>
      </c>
      <c r="AL115" s="13">
        <f>VLOOKUP(Table24[[#This Row],[3_Elephant_ID]],'[1]Attributes(OUTDATED)'!$A$2:$S$19,18,FALSE)</f>
        <v>9</v>
      </c>
    </row>
    <row r="116" spans="1:38" ht="28" x14ac:dyDescent="0.15">
      <c r="A116" s="3">
        <v>152</v>
      </c>
      <c r="B116" s="6" t="s">
        <v>65</v>
      </c>
      <c r="C116" s="7">
        <v>6</v>
      </c>
      <c r="D116" s="7">
        <v>6</v>
      </c>
      <c r="E116" s="7">
        <v>2023</v>
      </c>
      <c r="F116" s="5">
        <v>45083</v>
      </c>
      <c r="G116" s="6" t="s">
        <v>17</v>
      </c>
      <c r="H116" s="17">
        <v>0.22822050290135396</v>
      </c>
      <c r="I116" s="3" t="str">
        <f>VLOOKUP(G116,'[1]Attributes(OUTDATED)'!$A$2:$C$19,2,FALSE)</f>
        <v>M</v>
      </c>
      <c r="J116" s="3" t="str">
        <f>VLOOKUP(G116,'[1]Attributes(OUTDATED)'!$A$2:$C$19,3,FALSE)</f>
        <v>J</v>
      </c>
      <c r="K116" s="3">
        <f>VLOOKUP(G116,'[1]Attributes(OUTDATED)'!$A$2:$H$19,8,FALSE)</f>
        <v>699</v>
      </c>
      <c r="L116" s="3" t="str">
        <f>J116&amp;I116</f>
        <v>JM</v>
      </c>
      <c r="M116" s="11">
        <v>45081</v>
      </c>
      <c r="N116" s="13">
        <v>10.8</v>
      </c>
      <c r="O116" s="13">
        <v>7.7</v>
      </c>
      <c r="P116" s="13">
        <v>5.9</v>
      </c>
      <c r="Q116" s="13">
        <f>Table24[[#This Row],[2_Temp_H]]-Table24[[#This Row],[2_Temp_L]]</f>
        <v>4.9000000000000004</v>
      </c>
      <c r="R116" s="13">
        <v>21.1</v>
      </c>
      <c r="S116" s="13">
        <v>2</v>
      </c>
      <c r="T116" s="13">
        <v>1008.81</v>
      </c>
      <c r="U116" s="13">
        <v>1007.79</v>
      </c>
      <c r="V116" s="13">
        <v>0</v>
      </c>
      <c r="W116" s="13" t="s">
        <v>147</v>
      </c>
      <c r="X116" s="13" t="s">
        <v>139</v>
      </c>
      <c r="Y116" s="13" t="s">
        <v>26</v>
      </c>
      <c r="Z116" s="13" t="s">
        <v>144</v>
      </c>
      <c r="AA116" s="13" t="s">
        <v>146</v>
      </c>
      <c r="AB116" s="13" t="s">
        <v>137</v>
      </c>
      <c r="AC116" s="13">
        <f>VLOOKUP(Table24[[#This Row],[3_Elephant_ID]],'[1]Attributes(OUTDATED)'!$A$2:$N$19,12,FALSE)</f>
        <v>343</v>
      </c>
      <c r="AD116" s="13">
        <f>VLOOKUP(Table24[[#This Row],[3_Elephant_ID]],'[1]Attributes(OUTDATED)'!$A$2:$N$19,13,FALSE)</f>
        <v>0.81</v>
      </c>
      <c r="AE116" s="13">
        <f>VLOOKUP(Table24[[#This Row],[3_Elephant_ID]],'[1]Attributes(OUTDATED)'!$A$2:$N$19,14,FALSE)</f>
        <v>0.80966774571167055</v>
      </c>
      <c r="AF116" s="13">
        <v>0</v>
      </c>
      <c r="AG116" s="13">
        <v>0</v>
      </c>
      <c r="AH116" s="13">
        <v>0</v>
      </c>
      <c r="AI116" s="13">
        <v>0</v>
      </c>
      <c r="AJ116" s="13">
        <f>VLOOKUP(Table24[[#This Row],[3_Elephant_ID]],'[1]Attributes(OUTDATED)'!$A$2:$P$19,16,FALSE)</f>
        <v>1</v>
      </c>
      <c r="AK116" s="13">
        <f>VLOOKUP(Table24[[#This Row],[3_Elephant_ID]],'[1]Attributes(OUTDATED)'!$A$2:$S$19,17,FALSE)</f>
        <v>0</v>
      </c>
      <c r="AL116" s="13">
        <f>VLOOKUP(Table24[[#This Row],[3_Elephant_ID]],'[1]Attributes(OUTDATED)'!$A$2:$S$19,18,FALSE)</f>
        <v>8</v>
      </c>
    </row>
    <row r="117" spans="1:38" ht="28" x14ac:dyDescent="0.15">
      <c r="A117" s="3">
        <v>153</v>
      </c>
      <c r="B117" s="6" t="s">
        <v>66</v>
      </c>
      <c r="C117" s="7">
        <v>6</v>
      </c>
      <c r="D117" s="7">
        <v>6</v>
      </c>
      <c r="E117" s="7">
        <v>2023</v>
      </c>
      <c r="F117" s="5">
        <v>45083</v>
      </c>
      <c r="G117" s="6" t="s">
        <v>4</v>
      </c>
      <c r="H117" s="17">
        <v>0.38180811808118081</v>
      </c>
      <c r="I117" s="3" t="str">
        <f>VLOOKUP(G117,'[1]Attributes(OUTDATED)'!$A$2:$C$19,2,FALSE)</f>
        <v>M</v>
      </c>
      <c r="J117" s="3" t="str">
        <f>VLOOKUP(G117,'[1]Attributes(OUTDATED)'!$A$2:$C$19,3,FALSE)</f>
        <v>J</v>
      </c>
      <c r="K117" s="3">
        <f>VLOOKUP(G117,'[1]Attributes(OUTDATED)'!$A$2:$H$19,8,FALSE)</f>
        <v>1055</v>
      </c>
      <c r="L117" s="3" t="str">
        <f>J117&amp;I117</f>
        <v>JM</v>
      </c>
      <c r="M117" s="11">
        <v>45081</v>
      </c>
      <c r="N117" s="13">
        <v>10.8</v>
      </c>
      <c r="O117" s="13">
        <v>7.7</v>
      </c>
      <c r="P117" s="13">
        <v>5.9</v>
      </c>
      <c r="Q117" s="13">
        <f>Table24[[#This Row],[2_Temp_H]]-Table24[[#This Row],[2_Temp_L]]</f>
        <v>4.9000000000000004</v>
      </c>
      <c r="R117" s="13">
        <v>21.1</v>
      </c>
      <c r="S117" s="13">
        <v>2</v>
      </c>
      <c r="T117" s="13">
        <v>1008.81</v>
      </c>
      <c r="U117" s="13">
        <v>1007.79</v>
      </c>
      <c r="V117" s="13">
        <v>0</v>
      </c>
      <c r="W117" s="13" t="s">
        <v>147</v>
      </c>
      <c r="X117" s="13" t="s">
        <v>139</v>
      </c>
      <c r="Y117" s="13" t="s">
        <v>26</v>
      </c>
      <c r="Z117" s="13" t="s">
        <v>144</v>
      </c>
      <c r="AA117" s="13" t="s">
        <v>146</v>
      </c>
      <c r="AB117" s="13" t="s">
        <v>137</v>
      </c>
      <c r="AC117" s="13">
        <f>VLOOKUP(Table24[[#This Row],[3_Elephant_ID]],'[1]Attributes(OUTDATED)'!$A$2:$N$19,12,FALSE)</f>
        <v>181</v>
      </c>
      <c r="AD117" s="13">
        <f>VLOOKUP(Table24[[#This Row],[3_Elephant_ID]],'[1]Attributes(OUTDATED)'!$A$2:$N$19,13,FALSE)</f>
        <v>7.3999999999999996E-2</v>
      </c>
      <c r="AE117" s="13">
        <f>VLOOKUP(Table24[[#This Row],[3_Elephant_ID]],'[1]Attributes(OUTDATED)'!$A$2:$N$19,14,FALSE)</f>
        <v>7.3914663535330896E-2</v>
      </c>
      <c r="AF117" s="13">
        <v>0</v>
      </c>
      <c r="AG117" s="13">
        <v>0</v>
      </c>
      <c r="AH117" s="13">
        <v>0</v>
      </c>
      <c r="AI117" s="13">
        <v>0</v>
      </c>
      <c r="AJ117" s="13">
        <f>VLOOKUP(Table24[[#This Row],[3_Elephant_ID]],'[1]Attributes(OUTDATED)'!$A$2:$P$19,16,FALSE)</f>
        <v>1</v>
      </c>
      <c r="AK117" s="13">
        <f>VLOOKUP(Table24[[#This Row],[3_Elephant_ID]],'[1]Attributes(OUTDATED)'!$A$2:$S$19,17,FALSE)</f>
        <v>7</v>
      </c>
      <c r="AL117" s="13">
        <f>VLOOKUP(Table24[[#This Row],[3_Elephant_ID]],'[1]Attributes(OUTDATED)'!$A$2:$S$19,18,FALSE)</f>
        <v>9</v>
      </c>
    </row>
    <row r="118" spans="1:38" ht="28" x14ac:dyDescent="0.15">
      <c r="A118" s="3">
        <v>159</v>
      </c>
      <c r="B118" s="6" t="s">
        <v>72</v>
      </c>
      <c r="C118" s="7">
        <v>6</v>
      </c>
      <c r="D118" s="7">
        <v>6</v>
      </c>
      <c r="E118" s="7">
        <v>2023</v>
      </c>
      <c r="F118" s="5">
        <v>45083</v>
      </c>
      <c r="G118" s="6" t="s">
        <v>5</v>
      </c>
      <c r="H118" s="17">
        <v>0.33804597701149419</v>
      </c>
      <c r="I118" s="3" t="str">
        <f>VLOOKUP(G118,'[1]Attributes(OUTDATED)'!$A$2:$C$19,2,FALSE)</f>
        <v>M</v>
      </c>
      <c r="J118" s="3" t="str">
        <f>VLOOKUP(G118,'[1]Attributes(OUTDATED)'!$A$2:$C$19,3,FALSE)</f>
        <v>J</v>
      </c>
      <c r="K118" s="3">
        <f>VLOOKUP(G118,'[1]Attributes(OUTDATED)'!$A$2:$H$19,8,FALSE)</f>
        <v>940</v>
      </c>
      <c r="L118" s="3" t="str">
        <f>J118&amp;I118</f>
        <v>JM</v>
      </c>
      <c r="M118" s="11">
        <v>45081</v>
      </c>
      <c r="N118" s="13">
        <v>10.8</v>
      </c>
      <c r="O118" s="13">
        <v>7.7</v>
      </c>
      <c r="P118" s="13">
        <v>5.9</v>
      </c>
      <c r="Q118" s="13">
        <f>Table24[[#This Row],[2_Temp_H]]-Table24[[#This Row],[2_Temp_L]]</f>
        <v>4.9000000000000004</v>
      </c>
      <c r="R118" s="13">
        <v>21.1</v>
      </c>
      <c r="S118" s="13">
        <v>2</v>
      </c>
      <c r="T118" s="13">
        <v>1008.81</v>
      </c>
      <c r="U118" s="13">
        <v>1007.79</v>
      </c>
      <c r="V118" s="13">
        <v>0</v>
      </c>
      <c r="W118" s="13" t="s">
        <v>147</v>
      </c>
      <c r="X118" s="13" t="s">
        <v>139</v>
      </c>
      <c r="Y118" s="13" t="s">
        <v>26</v>
      </c>
      <c r="Z118" s="13" t="s">
        <v>144</v>
      </c>
      <c r="AA118" s="13" t="s">
        <v>146</v>
      </c>
      <c r="AB118" s="13" t="s">
        <v>137</v>
      </c>
      <c r="AC118" s="13">
        <f>VLOOKUP(Table24[[#This Row],[3_Elephant_ID]],'[1]Attributes(OUTDATED)'!$A$2:$N$19,12,FALSE)</f>
        <v>361</v>
      </c>
      <c r="AD118" s="13">
        <f>VLOOKUP(Table24[[#This Row],[3_Elephant_ID]],'[1]Attributes(OUTDATED)'!$A$2:$N$19,13,FALSE)</f>
        <v>0.40600000000000003</v>
      </c>
      <c r="AE118" s="13">
        <f>VLOOKUP(Table24[[#This Row],[3_Elephant_ID]],'[1]Attributes(OUTDATED)'!$A$2:$N$19,14,FALSE)</f>
        <v>0.40590323220736402</v>
      </c>
      <c r="AF118" s="13">
        <v>0</v>
      </c>
      <c r="AG118" s="13">
        <v>0</v>
      </c>
      <c r="AH118" s="13">
        <v>0</v>
      </c>
      <c r="AI118" s="13">
        <v>0</v>
      </c>
      <c r="AJ118" s="13">
        <f>VLOOKUP(Table24[[#This Row],[3_Elephant_ID]],'[1]Attributes(OUTDATED)'!$A$2:$P$19,16,FALSE)</f>
        <v>1</v>
      </c>
      <c r="AK118" s="13">
        <f>VLOOKUP(Table24[[#This Row],[3_Elephant_ID]],'[1]Attributes(OUTDATED)'!$A$2:$S$19,17,FALSE)</f>
        <v>2</v>
      </c>
      <c r="AL118" s="13">
        <f>VLOOKUP(Table24[[#This Row],[3_Elephant_ID]],'[1]Attributes(OUTDATED)'!$A$2:$S$19,18,FALSE)</f>
        <v>7</v>
      </c>
    </row>
    <row r="119" spans="1:38" ht="28" x14ac:dyDescent="0.15">
      <c r="A119" s="3">
        <v>156</v>
      </c>
      <c r="B119" s="6" t="s">
        <v>69</v>
      </c>
      <c r="C119" s="7">
        <v>6</v>
      </c>
      <c r="D119" s="7">
        <v>6</v>
      </c>
      <c r="E119" s="7">
        <v>2023</v>
      </c>
      <c r="F119" s="5">
        <v>45083</v>
      </c>
      <c r="G119" s="6" t="s">
        <v>11</v>
      </c>
      <c r="H119" s="17">
        <v>0.35335968379446642</v>
      </c>
      <c r="I119" s="3" t="str">
        <f>VLOOKUP(G119,'[1]Attributes(OUTDATED)'!$A$2:$C$19,2,FALSE)</f>
        <v>M</v>
      </c>
      <c r="J119" s="3" t="str">
        <f>VLOOKUP(G119,'[1]Attributes(OUTDATED)'!$A$2:$C$19,3,FALSE)</f>
        <v>A</v>
      </c>
      <c r="K119" s="3">
        <f>VLOOKUP(G119,'[1]Attributes(OUTDATED)'!$A$2:$H$19,8,FALSE)</f>
        <v>1223</v>
      </c>
      <c r="L119" s="3" t="str">
        <f>J119&amp;I119</f>
        <v>AM</v>
      </c>
      <c r="M119" s="11">
        <v>45081</v>
      </c>
      <c r="N119" s="13">
        <v>10.8</v>
      </c>
      <c r="O119" s="13">
        <v>7.7</v>
      </c>
      <c r="P119" s="13">
        <v>5.9</v>
      </c>
      <c r="Q119" s="13">
        <f>Table24[[#This Row],[2_Temp_H]]-Table24[[#This Row],[2_Temp_L]]</f>
        <v>4.9000000000000004</v>
      </c>
      <c r="R119" s="13">
        <v>21.1</v>
      </c>
      <c r="S119" s="13">
        <v>2</v>
      </c>
      <c r="T119" s="13">
        <v>1008.81</v>
      </c>
      <c r="U119" s="13">
        <v>1007.79</v>
      </c>
      <c r="V119" s="13">
        <v>0</v>
      </c>
      <c r="W119" s="13" t="s">
        <v>147</v>
      </c>
      <c r="X119" s="13" t="s">
        <v>139</v>
      </c>
      <c r="Y119" s="13" t="s">
        <v>26</v>
      </c>
      <c r="Z119" s="13" t="s">
        <v>144</v>
      </c>
      <c r="AA119" s="13" t="s">
        <v>146</v>
      </c>
      <c r="AB119" s="13" t="s">
        <v>137</v>
      </c>
      <c r="AC119" s="13">
        <f>VLOOKUP(Table24[[#This Row],[3_Elephant_ID]],'[1]Attributes(OUTDATED)'!$A$2:$N$19,12,FALSE)</f>
        <v>404</v>
      </c>
      <c r="AD119" s="13">
        <f>VLOOKUP(Table24[[#This Row],[3_Elephant_ID]],'[1]Attributes(OUTDATED)'!$A$2:$N$19,13,FALSE)</f>
        <v>0.91700000000000004</v>
      </c>
      <c r="AE119" s="13">
        <f>VLOOKUP(Table24[[#This Row],[3_Elephant_ID]],'[1]Attributes(OUTDATED)'!$A$2:$N$19,14,FALSE)</f>
        <v>0.91664628583929353</v>
      </c>
      <c r="AF119" s="13">
        <v>0</v>
      </c>
      <c r="AG119" s="13">
        <v>0</v>
      </c>
      <c r="AH119" s="13">
        <v>0</v>
      </c>
      <c r="AI119" s="13">
        <v>0</v>
      </c>
      <c r="AJ119" s="13">
        <f>VLOOKUP(Table24[[#This Row],[3_Elephant_ID]],'[1]Attributes(OUTDATED)'!$A$2:$P$19,16,FALSE)</f>
        <v>1</v>
      </c>
      <c r="AK119" s="13">
        <f>VLOOKUP(Table24[[#This Row],[3_Elephant_ID]],'[1]Attributes(OUTDATED)'!$A$2:$S$19,17,FALSE)</f>
        <v>14</v>
      </c>
      <c r="AL119" s="13">
        <f>VLOOKUP(Table24[[#This Row],[3_Elephant_ID]],'[1]Attributes(OUTDATED)'!$A$2:$S$19,18,FALSE)</f>
        <v>17</v>
      </c>
    </row>
    <row r="120" spans="1:38" ht="28" x14ac:dyDescent="0.15">
      <c r="A120" s="3">
        <v>158</v>
      </c>
      <c r="B120" s="6" t="s">
        <v>71</v>
      </c>
      <c r="C120" s="7">
        <v>6</v>
      </c>
      <c r="D120" s="7">
        <v>6</v>
      </c>
      <c r="E120" s="7">
        <v>2023</v>
      </c>
      <c r="F120" s="5">
        <v>45083</v>
      </c>
      <c r="G120" s="6" t="s">
        <v>8</v>
      </c>
      <c r="H120" s="17">
        <v>0.51823863636363632</v>
      </c>
      <c r="I120" s="3" t="str">
        <f>VLOOKUP(G120,'[1]Attributes(OUTDATED)'!$A$2:$C$19,2,FALSE)</f>
        <v>F</v>
      </c>
      <c r="J120" s="3" t="str">
        <f>VLOOKUP(G120,'[1]Attributes(OUTDATED)'!$A$2:$C$19,3,FALSE)</f>
        <v>A</v>
      </c>
      <c r="K120" s="3">
        <f>VLOOKUP(G120,'[1]Attributes(OUTDATED)'!$A$2:$H$19,8,FALSE)</f>
        <v>1096</v>
      </c>
      <c r="L120" s="3" t="str">
        <f>J120&amp;I120</f>
        <v>AF</v>
      </c>
      <c r="M120" s="11">
        <v>45081</v>
      </c>
      <c r="N120" s="13">
        <v>10.8</v>
      </c>
      <c r="O120" s="13">
        <v>7.7</v>
      </c>
      <c r="P120" s="13">
        <v>5.9</v>
      </c>
      <c r="Q120" s="13">
        <f>Table24[[#This Row],[2_Temp_H]]-Table24[[#This Row],[2_Temp_L]]</f>
        <v>4.9000000000000004</v>
      </c>
      <c r="R120" s="13">
        <v>21.1</v>
      </c>
      <c r="S120" s="13">
        <v>2</v>
      </c>
      <c r="T120" s="13">
        <v>1008.81</v>
      </c>
      <c r="U120" s="13">
        <v>1007.79</v>
      </c>
      <c r="V120" s="13">
        <v>0</v>
      </c>
      <c r="W120" s="13" t="s">
        <v>147</v>
      </c>
      <c r="X120" s="13" t="s">
        <v>139</v>
      </c>
      <c r="Y120" s="13" t="s">
        <v>26</v>
      </c>
      <c r="Z120" s="13" t="s">
        <v>144</v>
      </c>
      <c r="AA120" s="13" t="s">
        <v>146</v>
      </c>
      <c r="AB120" s="13" t="s">
        <v>137</v>
      </c>
      <c r="AC120" s="13">
        <f>VLOOKUP(Table24[[#This Row],[3_Elephant_ID]],'[1]Attributes(OUTDATED)'!$A$2:$N$19,12,FALSE)</f>
        <v>346</v>
      </c>
      <c r="AD120" s="13">
        <f>VLOOKUP(Table24[[#This Row],[3_Elephant_ID]],'[1]Attributes(OUTDATED)'!$A$2:$N$19,13,FALSE)</f>
        <v>0.28999999999999998</v>
      </c>
      <c r="AE120" s="13">
        <f>VLOOKUP(Table24[[#This Row],[3_Elephant_ID]],'[1]Attributes(OUTDATED)'!$A$2:$N$19,14,FALSE)</f>
        <v>0.28929989906834258</v>
      </c>
      <c r="AF120" s="13">
        <v>0</v>
      </c>
      <c r="AG120" s="13">
        <v>0</v>
      </c>
      <c r="AH120" s="13">
        <v>0</v>
      </c>
      <c r="AI120" s="13">
        <v>0</v>
      </c>
      <c r="AJ120" s="13">
        <f>VLOOKUP(Table24[[#This Row],[3_Elephant_ID]],'[1]Attributes(OUTDATED)'!$A$2:$P$19,16,FALSE)</f>
        <v>1</v>
      </c>
      <c r="AK120" s="13">
        <f>VLOOKUP(Table24[[#This Row],[3_Elephant_ID]],'[1]Attributes(OUTDATED)'!$A$2:$S$19,17,FALSE)</f>
        <v>11</v>
      </c>
      <c r="AL120" s="13">
        <f>VLOOKUP(Table24[[#This Row],[3_Elephant_ID]],'[1]Attributes(OUTDATED)'!$A$2:$S$19,18,FALSE)</f>
        <v>7</v>
      </c>
    </row>
    <row r="121" spans="1:38" ht="28" x14ac:dyDescent="0.15">
      <c r="A121" s="3">
        <v>155</v>
      </c>
      <c r="B121" s="6" t="s">
        <v>68</v>
      </c>
      <c r="C121" s="7">
        <v>6</v>
      </c>
      <c r="D121" s="7">
        <v>6</v>
      </c>
      <c r="E121" s="7">
        <v>2023</v>
      </c>
      <c r="F121" s="5">
        <v>45083</v>
      </c>
      <c r="G121" s="6" t="s">
        <v>10</v>
      </c>
      <c r="H121" s="17">
        <v>0.36168604651162789</v>
      </c>
      <c r="I121" s="3" t="str">
        <f>VLOOKUP(G121,'[1]Attributes(OUTDATED)'!$A$2:$C$19,2,FALSE)</f>
        <v>F</v>
      </c>
      <c r="J121" s="3" t="str">
        <f>VLOOKUP(G121,'[1]Attributes(OUTDATED)'!$A$2:$C$19,3,FALSE)</f>
        <v>A</v>
      </c>
      <c r="K121" s="3">
        <f>VLOOKUP(G121,'[1]Attributes(OUTDATED)'!$A$2:$H$19,8,FALSE)</f>
        <v>1146</v>
      </c>
      <c r="L121" s="3" t="str">
        <f>J121&amp;I121</f>
        <v>AF</v>
      </c>
      <c r="M121" s="11">
        <v>45081</v>
      </c>
      <c r="N121" s="13">
        <v>10.8</v>
      </c>
      <c r="O121" s="13">
        <v>7.7</v>
      </c>
      <c r="P121" s="13">
        <v>5.9</v>
      </c>
      <c r="Q121" s="13">
        <f>Table24[[#This Row],[2_Temp_H]]-Table24[[#This Row],[2_Temp_L]]</f>
        <v>4.9000000000000004</v>
      </c>
      <c r="R121" s="13">
        <v>21.1</v>
      </c>
      <c r="S121" s="13">
        <v>2</v>
      </c>
      <c r="T121" s="13">
        <v>1008.81</v>
      </c>
      <c r="U121" s="13">
        <v>1007.79</v>
      </c>
      <c r="V121" s="13">
        <v>0</v>
      </c>
      <c r="W121" s="13" t="s">
        <v>147</v>
      </c>
      <c r="X121" s="13" t="s">
        <v>139</v>
      </c>
      <c r="Y121" s="13" t="s">
        <v>26</v>
      </c>
      <c r="Z121" s="13" t="s">
        <v>144</v>
      </c>
      <c r="AA121" s="13" t="s">
        <v>146</v>
      </c>
      <c r="AB121" s="13" t="s">
        <v>137</v>
      </c>
      <c r="AC121" s="13">
        <f>VLOOKUP(Table24[[#This Row],[3_Elephant_ID]],'[1]Attributes(OUTDATED)'!$A$2:$N$19,12,FALSE)</f>
        <v>424</v>
      </c>
      <c r="AD121" s="13">
        <f>VLOOKUP(Table24[[#This Row],[3_Elephant_ID]],'[1]Attributes(OUTDATED)'!$A$2:$N$19,13,FALSE)</f>
        <v>0.10299999999999999</v>
      </c>
      <c r="AE121" s="13">
        <f>VLOOKUP(Table24[[#This Row],[3_Elephant_ID]],'[1]Attributes(OUTDATED)'!$A$2:$N$19,14,FALSE)</f>
        <v>0.10282190709599449</v>
      </c>
      <c r="AF121" s="13">
        <v>0</v>
      </c>
      <c r="AG121" s="13">
        <v>0</v>
      </c>
      <c r="AH121" s="13">
        <v>0</v>
      </c>
      <c r="AI121" s="13">
        <v>0</v>
      </c>
      <c r="AJ121" s="13">
        <f>VLOOKUP(Table24[[#This Row],[3_Elephant_ID]],'[1]Attributes(OUTDATED)'!$A$2:$P$19,16,FALSE)</f>
        <v>1</v>
      </c>
      <c r="AK121" s="13">
        <f>VLOOKUP(Table24[[#This Row],[3_Elephant_ID]],'[1]Attributes(OUTDATED)'!$A$2:$S$19,17,FALSE)</f>
        <v>9</v>
      </c>
      <c r="AL121" s="13">
        <f>VLOOKUP(Table24[[#This Row],[3_Elephant_ID]],'[1]Attributes(OUTDATED)'!$A$2:$S$19,18,FALSE)</f>
        <v>8</v>
      </c>
    </row>
    <row r="122" spans="1:38" ht="28" x14ac:dyDescent="0.15">
      <c r="A122" s="3">
        <v>154</v>
      </c>
      <c r="B122" s="6" t="s">
        <v>67</v>
      </c>
      <c r="C122" s="7">
        <v>6</v>
      </c>
      <c r="D122" s="7">
        <v>6</v>
      </c>
      <c r="E122" s="7">
        <v>2023</v>
      </c>
      <c r="F122" s="5">
        <v>45083</v>
      </c>
      <c r="G122" s="6" t="s">
        <v>15</v>
      </c>
      <c r="H122" s="17">
        <v>0.21437743190661482</v>
      </c>
      <c r="I122" s="3" t="str">
        <f>VLOOKUP(G122,'[1]Attributes(OUTDATED)'!$A$2:$C$19,2,FALSE)</f>
        <v>M</v>
      </c>
      <c r="J122" s="3" t="str">
        <f>VLOOKUP(G122,'[1]Attributes(OUTDATED)'!$A$2:$C$19,3,FALSE)</f>
        <v>J</v>
      </c>
      <c r="K122" s="3">
        <f>VLOOKUP(G122,'[1]Attributes(OUTDATED)'!$A$2:$H$19,8,FALSE)</f>
        <v>828</v>
      </c>
      <c r="L122" s="3" t="str">
        <f>J122&amp;I122</f>
        <v>JM</v>
      </c>
      <c r="M122" s="11">
        <v>45081</v>
      </c>
      <c r="N122" s="13">
        <v>10.8</v>
      </c>
      <c r="O122" s="13">
        <v>7.7</v>
      </c>
      <c r="P122" s="13">
        <v>5.9</v>
      </c>
      <c r="Q122" s="13">
        <f>Table24[[#This Row],[2_Temp_H]]-Table24[[#This Row],[2_Temp_L]]</f>
        <v>4.9000000000000004</v>
      </c>
      <c r="R122" s="13">
        <v>21.1</v>
      </c>
      <c r="S122" s="13">
        <v>2</v>
      </c>
      <c r="T122" s="13">
        <v>1008.81</v>
      </c>
      <c r="U122" s="13">
        <v>1007.79</v>
      </c>
      <c r="V122" s="13">
        <v>0</v>
      </c>
      <c r="W122" s="13" t="s">
        <v>147</v>
      </c>
      <c r="X122" s="13" t="s">
        <v>139</v>
      </c>
      <c r="Y122" s="13" t="s">
        <v>26</v>
      </c>
      <c r="Z122" s="13" t="s">
        <v>144</v>
      </c>
      <c r="AA122" s="13" t="s">
        <v>146</v>
      </c>
      <c r="AB122" s="13" t="s">
        <v>137</v>
      </c>
      <c r="AC122" s="13">
        <f>VLOOKUP(Table24[[#This Row],[3_Elephant_ID]],'[1]Attributes(OUTDATED)'!$A$2:$N$19,12,FALSE)</f>
        <v>219</v>
      </c>
      <c r="AD122" s="13">
        <f>VLOOKUP(Table24[[#This Row],[3_Elephant_ID]],'[1]Attributes(OUTDATED)'!$A$2:$N$19,13,FALSE)</f>
        <v>0.32300000000000001</v>
      </c>
      <c r="AE122" s="13">
        <f>VLOOKUP(Table24[[#This Row],[3_Elephant_ID]],'[1]Attributes(OUTDATED)'!$A$2:$N$19,14,FALSE)</f>
        <v>0.32257531484312868</v>
      </c>
      <c r="AF122" s="13">
        <v>0</v>
      </c>
      <c r="AG122" s="13">
        <v>0</v>
      </c>
      <c r="AH122" s="13">
        <v>0</v>
      </c>
      <c r="AI122" s="13">
        <v>0</v>
      </c>
      <c r="AJ122" s="13">
        <f>VLOOKUP(Table24[[#This Row],[3_Elephant_ID]],'[1]Attributes(OUTDATED)'!$A$2:$P$19,16,FALSE)</f>
        <v>2</v>
      </c>
      <c r="AK122" s="13">
        <f>VLOOKUP(Table24[[#This Row],[3_Elephant_ID]],'[1]Attributes(OUTDATED)'!$A$2:$S$19,17,FALSE)</f>
        <v>1</v>
      </c>
      <c r="AL122" s="13">
        <f>VLOOKUP(Table24[[#This Row],[3_Elephant_ID]],'[1]Attributes(OUTDATED)'!$A$2:$S$19,18,FALSE)</f>
        <v>6</v>
      </c>
    </row>
    <row r="123" spans="1:38" ht="28" x14ac:dyDescent="0.15">
      <c r="A123" s="3">
        <v>151</v>
      </c>
      <c r="B123" s="6" t="s">
        <v>64</v>
      </c>
      <c r="C123" s="7">
        <v>7</v>
      </c>
      <c r="D123" s="7">
        <v>6</v>
      </c>
      <c r="E123" s="7">
        <v>2023</v>
      </c>
      <c r="F123" s="5">
        <v>45084</v>
      </c>
      <c r="G123" s="6" t="s">
        <v>6</v>
      </c>
      <c r="H123" s="17">
        <v>0.32074656188605111</v>
      </c>
      <c r="I123" s="3" t="str">
        <f>VLOOKUP(G123,'[1]Attributes(OUTDATED)'!$A$2:$C$19,2,FALSE)</f>
        <v>F</v>
      </c>
      <c r="J123" s="3" t="str">
        <f>VLOOKUP(G123,'[1]Attributes(OUTDATED)'!$A$2:$C$19,3,FALSE)</f>
        <v>A</v>
      </c>
      <c r="K123" s="3">
        <f>VLOOKUP(G123,'[1]Attributes(OUTDATED)'!$A$2:$H$19,8,FALSE)</f>
        <v>1168</v>
      </c>
      <c r="L123" s="3" t="str">
        <f>J123&amp;I123</f>
        <v>AF</v>
      </c>
      <c r="M123" s="11">
        <v>45082</v>
      </c>
      <c r="N123" s="13">
        <v>16.3</v>
      </c>
      <c r="O123" s="13">
        <v>8.4</v>
      </c>
      <c r="P123" s="13">
        <v>3.2</v>
      </c>
      <c r="Q123" s="13">
        <f>Table24[[#This Row],[2_Temp_H]]-Table24[[#This Row],[2_Temp_L]]</f>
        <v>13.100000000000001</v>
      </c>
      <c r="R123" s="13">
        <v>28.5</v>
      </c>
      <c r="S123" s="13">
        <v>5.9</v>
      </c>
      <c r="T123" s="13">
        <v>1013.75</v>
      </c>
      <c r="U123" s="13">
        <v>1008.88</v>
      </c>
      <c r="V123" s="13">
        <v>0</v>
      </c>
      <c r="W123" s="13" t="s">
        <v>147</v>
      </c>
      <c r="X123" s="13" t="s">
        <v>140</v>
      </c>
      <c r="Y123" s="13" t="s">
        <v>26</v>
      </c>
      <c r="Z123" s="13" t="s">
        <v>144</v>
      </c>
      <c r="AA123" s="13" t="s">
        <v>146</v>
      </c>
      <c r="AB123" s="13" t="s">
        <v>26</v>
      </c>
      <c r="AC123" s="13">
        <f>VLOOKUP(Table24[[#This Row],[3_Elephant_ID]],'[1]Attributes(OUTDATED)'!$A$2:$N$19,12,FALSE)</f>
        <v>286</v>
      </c>
      <c r="AD123" s="13">
        <f>VLOOKUP(Table24[[#This Row],[3_Elephant_ID]],'[1]Attributes(OUTDATED)'!$A$2:$N$19,13,FALSE)</f>
        <v>0.26800000000000002</v>
      </c>
      <c r="AE123" s="13">
        <f>VLOOKUP(Table24[[#This Row],[3_Elephant_ID]],'[1]Attributes(OUTDATED)'!$A$2:$N$19,14,FALSE)</f>
        <v>0.26721028245328138</v>
      </c>
      <c r="AF123" s="13">
        <v>1</v>
      </c>
      <c r="AG123" s="13">
        <v>0</v>
      </c>
      <c r="AH123" s="13">
        <v>0</v>
      </c>
      <c r="AI123" s="13">
        <v>0</v>
      </c>
      <c r="AJ123" s="13">
        <f>VLOOKUP(Table24[[#This Row],[3_Elephant_ID]],'[1]Attributes(OUTDATED)'!$A$2:$P$19,16,FALSE)</f>
        <v>2</v>
      </c>
      <c r="AK123" s="13">
        <f>VLOOKUP(Table24[[#This Row],[3_Elephant_ID]],'[1]Attributes(OUTDATED)'!$A$2:$S$19,17,FALSE)</f>
        <v>12</v>
      </c>
      <c r="AL123" s="13">
        <f>VLOOKUP(Table24[[#This Row],[3_Elephant_ID]],'[1]Attributes(OUTDATED)'!$A$2:$S$19,18,FALSE)</f>
        <v>5</v>
      </c>
    </row>
    <row r="124" spans="1:38" ht="28" x14ac:dyDescent="0.15">
      <c r="A124" s="3">
        <v>149</v>
      </c>
      <c r="B124" s="6" t="s">
        <v>62</v>
      </c>
      <c r="C124" s="7">
        <v>8</v>
      </c>
      <c r="D124" s="7">
        <v>6</v>
      </c>
      <c r="E124" s="7">
        <v>2023</v>
      </c>
      <c r="F124" s="5">
        <v>45085</v>
      </c>
      <c r="G124" s="6" t="s">
        <v>4</v>
      </c>
      <c r="H124" s="17">
        <v>0.24449136276391562</v>
      </c>
      <c r="I124" s="3" t="str">
        <f>VLOOKUP(G124,'[1]Attributes(OUTDATED)'!$A$2:$C$19,2,FALSE)</f>
        <v>M</v>
      </c>
      <c r="J124" s="3" t="str">
        <f>VLOOKUP(G124,'[1]Attributes(OUTDATED)'!$A$2:$C$19,3,FALSE)</f>
        <v>J</v>
      </c>
      <c r="K124" s="3">
        <f>VLOOKUP(G124,'[1]Attributes(OUTDATED)'!$A$2:$H$19,8,FALSE)</f>
        <v>1055</v>
      </c>
      <c r="L124" s="3" t="str">
        <f>J124&amp;I124</f>
        <v>JM</v>
      </c>
      <c r="M124" s="11">
        <v>45083</v>
      </c>
      <c r="N124" s="13">
        <v>22</v>
      </c>
      <c r="O124" s="13">
        <v>16.399999999999999</v>
      </c>
      <c r="P124" s="13">
        <v>5.3</v>
      </c>
      <c r="Q124" s="13">
        <f>Table24[[#This Row],[2_Temp_H]]-Table24[[#This Row],[2_Temp_L]]</f>
        <v>16.7</v>
      </c>
      <c r="R124" s="13">
        <v>27.7</v>
      </c>
      <c r="S124" s="13">
        <v>5.0999999999999996</v>
      </c>
      <c r="T124" s="13">
        <v>1011.85</v>
      </c>
      <c r="U124" s="13">
        <v>1008.81</v>
      </c>
      <c r="V124" s="13">
        <v>0</v>
      </c>
      <c r="W124" s="13" t="s">
        <v>147</v>
      </c>
      <c r="X124" s="13" t="s">
        <v>139</v>
      </c>
      <c r="Y124" s="13" t="s">
        <v>26</v>
      </c>
      <c r="Z124" s="13" t="s">
        <v>144</v>
      </c>
      <c r="AA124" s="13" t="s">
        <v>146</v>
      </c>
      <c r="AB124" s="13" t="s">
        <v>137</v>
      </c>
      <c r="AC124" s="13">
        <f>VLOOKUP(Table24[[#This Row],[3_Elephant_ID]],'[1]Attributes(OUTDATED)'!$A$2:$N$19,12,FALSE)</f>
        <v>181</v>
      </c>
      <c r="AD124" s="13">
        <f>VLOOKUP(Table24[[#This Row],[3_Elephant_ID]],'[1]Attributes(OUTDATED)'!$A$2:$N$19,13,FALSE)</f>
        <v>7.3999999999999996E-2</v>
      </c>
      <c r="AE124" s="13">
        <f>VLOOKUP(Table24[[#This Row],[3_Elephant_ID]],'[1]Attributes(OUTDATED)'!$A$2:$N$19,14,FALSE)</f>
        <v>7.3914663535330896E-2</v>
      </c>
      <c r="AF124" s="13">
        <v>1</v>
      </c>
      <c r="AG124" s="13">
        <v>0</v>
      </c>
      <c r="AH124" s="13">
        <v>0</v>
      </c>
      <c r="AI124" s="13">
        <v>0</v>
      </c>
      <c r="AJ124" s="13">
        <f>VLOOKUP(Table24[[#This Row],[3_Elephant_ID]],'[1]Attributes(OUTDATED)'!$A$2:$P$19,16,FALSE)</f>
        <v>1</v>
      </c>
      <c r="AK124" s="13">
        <f>VLOOKUP(Table24[[#This Row],[3_Elephant_ID]],'[1]Attributes(OUTDATED)'!$A$2:$S$19,17,FALSE)</f>
        <v>7</v>
      </c>
      <c r="AL124" s="13">
        <f>VLOOKUP(Table24[[#This Row],[3_Elephant_ID]],'[1]Attributes(OUTDATED)'!$A$2:$S$19,18,FALSE)</f>
        <v>9</v>
      </c>
    </row>
    <row r="125" spans="1:38" ht="28" x14ac:dyDescent="0.15">
      <c r="A125" s="3">
        <v>147</v>
      </c>
      <c r="B125" s="6" t="s">
        <v>60</v>
      </c>
      <c r="C125" s="7">
        <v>8</v>
      </c>
      <c r="D125" s="7">
        <v>6</v>
      </c>
      <c r="E125" s="7">
        <v>2023</v>
      </c>
      <c r="F125" s="5">
        <v>45085</v>
      </c>
      <c r="G125" s="6" t="s">
        <v>9</v>
      </c>
      <c r="H125" s="17">
        <v>0.29200772200772201</v>
      </c>
      <c r="I125" s="3" t="str">
        <f>VLOOKUP(G125,'[1]Attributes(OUTDATED)'!$A$2:$C$19,2,FALSE)</f>
        <v>F</v>
      </c>
      <c r="J125" s="3" t="str">
        <f>VLOOKUP(G125,'[1]Attributes(OUTDATED)'!$A$2:$C$19,3,FALSE)</f>
        <v>J</v>
      </c>
      <c r="K125" s="3">
        <f>VLOOKUP(G125,'[1]Attributes(OUTDATED)'!$A$2:$H$19,8,FALSE)</f>
        <v>820</v>
      </c>
      <c r="L125" s="3" t="str">
        <f>J125&amp;I125</f>
        <v>JF</v>
      </c>
      <c r="M125" s="11">
        <v>45083</v>
      </c>
      <c r="N125" s="13">
        <v>22</v>
      </c>
      <c r="O125" s="13">
        <v>16.399999999999999</v>
      </c>
      <c r="P125" s="13">
        <v>5.3</v>
      </c>
      <c r="Q125" s="13">
        <f>Table24[[#This Row],[2_Temp_H]]-Table24[[#This Row],[2_Temp_L]]</f>
        <v>16.7</v>
      </c>
      <c r="R125" s="13">
        <v>27.7</v>
      </c>
      <c r="S125" s="13">
        <v>5.0999999999999996</v>
      </c>
      <c r="T125" s="13">
        <v>1011.85</v>
      </c>
      <c r="U125" s="13">
        <v>1008.81</v>
      </c>
      <c r="V125" s="13">
        <v>0</v>
      </c>
      <c r="W125" s="13" t="s">
        <v>147</v>
      </c>
      <c r="X125" s="13" t="s">
        <v>139</v>
      </c>
      <c r="Y125" s="13" t="s">
        <v>26</v>
      </c>
      <c r="Z125" s="13" t="s">
        <v>144</v>
      </c>
      <c r="AA125" s="13" t="s">
        <v>146</v>
      </c>
      <c r="AB125" s="13" t="s">
        <v>137</v>
      </c>
      <c r="AC125" s="13">
        <f>VLOOKUP(Table24[[#This Row],[3_Elephant_ID]],'[1]Attributes(OUTDATED)'!$A$2:$N$19,12,FALSE)</f>
        <v>305</v>
      </c>
      <c r="AD125" s="13">
        <f>VLOOKUP(Table24[[#This Row],[3_Elephant_ID]],'[1]Attributes(OUTDATED)'!$A$2:$N$19,13,FALSE)</f>
        <v>0.17499999999999999</v>
      </c>
      <c r="AE125" s="13">
        <f>VLOOKUP(Table24[[#This Row],[3_Elephant_ID]],'[1]Attributes(OUTDATED)'!$A$2:$N$19,14,FALSE)</f>
        <v>0.17467336145108631</v>
      </c>
      <c r="AF125" s="13">
        <v>1</v>
      </c>
      <c r="AG125" s="13">
        <v>0</v>
      </c>
      <c r="AH125" s="13">
        <v>0</v>
      </c>
      <c r="AI125" s="13">
        <v>0</v>
      </c>
      <c r="AJ125" s="13">
        <f>VLOOKUP(Table24[[#This Row],[3_Elephant_ID]],'[1]Attributes(OUTDATED)'!$A$2:$P$19,16,FALSE)</f>
        <v>2</v>
      </c>
      <c r="AK125" s="13">
        <f>VLOOKUP(Table24[[#This Row],[3_Elephant_ID]],'[1]Attributes(OUTDATED)'!$A$2:$S$19,17,FALSE)</f>
        <v>0</v>
      </c>
      <c r="AL125" s="13">
        <f>VLOOKUP(Table24[[#This Row],[3_Elephant_ID]],'[1]Attributes(OUTDATED)'!$A$2:$S$19,18,FALSE)</f>
        <v>4</v>
      </c>
    </row>
    <row r="126" spans="1:38" ht="28" x14ac:dyDescent="0.15">
      <c r="A126" s="3">
        <v>148</v>
      </c>
      <c r="B126" s="6" t="s">
        <v>61</v>
      </c>
      <c r="C126" s="7">
        <v>8</v>
      </c>
      <c r="D126" s="7">
        <v>6</v>
      </c>
      <c r="E126" s="7">
        <v>2023</v>
      </c>
      <c r="F126" s="5">
        <v>45085</v>
      </c>
      <c r="G126" s="6" t="s">
        <v>10</v>
      </c>
      <c r="H126" s="17">
        <v>0.43408745247148289</v>
      </c>
      <c r="I126" s="3" t="str">
        <f>VLOOKUP(G126,'[1]Attributes(OUTDATED)'!$A$2:$C$19,2,FALSE)</f>
        <v>F</v>
      </c>
      <c r="J126" s="3" t="str">
        <f>VLOOKUP(G126,'[1]Attributes(OUTDATED)'!$A$2:$C$19,3,FALSE)</f>
        <v>A</v>
      </c>
      <c r="K126" s="3">
        <f>VLOOKUP(G126,'[1]Attributes(OUTDATED)'!$A$2:$H$19,8,FALSE)</f>
        <v>1146</v>
      </c>
      <c r="L126" s="3" t="str">
        <f>J126&amp;I126</f>
        <v>AF</v>
      </c>
      <c r="M126" s="11">
        <v>45083</v>
      </c>
      <c r="N126" s="13">
        <v>22</v>
      </c>
      <c r="O126" s="13">
        <v>16.399999999999999</v>
      </c>
      <c r="P126" s="13">
        <v>5.3</v>
      </c>
      <c r="Q126" s="13">
        <f>Table24[[#This Row],[2_Temp_H]]-Table24[[#This Row],[2_Temp_L]]</f>
        <v>16.7</v>
      </c>
      <c r="R126" s="13">
        <v>27.7</v>
      </c>
      <c r="S126" s="13">
        <v>5.0999999999999996</v>
      </c>
      <c r="T126" s="13">
        <v>1011.85</v>
      </c>
      <c r="U126" s="13">
        <v>1008.81</v>
      </c>
      <c r="V126" s="13">
        <v>0</v>
      </c>
      <c r="W126" s="13" t="s">
        <v>147</v>
      </c>
      <c r="X126" s="13" t="s">
        <v>139</v>
      </c>
      <c r="Y126" s="13" t="s">
        <v>26</v>
      </c>
      <c r="Z126" s="13" t="s">
        <v>144</v>
      </c>
      <c r="AA126" s="13" t="s">
        <v>146</v>
      </c>
      <c r="AB126" s="13" t="s">
        <v>137</v>
      </c>
      <c r="AC126" s="13">
        <f>VLOOKUP(Table24[[#This Row],[3_Elephant_ID]],'[1]Attributes(OUTDATED)'!$A$2:$N$19,12,FALSE)</f>
        <v>424</v>
      </c>
      <c r="AD126" s="13">
        <f>VLOOKUP(Table24[[#This Row],[3_Elephant_ID]],'[1]Attributes(OUTDATED)'!$A$2:$N$19,13,FALSE)</f>
        <v>0.10299999999999999</v>
      </c>
      <c r="AE126" s="13">
        <f>VLOOKUP(Table24[[#This Row],[3_Elephant_ID]],'[1]Attributes(OUTDATED)'!$A$2:$N$19,14,FALSE)</f>
        <v>0.10282190709599449</v>
      </c>
      <c r="AF126" s="13">
        <v>1</v>
      </c>
      <c r="AG126" s="13">
        <v>1</v>
      </c>
      <c r="AH126" s="13">
        <v>0</v>
      </c>
      <c r="AI126" s="13">
        <v>1</v>
      </c>
      <c r="AJ126" s="13">
        <f>VLOOKUP(Table24[[#This Row],[3_Elephant_ID]],'[1]Attributes(OUTDATED)'!$A$2:$P$19,16,FALSE)</f>
        <v>1</v>
      </c>
      <c r="AK126" s="13">
        <f>VLOOKUP(Table24[[#This Row],[3_Elephant_ID]],'[1]Attributes(OUTDATED)'!$A$2:$S$19,17,FALSE)</f>
        <v>9</v>
      </c>
      <c r="AL126" s="13">
        <f>VLOOKUP(Table24[[#This Row],[3_Elephant_ID]],'[1]Attributes(OUTDATED)'!$A$2:$S$19,18,FALSE)</f>
        <v>8</v>
      </c>
    </row>
    <row r="127" spans="1:38" ht="28" x14ac:dyDescent="0.15">
      <c r="A127" s="3">
        <v>150</v>
      </c>
      <c r="B127" s="6" t="s">
        <v>63</v>
      </c>
      <c r="C127" s="7">
        <v>8</v>
      </c>
      <c r="D127" s="7">
        <v>6</v>
      </c>
      <c r="E127" s="7">
        <v>2023</v>
      </c>
      <c r="F127" s="5">
        <v>45085</v>
      </c>
      <c r="G127" s="6" t="s">
        <v>7</v>
      </c>
      <c r="H127" s="17">
        <v>0.28021276595744682</v>
      </c>
      <c r="I127" s="3" t="str">
        <f>VLOOKUP(G127,'[1]Attributes(OUTDATED)'!$A$2:$C$19,2,FALSE)</f>
        <v>F</v>
      </c>
      <c r="J127" s="3" t="str">
        <f>VLOOKUP(G127,'[1]Attributes(OUTDATED)'!$A$2:$C$19,3,FALSE)</f>
        <v>J</v>
      </c>
      <c r="K127" s="3">
        <f>VLOOKUP(G127,'[1]Attributes(OUTDATED)'!$A$2:$H$19,8,FALSE)</f>
        <v>711</v>
      </c>
      <c r="L127" s="3" t="str">
        <f>J127&amp;I127</f>
        <v>JF</v>
      </c>
      <c r="M127" s="11">
        <v>45083</v>
      </c>
      <c r="N127" s="13">
        <v>22</v>
      </c>
      <c r="O127" s="13">
        <v>16.399999999999999</v>
      </c>
      <c r="P127" s="13">
        <v>5.3</v>
      </c>
      <c r="Q127" s="13">
        <f>Table24[[#This Row],[2_Temp_H]]-Table24[[#This Row],[2_Temp_L]]</f>
        <v>16.7</v>
      </c>
      <c r="R127" s="13">
        <v>27.7</v>
      </c>
      <c r="S127" s="13">
        <v>5.0999999999999996</v>
      </c>
      <c r="T127" s="13">
        <v>1011.85</v>
      </c>
      <c r="U127" s="13">
        <v>1008.81</v>
      </c>
      <c r="V127" s="13">
        <v>0</v>
      </c>
      <c r="W127" s="13" t="s">
        <v>147</v>
      </c>
      <c r="X127" s="13" t="s">
        <v>139</v>
      </c>
      <c r="Y127" s="13" t="s">
        <v>26</v>
      </c>
      <c r="Z127" s="13" t="s">
        <v>144</v>
      </c>
      <c r="AA127" s="13" t="s">
        <v>146</v>
      </c>
      <c r="AB127" s="13" t="s">
        <v>137</v>
      </c>
      <c r="AC127" s="13">
        <f>VLOOKUP(Table24[[#This Row],[3_Elephant_ID]],'[1]Attributes(OUTDATED)'!$A$2:$N$19,12,FALSE)</f>
        <v>398</v>
      </c>
      <c r="AD127" s="13">
        <f>VLOOKUP(Table24[[#This Row],[3_Elephant_ID]],'[1]Attributes(OUTDATED)'!$A$2:$N$19,13,FALSE)</f>
        <v>0.47899999999999998</v>
      </c>
      <c r="AE127" s="13">
        <f>VLOOKUP(Table24[[#This Row],[3_Elephant_ID]],'[1]Attributes(OUTDATED)'!$A$2:$N$19,14,FALSE)</f>
        <v>0.47820662037086947</v>
      </c>
      <c r="AF127" s="13">
        <v>1</v>
      </c>
      <c r="AG127" s="13">
        <v>0</v>
      </c>
      <c r="AH127" s="13">
        <v>0</v>
      </c>
      <c r="AI127" s="13">
        <v>0</v>
      </c>
      <c r="AJ127" s="13">
        <f>VLOOKUP(Table24[[#This Row],[3_Elephant_ID]],'[1]Attributes(OUTDATED)'!$A$2:$P$19,16,FALSE)</f>
        <v>1</v>
      </c>
      <c r="AK127" s="13">
        <f>VLOOKUP(Table24[[#This Row],[3_Elephant_ID]],'[1]Attributes(OUTDATED)'!$A$2:$S$19,17,FALSE)</f>
        <v>0</v>
      </c>
      <c r="AL127" s="13">
        <f>VLOOKUP(Table24[[#This Row],[3_Elephant_ID]],'[1]Attributes(OUTDATED)'!$A$2:$S$19,18,FALSE)</f>
        <v>12</v>
      </c>
    </row>
    <row r="128" spans="1:38" ht="28" x14ac:dyDescent="0.15">
      <c r="A128" s="3">
        <v>146</v>
      </c>
      <c r="B128" s="6">
        <v>1206231248</v>
      </c>
      <c r="C128" s="7">
        <v>12</v>
      </c>
      <c r="D128" s="7">
        <v>6</v>
      </c>
      <c r="E128" s="7">
        <v>2023</v>
      </c>
      <c r="F128" s="5">
        <v>45089</v>
      </c>
      <c r="G128" s="6" t="s">
        <v>1</v>
      </c>
      <c r="H128" s="17">
        <v>0.24428571428571427</v>
      </c>
      <c r="I128" s="3" t="str">
        <f>VLOOKUP(G128,'[1]Attributes(OUTDATED)'!$A$2:$C$19,2,FALSE)</f>
        <v>F</v>
      </c>
      <c r="J128" s="3" t="str">
        <f>VLOOKUP(G128,'[1]Attributes(OUTDATED)'!$A$2:$C$19,3,FALSE)</f>
        <v>A</v>
      </c>
      <c r="K128" s="3">
        <f>VLOOKUP(G128,'[1]Attributes(OUTDATED)'!$A$2:$H$19,8,FALSE)</f>
        <v>929</v>
      </c>
      <c r="L128" s="3" t="str">
        <f>J128&amp;I128</f>
        <v>AF</v>
      </c>
      <c r="M128" s="11">
        <v>45087</v>
      </c>
      <c r="N128" s="13">
        <v>18</v>
      </c>
      <c r="O128" s="13">
        <v>8.4</v>
      </c>
      <c r="P128" s="13">
        <v>1.3</v>
      </c>
      <c r="Q128" s="13">
        <f>Table24[[#This Row],[2_Temp_H]]-Table24[[#This Row],[2_Temp_L]]</f>
        <v>16.7</v>
      </c>
      <c r="R128" s="13">
        <v>15</v>
      </c>
      <c r="S128" s="13">
        <v>3.1</v>
      </c>
      <c r="T128" s="13">
        <v>1015.92</v>
      </c>
      <c r="U128" s="13">
        <v>1012.87</v>
      </c>
      <c r="V128" s="13">
        <v>0.25</v>
      </c>
      <c r="W128" s="13" t="s">
        <v>147</v>
      </c>
      <c r="X128" s="16" t="s">
        <v>171</v>
      </c>
      <c r="Y128" s="13" t="s">
        <v>137</v>
      </c>
      <c r="Z128" s="13" t="s">
        <v>144</v>
      </c>
      <c r="AA128" s="13" t="s">
        <v>146</v>
      </c>
      <c r="AB128" s="13" t="s">
        <v>137</v>
      </c>
      <c r="AC128" s="13">
        <f>VLOOKUP(Table24[[#This Row],[3_Elephant_ID]],'[1]Attributes(OUTDATED)'!$A$2:$N$19,12,FALSE)</f>
        <v>321</v>
      </c>
      <c r="AD128" s="13">
        <f>VLOOKUP(Table24[[#This Row],[3_Elephant_ID]],'[1]Attributes(OUTDATED)'!$A$2:$N$19,13,FALSE)</f>
        <v>0.17599999999999999</v>
      </c>
      <c r="AE128" s="13">
        <f>VLOOKUP(Table24[[#This Row],[3_Elephant_ID]],'[1]Attributes(OUTDATED)'!$A$2:$N$19,14,FALSE)</f>
        <v>0.17530262753188491</v>
      </c>
      <c r="AF128" s="13">
        <v>0</v>
      </c>
      <c r="AG128" s="13">
        <v>0</v>
      </c>
      <c r="AH128" s="13">
        <v>0</v>
      </c>
      <c r="AI128" s="13">
        <v>0</v>
      </c>
      <c r="AJ128" s="13">
        <f>VLOOKUP(Table24[[#This Row],[3_Elephant_ID]],'[1]Attributes(OUTDATED)'!$A$2:$P$19,16,FALSE)</f>
        <v>1</v>
      </c>
      <c r="AK128" s="13">
        <f>VLOOKUP(Table24[[#This Row],[3_Elephant_ID]],'[1]Attributes(OUTDATED)'!$A$2:$S$19,17,FALSE)</f>
        <v>6</v>
      </c>
      <c r="AL128" s="13">
        <f>VLOOKUP(Table24[[#This Row],[3_Elephant_ID]],'[1]Attributes(OUTDATED)'!$A$2:$S$19,18,FALSE)</f>
        <v>8</v>
      </c>
    </row>
    <row r="129" spans="1:38" ht="28" x14ac:dyDescent="0.15">
      <c r="A129" s="3">
        <v>144</v>
      </c>
      <c r="B129" s="6">
        <v>2206231727</v>
      </c>
      <c r="C129" s="7">
        <v>22</v>
      </c>
      <c r="D129" s="7">
        <v>6</v>
      </c>
      <c r="E129" s="7">
        <v>2023</v>
      </c>
      <c r="F129" s="5">
        <v>45099</v>
      </c>
      <c r="G129" s="6" t="s">
        <v>4</v>
      </c>
      <c r="H129" s="17">
        <v>0.47643122676579924</v>
      </c>
      <c r="I129" s="3" t="str">
        <f>VLOOKUP(G129,'[1]Attributes(OUTDATED)'!$A$2:$C$19,2,FALSE)</f>
        <v>M</v>
      </c>
      <c r="J129" s="3" t="str">
        <f>VLOOKUP(G129,'[1]Attributes(OUTDATED)'!$A$2:$C$19,3,FALSE)</f>
        <v>J</v>
      </c>
      <c r="K129" s="3">
        <f>VLOOKUP(G129,'[1]Attributes(OUTDATED)'!$A$2:$H$19,8,FALSE)</f>
        <v>1055</v>
      </c>
      <c r="L129" s="3" t="str">
        <f>J129&amp;I129</f>
        <v>JM</v>
      </c>
      <c r="M129" s="11">
        <v>45097</v>
      </c>
      <c r="N129" s="13">
        <v>11.2</v>
      </c>
      <c r="O129" s="13">
        <v>5.8</v>
      </c>
      <c r="P129" s="13">
        <v>1</v>
      </c>
      <c r="Q129" s="13">
        <f>Table24[[#This Row],[2_Temp_H]]-Table24[[#This Row],[2_Temp_L]]</f>
        <v>10.199999999999999</v>
      </c>
      <c r="R129" s="13">
        <v>26.9</v>
      </c>
      <c r="S129" s="13">
        <v>7.5</v>
      </c>
      <c r="T129" s="13">
        <v>1014.9</v>
      </c>
      <c r="U129" s="13">
        <v>1010.84</v>
      </c>
      <c r="V129" s="13">
        <v>0</v>
      </c>
      <c r="W129" s="13" t="s">
        <v>147</v>
      </c>
      <c r="X129" s="13" t="s">
        <v>139</v>
      </c>
      <c r="Y129" s="13" t="s">
        <v>26</v>
      </c>
      <c r="Z129" s="13" t="s">
        <v>144</v>
      </c>
      <c r="AA129" s="13" t="s">
        <v>146</v>
      </c>
      <c r="AB129" s="13" t="s">
        <v>137</v>
      </c>
      <c r="AC129" s="13">
        <f>VLOOKUP(Table24[[#This Row],[3_Elephant_ID]],'[1]Attributes(OUTDATED)'!$A$2:$N$19,12,FALSE)</f>
        <v>181</v>
      </c>
      <c r="AD129" s="13">
        <f>VLOOKUP(Table24[[#This Row],[3_Elephant_ID]],'[1]Attributes(OUTDATED)'!$A$2:$N$19,13,FALSE)</f>
        <v>7.3999999999999996E-2</v>
      </c>
      <c r="AE129" s="13">
        <f>VLOOKUP(Table24[[#This Row],[3_Elephant_ID]],'[1]Attributes(OUTDATED)'!$A$2:$N$19,14,FALSE)</f>
        <v>7.3914663535330896E-2</v>
      </c>
      <c r="AF129" s="13">
        <v>0</v>
      </c>
      <c r="AG129" s="13">
        <v>0</v>
      </c>
      <c r="AH129" s="13">
        <v>0</v>
      </c>
      <c r="AI129" s="13">
        <v>0</v>
      </c>
      <c r="AJ129" s="13">
        <f>VLOOKUP(Table24[[#This Row],[3_Elephant_ID]],'[1]Attributes(OUTDATED)'!$A$2:$P$19,16,FALSE)</f>
        <v>1</v>
      </c>
      <c r="AK129" s="13">
        <f>VLOOKUP(Table24[[#This Row],[3_Elephant_ID]],'[1]Attributes(OUTDATED)'!$A$2:$S$19,17,FALSE)</f>
        <v>7</v>
      </c>
      <c r="AL129" s="13">
        <f>VLOOKUP(Table24[[#This Row],[3_Elephant_ID]],'[1]Attributes(OUTDATED)'!$A$2:$S$19,18,FALSE)</f>
        <v>9</v>
      </c>
    </row>
    <row r="130" spans="1:38" ht="28" x14ac:dyDescent="0.15">
      <c r="A130" s="3">
        <v>145</v>
      </c>
      <c r="B130" s="6">
        <v>2206231310</v>
      </c>
      <c r="C130" s="7">
        <v>22</v>
      </c>
      <c r="D130" s="7">
        <v>6</v>
      </c>
      <c r="E130" s="7">
        <v>2023</v>
      </c>
      <c r="F130" s="5">
        <v>45099</v>
      </c>
      <c r="G130" s="6" t="s">
        <v>12</v>
      </c>
      <c r="H130" s="17">
        <v>0.71127167630057808</v>
      </c>
      <c r="I130" s="3" t="str">
        <f>VLOOKUP(G130,'[1]Attributes(OUTDATED)'!$A$2:$C$19,2,FALSE)</f>
        <v>M</v>
      </c>
      <c r="J130" s="3" t="str">
        <f>VLOOKUP(G130,'[1]Attributes(OUTDATED)'!$A$2:$C$19,3,FALSE)</f>
        <v>A</v>
      </c>
      <c r="K130" s="3">
        <f>VLOOKUP(G130,'[1]Attributes(OUTDATED)'!$A$2:$H$19,8,FALSE)</f>
        <v>1509</v>
      </c>
      <c r="L130" s="3" t="str">
        <f>J130&amp;I130</f>
        <v>AM</v>
      </c>
      <c r="M130" s="11">
        <v>45097</v>
      </c>
      <c r="N130" s="13">
        <v>11.2</v>
      </c>
      <c r="O130" s="13">
        <v>5.8</v>
      </c>
      <c r="P130" s="13">
        <v>1</v>
      </c>
      <c r="Q130" s="13">
        <f>Table24[[#This Row],[2_Temp_H]]-Table24[[#This Row],[2_Temp_L]]</f>
        <v>10.199999999999999</v>
      </c>
      <c r="R130" s="13">
        <v>26.9</v>
      </c>
      <c r="S130" s="13">
        <v>7.5</v>
      </c>
      <c r="T130" s="13">
        <v>1014.9</v>
      </c>
      <c r="U130" s="13">
        <v>1010.84</v>
      </c>
      <c r="V130" s="13">
        <v>0</v>
      </c>
      <c r="W130" s="13" t="s">
        <v>147</v>
      </c>
      <c r="X130" s="13" t="s">
        <v>139</v>
      </c>
      <c r="Y130" s="13" t="s">
        <v>26</v>
      </c>
      <c r="Z130" s="13" t="s">
        <v>144</v>
      </c>
      <c r="AA130" s="13" t="s">
        <v>146</v>
      </c>
      <c r="AB130" s="13" t="s">
        <v>137</v>
      </c>
      <c r="AC130" s="13">
        <f>VLOOKUP(Table24[[#This Row],[3_Elephant_ID]],'[1]Attributes(OUTDATED)'!$A$2:$N$19,12,FALSE)</f>
        <v>450</v>
      </c>
      <c r="AD130" s="13">
        <f>VLOOKUP(Table24[[#This Row],[3_Elephant_ID]],'[1]Attributes(OUTDATED)'!$A$2:$N$19,13,FALSE)</f>
        <v>0.375</v>
      </c>
      <c r="AE130" s="13">
        <f>VLOOKUP(Table24[[#This Row],[3_Elephant_ID]],'[1]Attributes(OUTDATED)'!$A$2:$N$19,14,FALSE)</f>
        <v>0.37414375430996583</v>
      </c>
      <c r="AF130" s="13">
        <v>0</v>
      </c>
      <c r="AG130" s="13">
        <v>0</v>
      </c>
      <c r="AH130" s="13">
        <v>0</v>
      </c>
      <c r="AI130" s="13">
        <v>0</v>
      </c>
      <c r="AJ130" s="13">
        <f>VLOOKUP(Table24[[#This Row],[3_Elephant_ID]],'[1]Attributes(OUTDATED)'!$A$2:$P$19,16,FALSE)</f>
        <v>1</v>
      </c>
      <c r="AK130" s="13">
        <f>VLOOKUP(Table24[[#This Row],[3_Elephant_ID]],'[1]Attributes(OUTDATED)'!$A$2:$S$19,17,FALSE)</f>
        <v>48</v>
      </c>
      <c r="AL130" s="13">
        <f>VLOOKUP(Table24[[#This Row],[3_Elephant_ID]],'[1]Attributes(OUTDATED)'!$A$2:$S$19,18,FALSE)</f>
        <v>3</v>
      </c>
    </row>
    <row r="131" spans="1:38" ht="28" x14ac:dyDescent="0.15">
      <c r="A131" s="3">
        <v>143</v>
      </c>
      <c r="B131" s="6">
        <v>2706231617</v>
      </c>
      <c r="C131" s="7">
        <v>27</v>
      </c>
      <c r="D131" s="7">
        <v>6</v>
      </c>
      <c r="E131" s="7">
        <v>2023</v>
      </c>
      <c r="F131" s="5">
        <v>45104</v>
      </c>
      <c r="G131" s="6" t="s">
        <v>2</v>
      </c>
      <c r="H131" s="17">
        <v>0.28130597014925374</v>
      </c>
      <c r="I131" s="3" t="str">
        <f>VLOOKUP(G131,'[1]Attributes(OUTDATED)'!$A$2:$C$19,2,FALSE)</f>
        <v>F</v>
      </c>
      <c r="J131" s="3" t="str">
        <f>VLOOKUP(G131,'[1]Attributes(OUTDATED)'!$A$2:$C$19,3,FALSE)</f>
        <v>A</v>
      </c>
      <c r="K131" s="3">
        <f>VLOOKUP(G131,'[1]Attributes(OUTDATED)'!$A$2:$H$19,8,FALSE)</f>
        <v>892</v>
      </c>
      <c r="L131" s="3" t="str">
        <f>J131&amp;I131</f>
        <v>AF</v>
      </c>
      <c r="M131" s="11">
        <v>45102</v>
      </c>
      <c r="N131" s="13">
        <v>15.3</v>
      </c>
      <c r="O131" s="13">
        <v>8.1</v>
      </c>
      <c r="P131" s="13">
        <v>2.2999999999999998</v>
      </c>
      <c r="Q131" s="13">
        <f>Table24[[#This Row],[2_Temp_H]]-Table24[[#This Row],[2_Temp_L]]</f>
        <v>13</v>
      </c>
      <c r="R131" s="13">
        <v>23</v>
      </c>
      <c r="S131" s="13">
        <v>3.4</v>
      </c>
      <c r="T131" s="13">
        <v>1014.9</v>
      </c>
      <c r="U131" s="13">
        <v>1011.85</v>
      </c>
      <c r="V131" s="13">
        <v>0</v>
      </c>
      <c r="W131" s="13" t="s">
        <v>147</v>
      </c>
      <c r="X131" s="13" t="s">
        <v>139</v>
      </c>
      <c r="Y131" s="13" t="s">
        <v>26</v>
      </c>
      <c r="Z131" s="13" t="s">
        <v>144</v>
      </c>
      <c r="AA131" s="13" t="s">
        <v>146</v>
      </c>
      <c r="AB131" s="13" t="s">
        <v>137</v>
      </c>
      <c r="AC131" s="13">
        <f>VLOOKUP(Table24[[#This Row],[3_Elephant_ID]],'[1]Attributes(OUTDATED)'!$A$2:$N$19,12,FALSE)</f>
        <v>378</v>
      </c>
      <c r="AD131" s="13">
        <f>VLOOKUP(Table24[[#This Row],[3_Elephant_ID]],'[1]Attributes(OUTDATED)'!$A$2:$N$19,13,FALSE)</f>
        <v>8.6999999999999994E-2</v>
      </c>
      <c r="AE131" s="13">
        <f>VLOOKUP(Table24[[#This Row],[3_Elephant_ID]],'[1]Attributes(OUTDATED)'!$A$2:$N$19,14,FALSE)</f>
        <v>8.6599138783086713E-2</v>
      </c>
      <c r="AF131" s="13">
        <v>0</v>
      </c>
      <c r="AG131" s="13">
        <v>0</v>
      </c>
      <c r="AH131" s="13">
        <v>0</v>
      </c>
      <c r="AI131" s="13">
        <v>0</v>
      </c>
      <c r="AJ131" s="13">
        <f>VLOOKUP(Table24[[#This Row],[3_Elephant_ID]],'[1]Attributes(OUTDATED)'!$A$2:$P$19,16,FALSE)</f>
        <v>1</v>
      </c>
      <c r="AK131" s="13">
        <f>VLOOKUP(Table24[[#This Row],[3_Elephant_ID]],'[1]Attributes(OUTDATED)'!$A$2:$S$19,17,FALSE)</f>
        <v>4</v>
      </c>
      <c r="AL131" s="13">
        <f>VLOOKUP(Table24[[#This Row],[3_Elephant_ID]],'[1]Attributes(OUTDATED)'!$A$2:$S$19,18,FALSE)</f>
        <v>20</v>
      </c>
    </row>
    <row r="132" spans="1:38" ht="28" x14ac:dyDescent="0.15">
      <c r="A132" s="3">
        <v>142</v>
      </c>
      <c r="B132" s="6">
        <v>2806231110</v>
      </c>
      <c r="C132" s="7">
        <v>28</v>
      </c>
      <c r="D132" s="7">
        <v>6</v>
      </c>
      <c r="E132" s="7">
        <v>2023</v>
      </c>
      <c r="F132" s="5">
        <v>45105</v>
      </c>
      <c r="G132" s="6" t="s">
        <v>13</v>
      </c>
      <c r="H132" s="17">
        <v>0.34929389312977094</v>
      </c>
      <c r="I132" s="3" t="str">
        <f>VLOOKUP(G132,'[1]Attributes(OUTDATED)'!$A$2:$C$19,2,FALSE)</f>
        <v>F</v>
      </c>
      <c r="J132" s="3" t="str">
        <f>VLOOKUP(G132,'[1]Attributes(OUTDATED)'!$A$2:$C$19,3,FALSE)</f>
        <v>A</v>
      </c>
      <c r="K132" s="3">
        <f>VLOOKUP(G132,'[1]Attributes(OUTDATED)'!$A$2:$H$19,8,FALSE)</f>
        <v>963</v>
      </c>
      <c r="L132" s="3" t="str">
        <f>J132&amp;I132</f>
        <v>AF</v>
      </c>
      <c r="M132" s="11">
        <v>45103</v>
      </c>
      <c r="N132" s="13">
        <v>14.6</v>
      </c>
      <c r="O132" s="13">
        <v>9.8000000000000007</v>
      </c>
      <c r="P132" s="13">
        <v>7.2</v>
      </c>
      <c r="Q132" s="13">
        <f>Table24[[#This Row],[2_Temp_H]]-Table24[[#This Row],[2_Temp_L]]</f>
        <v>7.3999999999999995</v>
      </c>
      <c r="R132" s="13">
        <v>26.6</v>
      </c>
      <c r="S132" s="13">
        <v>4.3</v>
      </c>
      <c r="T132" s="13">
        <v>1014.9</v>
      </c>
      <c r="U132" s="13">
        <v>1010.84</v>
      </c>
      <c r="V132" s="13">
        <v>1.52</v>
      </c>
      <c r="W132" s="13" t="s">
        <v>147</v>
      </c>
      <c r="X132" s="13" t="s">
        <v>141</v>
      </c>
      <c r="Y132" s="13" t="s">
        <v>26</v>
      </c>
      <c r="Z132" s="13" t="s">
        <v>144</v>
      </c>
      <c r="AA132" s="13" t="s">
        <v>146</v>
      </c>
      <c r="AB132" s="13" t="s">
        <v>137</v>
      </c>
      <c r="AC132" s="13">
        <f>VLOOKUP(Table24[[#This Row],[3_Elephant_ID]],'[1]Attributes(OUTDATED)'!$A$2:$N$19,12,FALSE)</f>
        <v>289</v>
      </c>
      <c r="AD132" s="13">
        <f>VLOOKUP(Table24[[#This Row],[3_Elephant_ID]],'[1]Attributes(OUTDATED)'!$A$2:$N$19,13,FALSE)</f>
        <v>0.32400000000000001</v>
      </c>
      <c r="AE132" s="13">
        <f>VLOOKUP(Table24[[#This Row],[3_Elephant_ID]],'[1]Attributes(OUTDATED)'!$A$2:$N$19,14,FALSE)</f>
        <v>0.32380809109629533</v>
      </c>
      <c r="AF132" s="13">
        <v>0</v>
      </c>
      <c r="AG132" s="13">
        <v>0</v>
      </c>
      <c r="AH132" s="13">
        <v>0</v>
      </c>
      <c r="AI132" s="13">
        <v>0</v>
      </c>
      <c r="AJ132" s="13">
        <f>VLOOKUP(Table24[[#This Row],[3_Elephant_ID]],'[1]Attributes(OUTDATED)'!$A$2:$P$19,16,FALSE)</f>
        <v>2</v>
      </c>
      <c r="AK132" s="13">
        <f>VLOOKUP(Table24[[#This Row],[3_Elephant_ID]],'[1]Attributes(OUTDATED)'!$A$2:$S$19,17,FALSE)</f>
        <v>9</v>
      </c>
      <c r="AL132" s="13">
        <f>VLOOKUP(Table24[[#This Row],[3_Elephant_ID]],'[1]Attributes(OUTDATED)'!$A$2:$S$19,18,FALSE)</f>
        <v>9</v>
      </c>
    </row>
    <row r="133" spans="1:38" ht="28" x14ac:dyDescent="0.15">
      <c r="A133" s="3">
        <v>141</v>
      </c>
      <c r="B133" s="6">
        <v>2806231059</v>
      </c>
      <c r="C133" s="7">
        <v>28</v>
      </c>
      <c r="D133" s="7">
        <v>6</v>
      </c>
      <c r="E133" s="7">
        <v>2023</v>
      </c>
      <c r="F133" s="5">
        <v>45105</v>
      </c>
      <c r="G133" s="6" t="s">
        <v>15</v>
      </c>
      <c r="H133" s="17">
        <v>0.51084586466165405</v>
      </c>
      <c r="I133" s="3" t="str">
        <f>VLOOKUP(G133,'[1]Attributes(OUTDATED)'!$A$2:$C$19,2,FALSE)</f>
        <v>M</v>
      </c>
      <c r="J133" s="3" t="str">
        <f>VLOOKUP(G133,'[1]Attributes(OUTDATED)'!$A$2:$C$19,3,FALSE)</f>
        <v>J</v>
      </c>
      <c r="K133" s="3">
        <f>VLOOKUP(G133,'[1]Attributes(OUTDATED)'!$A$2:$H$19,8,FALSE)</f>
        <v>828</v>
      </c>
      <c r="L133" s="3" t="str">
        <f>J133&amp;I133</f>
        <v>JM</v>
      </c>
      <c r="M133" s="11">
        <v>45103</v>
      </c>
      <c r="N133" s="13">
        <v>14.6</v>
      </c>
      <c r="O133" s="13">
        <v>9.8000000000000007</v>
      </c>
      <c r="P133" s="13">
        <v>7.2</v>
      </c>
      <c r="Q133" s="13">
        <f>Table24[[#This Row],[2_Temp_H]]-Table24[[#This Row],[2_Temp_L]]</f>
        <v>7.3999999999999995</v>
      </c>
      <c r="R133" s="13">
        <v>26.6</v>
      </c>
      <c r="S133" s="13">
        <v>4.3</v>
      </c>
      <c r="T133" s="13">
        <v>1014.9</v>
      </c>
      <c r="U133" s="13">
        <v>1010.84</v>
      </c>
      <c r="V133" s="13">
        <v>1.52</v>
      </c>
      <c r="W133" s="13" t="s">
        <v>147</v>
      </c>
      <c r="X133" s="13" t="s">
        <v>141</v>
      </c>
      <c r="Y133" s="13" t="s">
        <v>26</v>
      </c>
      <c r="Z133" s="13" t="s">
        <v>144</v>
      </c>
      <c r="AA133" s="13" t="s">
        <v>146</v>
      </c>
      <c r="AB133" s="13" t="s">
        <v>137</v>
      </c>
      <c r="AC133" s="13">
        <f>VLOOKUP(Table24[[#This Row],[3_Elephant_ID]],'[1]Attributes(OUTDATED)'!$A$2:$N$19,12,FALSE)</f>
        <v>219</v>
      </c>
      <c r="AD133" s="13">
        <f>VLOOKUP(Table24[[#This Row],[3_Elephant_ID]],'[1]Attributes(OUTDATED)'!$A$2:$N$19,13,FALSE)</f>
        <v>0.32300000000000001</v>
      </c>
      <c r="AE133" s="13">
        <f>VLOOKUP(Table24[[#This Row],[3_Elephant_ID]],'[1]Attributes(OUTDATED)'!$A$2:$N$19,14,FALSE)</f>
        <v>0.32257531484312868</v>
      </c>
      <c r="AF133" s="13">
        <v>0</v>
      </c>
      <c r="AG133" s="13">
        <v>0</v>
      </c>
      <c r="AH133" s="13">
        <v>0</v>
      </c>
      <c r="AI133" s="13">
        <v>0</v>
      </c>
      <c r="AJ133" s="13">
        <f>VLOOKUP(Table24[[#This Row],[3_Elephant_ID]],'[1]Attributes(OUTDATED)'!$A$2:$P$19,16,FALSE)</f>
        <v>2</v>
      </c>
      <c r="AK133" s="13">
        <f>VLOOKUP(Table24[[#This Row],[3_Elephant_ID]],'[1]Attributes(OUTDATED)'!$A$2:$S$19,17,FALSE)</f>
        <v>1</v>
      </c>
      <c r="AL133" s="13">
        <f>VLOOKUP(Table24[[#This Row],[3_Elephant_ID]],'[1]Attributes(OUTDATED)'!$A$2:$S$19,18,FALSE)</f>
        <v>6</v>
      </c>
    </row>
    <row r="134" spans="1:38" ht="28" x14ac:dyDescent="0.15">
      <c r="A134" s="3">
        <v>140</v>
      </c>
      <c r="B134" s="6">
        <v>2806231043</v>
      </c>
      <c r="C134" s="7">
        <v>28</v>
      </c>
      <c r="D134" s="7">
        <v>6</v>
      </c>
      <c r="E134" s="7">
        <v>2023</v>
      </c>
      <c r="F134" s="5">
        <v>45105</v>
      </c>
      <c r="G134" s="6" t="s">
        <v>7</v>
      </c>
      <c r="H134" s="17">
        <v>0.31155555555555553</v>
      </c>
      <c r="I134" s="3" t="str">
        <f>VLOOKUP(G134,'[1]Attributes(OUTDATED)'!$A$2:$C$19,2,FALSE)</f>
        <v>F</v>
      </c>
      <c r="J134" s="3" t="str">
        <f>VLOOKUP(G134,'[1]Attributes(OUTDATED)'!$A$2:$C$19,3,FALSE)</f>
        <v>J</v>
      </c>
      <c r="K134" s="3">
        <f>VLOOKUP(G134,'[1]Attributes(OUTDATED)'!$A$2:$H$19,8,FALSE)</f>
        <v>711</v>
      </c>
      <c r="L134" s="3" t="str">
        <f>J134&amp;I134</f>
        <v>JF</v>
      </c>
      <c r="M134" s="11">
        <v>45103</v>
      </c>
      <c r="N134" s="13">
        <v>14.6</v>
      </c>
      <c r="O134" s="13">
        <v>9.8000000000000007</v>
      </c>
      <c r="P134" s="13">
        <v>7.2</v>
      </c>
      <c r="Q134" s="13">
        <f>Table24[[#This Row],[2_Temp_H]]-Table24[[#This Row],[2_Temp_L]]</f>
        <v>7.3999999999999995</v>
      </c>
      <c r="R134" s="13">
        <v>26.6</v>
      </c>
      <c r="S134" s="13">
        <v>4.3</v>
      </c>
      <c r="T134" s="13">
        <v>1014.9</v>
      </c>
      <c r="U134" s="13">
        <v>1010.84</v>
      </c>
      <c r="V134" s="13">
        <v>1.52</v>
      </c>
      <c r="W134" s="13" t="s">
        <v>147</v>
      </c>
      <c r="X134" s="13" t="s">
        <v>141</v>
      </c>
      <c r="Y134" s="13" t="s">
        <v>26</v>
      </c>
      <c r="Z134" s="13" t="s">
        <v>144</v>
      </c>
      <c r="AA134" s="13" t="s">
        <v>146</v>
      </c>
      <c r="AB134" s="13" t="s">
        <v>137</v>
      </c>
      <c r="AC134" s="13">
        <f>VLOOKUP(Table24[[#This Row],[3_Elephant_ID]],'[1]Attributes(OUTDATED)'!$A$2:$N$19,12,FALSE)</f>
        <v>398</v>
      </c>
      <c r="AD134" s="13">
        <f>VLOOKUP(Table24[[#This Row],[3_Elephant_ID]],'[1]Attributes(OUTDATED)'!$A$2:$N$19,13,FALSE)</f>
        <v>0.47899999999999998</v>
      </c>
      <c r="AE134" s="13">
        <f>VLOOKUP(Table24[[#This Row],[3_Elephant_ID]],'[1]Attributes(OUTDATED)'!$A$2:$N$19,14,FALSE)</f>
        <v>0.47820662037086947</v>
      </c>
      <c r="AF134" s="13">
        <v>0</v>
      </c>
      <c r="AG134" s="13">
        <v>0</v>
      </c>
      <c r="AH134" s="13">
        <v>0</v>
      </c>
      <c r="AI134" s="13">
        <v>0</v>
      </c>
      <c r="AJ134" s="13">
        <f>VLOOKUP(Table24[[#This Row],[3_Elephant_ID]],'[1]Attributes(OUTDATED)'!$A$2:$P$19,16,FALSE)</f>
        <v>1</v>
      </c>
      <c r="AK134" s="13">
        <f>VLOOKUP(Table24[[#This Row],[3_Elephant_ID]],'[1]Attributes(OUTDATED)'!$A$2:$S$19,17,FALSE)</f>
        <v>0</v>
      </c>
      <c r="AL134" s="13">
        <f>VLOOKUP(Table24[[#This Row],[3_Elephant_ID]],'[1]Attributes(OUTDATED)'!$A$2:$S$19,18,FALSE)</f>
        <v>12</v>
      </c>
    </row>
    <row r="135" spans="1:38" ht="28" x14ac:dyDescent="0.15">
      <c r="A135" s="3">
        <v>139</v>
      </c>
      <c r="B135" s="6">
        <v>2806231600</v>
      </c>
      <c r="C135" s="7">
        <v>28</v>
      </c>
      <c r="D135" s="7">
        <v>6</v>
      </c>
      <c r="E135" s="7">
        <v>2023</v>
      </c>
      <c r="F135" s="5">
        <v>45105</v>
      </c>
      <c r="G135" s="6" t="s">
        <v>16</v>
      </c>
      <c r="H135" s="17">
        <v>0.36790099009900984</v>
      </c>
      <c r="I135" s="3" t="str">
        <f>VLOOKUP(G135,'[1]Attributes(OUTDATED)'!$A$2:$C$19,2,FALSE)</f>
        <v>F</v>
      </c>
      <c r="J135" s="3" t="str">
        <f>VLOOKUP(G135,'[1]Attributes(OUTDATED)'!$A$2:$C$19,3,FALSE)</f>
        <v>A</v>
      </c>
      <c r="K135" s="3">
        <f>VLOOKUP(G135,'[1]Attributes(OUTDATED)'!$A$2:$H$19,8,FALSE)</f>
        <v>1346</v>
      </c>
      <c r="L135" s="3" t="str">
        <f>J135&amp;I135</f>
        <v>AF</v>
      </c>
      <c r="M135" s="11">
        <v>45103</v>
      </c>
      <c r="N135" s="13">
        <v>14.6</v>
      </c>
      <c r="O135" s="13">
        <v>9.8000000000000007</v>
      </c>
      <c r="P135" s="13">
        <v>7.2</v>
      </c>
      <c r="Q135" s="13">
        <f>Table24[[#This Row],[2_Temp_H]]-Table24[[#This Row],[2_Temp_L]]</f>
        <v>7.3999999999999995</v>
      </c>
      <c r="R135" s="13">
        <v>26.6</v>
      </c>
      <c r="S135" s="13">
        <v>4.3</v>
      </c>
      <c r="T135" s="13">
        <v>1014.9</v>
      </c>
      <c r="U135" s="13">
        <v>1010.84</v>
      </c>
      <c r="V135" s="13">
        <v>1.52</v>
      </c>
      <c r="W135" s="13" t="s">
        <v>147</v>
      </c>
      <c r="X135" s="13" t="s">
        <v>141</v>
      </c>
      <c r="Y135" s="13" t="s">
        <v>26</v>
      </c>
      <c r="Z135" s="13" t="s">
        <v>144</v>
      </c>
      <c r="AA135" s="13" t="s">
        <v>146</v>
      </c>
      <c r="AB135" s="13" t="s">
        <v>137</v>
      </c>
      <c r="AC135" s="13">
        <f>VLOOKUP(Table24[[#This Row],[3_Elephant_ID]],'[1]Attributes(OUTDATED)'!$A$2:$N$19,12,FALSE)</f>
        <v>474</v>
      </c>
      <c r="AD135" s="13">
        <f>VLOOKUP(Table24[[#This Row],[3_Elephant_ID]],'[1]Attributes(OUTDATED)'!$A$2:$N$19,13,FALSE)</f>
        <v>0.121</v>
      </c>
      <c r="AE135" s="13">
        <f>VLOOKUP(Table24[[#This Row],[3_Elephant_ID]],'[1]Attributes(OUTDATED)'!$A$2:$N$19,14,FALSE)</f>
        <v>0.1206993463154281</v>
      </c>
      <c r="AF135" s="13">
        <v>0</v>
      </c>
      <c r="AG135" s="13">
        <v>0</v>
      </c>
      <c r="AH135" s="13">
        <v>0</v>
      </c>
      <c r="AI135" s="13">
        <v>0</v>
      </c>
      <c r="AJ135" s="13">
        <f>VLOOKUP(Table24[[#This Row],[3_Elephant_ID]],'[1]Attributes(OUTDATED)'!$A$2:$P$19,16,FALSE)</f>
        <v>1</v>
      </c>
      <c r="AK135" s="13">
        <f>VLOOKUP(Table24[[#This Row],[3_Elephant_ID]],'[1]Attributes(OUTDATED)'!$A$2:$S$19,17,FALSE)</f>
        <v>16</v>
      </c>
      <c r="AL135" s="13">
        <f>VLOOKUP(Table24[[#This Row],[3_Elephant_ID]],'[1]Attributes(OUTDATED)'!$A$2:$S$19,18,FALSE)</f>
        <v>1</v>
      </c>
    </row>
    <row r="136" spans="1:38" ht="28" x14ac:dyDescent="0.15">
      <c r="A136" s="3">
        <v>138</v>
      </c>
      <c r="B136" s="6">
        <v>2906230927</v>
      </c>
      <c r="C136" s="7">
        <v>29</v>
      </c>
      <c r="D136" s="7">
        <v>6</v>
      </c>
      <c r="E136" s="7">
        <v>2023</v>
      </c>
      <c r="F136" s="5">
        <v>45106</v>
      </c>
      <c r="G136" s="6" t="s">
        <v>17</v>
      </c>
      <c r="H136" s="17">
        <v>0.15050751879699251</v>
      </c>
      <c r="I136" s="3" t="str">
        <f>VLOOKUP(G136,'[1]Attributes(OUTDATED)'!$A$2:$C$19,2,FALSE)</f>
        <v>M</v>
      </c>
      <c r="J136" s="3" t="str">
        <f>VLOOKUP(G136,'[1]Attributes(OUTDATED)'!$A$2:$C$19,3,FALSE)</f>
        <v>J</v>
      </c>
      <c r="K136" s="3">
        <f>VLOOKUP(G136,'[1]Attributes(OUTDATED)'!$A$2:$H$19,8,FALSE)</f>
        <v>699</v>
      </c>
      <c r="L136" s="3" t="str">
        <f>J136&amp;I136</f>
        <v>JM</v>
      </c>
      <c r="M136" s="11">
        <v>45104</v>
      </c>
      <c r="N136" s="13">
        <v>17.3</v>
      </c>
      <c r="O136" s="13">
        <v>12.4</v>
      </c>
      <c r="P136" s="13">
        <v>8.1</v>
      </c>
      <c r="Q136" s="13">
        <f>Table24[[#This Row],[2_Temp_H]]-Table24[[#This Row],[2_Temp_L]]</f>
        <v>9.2000000000000011</v>
      </c>
      <c r="R136" s="13">
        <v>35.9</v>
      </c>
      <c r="S136" s="13">
        <v>7.7</v>
      </c>
      <c r="T136" s="13">
        <v>1012.87</v>
      </c>
      <c r="U136" s="13">
        <v>1006.77</v>
      </c>
      <c r="V136" s="13">
        <v>2.79</v>
      </c>
      <c r="W136" s="13" t="s">
        <v>147</v>
      </c>
      <c r="X136" s="13" t="s">
        <v>141</v>
      </c>
      <c r="Y136" s="13" t="s">
        <v>26</v>
      </c>
      <c r="Z136" s="13" t="s">
        <v>144</v>
      </c>
      <c r="AA136" s="13" t="s">
        <v>146</v>
      </c>
      <c r="AB136" s="13" t="s">
        <v>137</v>
      </c>
      <c r="AC136" s="13">
        <f>VLOOKUP(Table24[[#This Row],[3_Elephant_ID]],'[1]Attributes(OUTDATED)'!$A$2:$N$19,12,FALSE)</f>
        <v>343</v>
      </c>
      <c r="AD136" s="13">
        <f>VLOOKUP(Table24[[#This Row],[3_Elephant_ID]],'[1]Attributes(OUTDATED)'!$A$2:$N$19,13,FALSE)</f>
        <v>0.81</v>
      </c>
      <c r="AE136" s="13">
        <f>VLOOKUP(Table24[[#This Row],[3_Elephant_ID]],'[1]Attributes(OUTDATED)'!$A$2:$N$19,14,FALSE)</f>
        <v>0.80966774571167055</v>
      </c>
      <c r="AF136" s="13">
        <v>1</v>
      </c>
      <c r="AG136" s="13">
        <v>0</v>
      </c>
      <c r="AH136" s="13">
        <v>0</v>
      </c>
      <c r="AI136" s="13">
        <v>0</v>
      </c>
      <c r="AJ136" s="13">
        <f>VLOOKUP(Table24[[#This Row],[3_Elephant_ID]],'[1]Attributes(OUTDATED)'!$A$2:$P$19,16,FALSE)</f>
        <v>1</v>
      </c>
      <c r="AK136" s="13">
        <f>VLOOKUP(Table24[[#This Row],[3_Elephant_ID]],'[1]Attributes(OUTDATED)'!$A$2:$S$19,17,FALSE)</f>
        <v>0</v>
      </c>
      <c r="AL136" s="13">
        <f>VLOOKUP(Table24[[#This Row],[3_Elephant_ID]],'[1]Attributes(OUTDATED)'!$A$2:$S$19,18,FALSE)</f>
        <v>8</v>
      </c>
    </row>
    <row r="137" spans="1:38" ht="28" x14ac:dyDescent="0.15">
      <c r="A137" s="3">
        <v>135</v>
      </c>
      <c r="B137" s="6">
        <v>2906231124</v>
      </c>
      <c r="C137" s="7">
        <v>29</v>
      </c>
      <c r="D137" s="7">
        <v>6</v>
      </c>
      <c r="E137" s="7">
        <v>2023</v>
      </c>
      <c r="F137" s="5">
        <v>45106</v>
      </c>
      <c r="G137" s="6" t="s">
        <v>10</v>
      </c>
      <c r="H137" s="17">
        <v>0.31404135338345868</v>
      </c>
      <c r="I137" s="3" t="str">
        <f>VLOOKUP(G137,'[1]Attributes(OUTDATED)'!$A$2:$C$19,2,FALSE)</f>
        <v>F</v>
      </c>
      <c r="J137" s="3" t="str">
        <f>VLOOKUP(G137,'[1]Attributes(OUTDATED)'!$A$2:$C$19,3,FALSE)</f>
        <v>A</v>
      </c>
      <c r="K137" s="3">
        <f>VLOOKUP(G137,'[1]Attributes(OUTDATED)'!$A$2:$H$19,8,FALSE)</f>
        <v>1146</v>
      </c>
      <c r="L137" s="3" t="str">
        <f>J137&amp;I137</f>
        <v>AF</v>
      </c>
      <c r="M137" s="11">
        <v>45104</v>
      </c>
      <c r="N137" s="13">
        <v>17.3</v>
      </c>
      <c r="O137" s="13">
        <v>12.4</v>
      </c>
      <c r="P137" s="13">
        <v>8.1</v>
      </c>
      <c r="Q137" s="13">
        <f>Table24[[#This Row],[2_Temp_H]]-Table24[[#This Row],[2_Temp_L]]</f>
        <v>9.2000000000000011</v>
      </c>
      <c r="R137" s="13">
        <v>35.9</v>
      </c>
      <c r="S137" s="13">
        <v>7.7</v>
      </c>
      <c r="T137" s="13">
        <v>1012.87</v>
      </c>
      <c r="U137" s="13">
        <v>1006.77</v>
      </c>
      <c r="V137" s="13">
        <v>2.79</v>
      </c>
      <c r="W137" s="13" t="s">
        <v>147</v>
      </c>
      <c r="X137" s="13" t="s">
        <v>141</v>
      </c>
      <c r="Y137" s="13" t="s">
        <v>26</v>
      </c>
      <c r="Z137" s="13" t="s">
        <v>144</v>
      </c>
      <c r="AA137" s="13" t="s">
        <v>146</v>
      </c>
      <c r="AB137" s="13" t="s">
        <v>137</v>
      </c>
      <c r="AC137" s="13">
        <f>VLOOKUP(Table24[[#This Row],[3_Elephant_ID]],'[1]Attributes(OUTDATED)'!$A$2:$N$19,12,FALSE)</f>
        <v>424</v>
      </c>
      <c r="AD137" s="13">
        <f>VLOOKUP(Table24[[#This Row],[3_Elephant_ID]],'[1]Attributes(OUTDATED)'!$A$2:$N$19,13,FALSE)</f>
        <v>0.10299999999999999</v>
      </c>
      <c r="AE137" s="13">
        <f>VLOOKUP(Table24[[#This Row],[3_Elephant_ID]],'[1]Attributes(OUTDATED)'!$A$2:$N$19,14,FALSE)</f>
        <v>0.10282190709599449</v>
      </c>
      <c r="AF137" s="13">
        <v>1</v>
      </c>
      <c r="AG137" s="13">
        <v>0</v>
      </c>
      <c r="AH137" s="13">
        <v>0</v>
      </c>
      <c r="AI137" s="13">
        <v>0</v>
      </c>
      <c r="AJ137" s="13">
        <f>VLOOKUP(Table24[[#This Row],[3_Elephant_ID]],'[1]Attributes(OUTDATED)'!$A$2:$P$19,16,FALSE)</f>
        <v>1</v>
      </c>
      <c r="AK137" s="13">
        <f>VLOOKUP(Table24[[#This Row],[3_Elephant_ID]],'[1]Attributes(OUTDATED)'!$A$2:$S$19,17,FALSE)</f>
        <v>9</v>
      </c>
      <c r="AL137" s="13">
        <f>VLOOKUP(Table24[[#This Row],[3_Elephant_ID]],'[1]Attributes(OUTDATED)'!$A$2:$S$19,18,FALSE)</f>
        <v>8</v>
      </c>
    </row>
    <row r="138" spans="1:38" ht="28" x14ac:dyDescent="0.15">
      <c r="A138" s="3">
        <v>136</v>
      </c>
      <c r="B138" s="6">
        <v>2906231047</v>
      </c>
      <c r="C138" s="7">
        <v>29</v>
      </c>
      <c r="D138" s="7">
        <v>6</v>
      </c>
      <c r="E138" s="7">
        <v>2023</v>
      </c>
      <c r="F138" s="5">
        <v>45106</v>
      </c>
      <c r="G138" s="6" t="s">
        <v>7</v>
      </c>
      <c r="H138" s="17">
        <v>0.362655109489051</v>
      </c>
      <c r="I138" s="3" t="str">
        <f>VLOOKUP(G138,'[1]Attributes(OUTDATED)'!$A$2:$C$19,2,FALSE)</f>
        <v>F</v>
      </c>
      <c r="J138" s="3" t="str">
        <f>VLOOKUP(G138,'[1]Attributes(OUTDATED)'!$A$2:$C$19,3,FALSE)</f>
        <v>J</v>
      </c>
      <c r="K138" s="3">
        <f>VLOOKUP(G138,'[1]Attributes(OUTDATED)'!$A$2:$H$19,8,FALSE)</f>
        <v>711</v>
      </c>
      <c r="L138" s="3" t="str">
        <f>J138&amp;I138</f>
        <v>JF</v>
      </c>
      <c r="M138" s="11">
        <v>45104</v>
      </c>
      <c r="N138" s="13">
        <v>17.3</v>
      </c>
      <c r="O138" s="13">
        <v>12.4</v>
      </c>
      <c r="P138" s="13">
        <v>8.1</v>
      </c>
      <c r="Q138" s="13">
        <f>Table24[[#This Row],[2_Temp_H]]-Table24[[#This Row],[2_Temp_L]]</f>
        <v>9.2000000000000011</v>
      </c>
      <c r="R138" s="13">
        <v>35.9</v>
      </c>
      <c r="S138" s="13">
        <v>7.7</v>
      </c>
      <c r="T138" s="13">
        <v>1012.87</v>
      </c>
      <c r="U138" s="13">
        <v>1006.77</v>
      </c>
      <c r="V138" s="13">
        <v>2.79</v>
      </c>
      <c r="W138" s="13" t="s">
        <v>147</v>
      </c>
      <c r="X138" s="13" t="s">
        <v>141</v>
      </c>
      <c r="Y138" s="13" t="s">
        <v>26</v>
      </c>
      <c r="Z138" s="13" t="s">
        <v>144</v>
      </c>
      <c r="AA138" s="13" t="s">
        <v>146</v>
      </c>
      <c r="AB138" s="13" t="s">
        <v>137</v>
      </c>
      <c r="AC138" s="13">
        <f>VLOOKUP(Table24[[#This Row],[3_Elephant_ID]],'[1]Attributes(OUTDATED)'!$A$2:$N$19,12,FALSE)</f>
        <v>398</v>
      </c>
      <c r="AD138" s="13">
        <f>VLOOKUP(Table24[[#This Row],[3_Elephant_ID]],'[1]Attributes(OUTDATED)'!$A$2:$N$19,13,FALSE)</f>
        <v>0.47899999999999998</v>
      </c>
      <c r="AE138" s="13">
        <f>VLOOKUP(Table24[[#This Row],[3_Elephant_ID]],'[1]Attributes(OUTDATED)'!$A$2:$N$19,14,FALSE)</f>
        <v>0.47820662037086947</v>
      </c>
      <c r="AF138" s="13">
        <v>1</v>
      </c>
      <c r="AG138" s="13">
        <v>0</v>
      </c>
      <c r="AH138" s="13">
        <v>0</v>
      </c>
      <c r="AI138" s="13">
        <v>0</v>
      </c>
      <c r="AJ138" s="13">
        <f>VLOOKUP(Table24[[#This Row],[3_Elephant_ID]],'[1]Attributes(OUTDATED)'!$A$2:$P$19,16,FALSE)</f>
        <v>1</v>
      </c>
      <c r="AK138" s="13">
        <f>VLOOKUP(Table24[[#This Row],[3_Elephant_ID]],'[1]Attributes(OUTDATED)'!$A$2:$S$19,17,FALSE)</f>
        <v>0</v>
      </c>
      <c r="AL138" s="13">
        <f>VLOOKUP(Table24[[#This Row],[3_Elephant_ID]],'[1]Attributes(OUTDATED)'!$A$2:$S$19,18,FALSE)</f>
        <v>12</v>
      </c>
    </row>
    <row r="139" spans="1:38" ht="28" x14ac:dyDescent="0.15">
      <c r="A139" s="3">
        <v>137</v>
      </c>
      <c r="B139" s="6">
        <v>2906230936</v>
      </c>
      <c r="C139" s="7">
        <v>29</v>
      </c>
      <c r="D139" s="7">
        <v>6</v>
      </c>
      <c r="E139" s="7">
        <v>2023</v>
      </c>
      <c r="F139" s="5">
        <v>45106</v>
      </c>
      <c r="G139" s="6" t="s">
        <v>16</v>
      </c>
      <c r="H139" s="17">
        <v>0.50763302752293582</v>
      </c>
      <c r="I139" s="3" t="str">
        <f>VLOOKUP(G139,'[1]Attributes(OUTDATED)'!$A$2:$C$19,2,FALSE)</f>
        <v>F</v>
      </c>
      <c r="J139" s="3" t="str">
        <f>VLOOKUP(G139,'[1]Attributes(OUTDATED)'!$A$2:$C$19,3,FALSE)</f>
        <v>A</v>
      </c>
      <c r="K139" s="3">
        <f>VLOOKUP(G139,'[1]Attributes(OUTDATED)'!$A$2:$H$19,8,FALSE)</f>
        <v>1346</v>
      </c>
      <c r="L139" s="3" t="str">
        <f>J139&amp;I139</f>
        <v>AF</v>
      </c>
      <c r="M139" s="11">
        <v>45104</v>
      </c>
      <c r="N139" s="13">
        <v>17.3</v>
      </c>
      <c r="O139" s="13">
        <v>12.4</v>
      </c>
      <c r="P139" s="13">
        <v>8.1</v>
      </c>
      <c r="Q139" s="13">
        <f>Table24[[#This Row],[2_Temp_H]]-Table24[[#This Row],[2_Temp_L]]</f>
        <v>9.2000000000000011</v>
      </c>
      <c r="R139" s="13">
        <v>35.9</v>
      </c>
      <c r="S139" s="13">
        <v>7.7</v>
      </c>
      <c r="T139" s="13">
        <v>1012.87</v>
      </c>
      <c r="U139" s="13">
        <v>1006.77</v>
      </c>
      <c r="V139" s="13">
        <v>2.79</v>
      </c>
      <c r="W139" s="13" t="s">
        <v>147</v>
      </c>
      <c r="X139" s="13" t="s">
        <v>141</v>
      </c>
      <c r="Y139" s="13" t="s">
        <v>26</v>
      </c>
      <c r="Z139" s="13" t="s">
        <v>144</v>
      </c>
      <c r="AA139" s="13" t="s">
        <v>146</v>
      </c>
      <c r="AB139" s="13" t="s">
        <v>137</v>
      </c>
      <c r="AC139" s="13">
        <f>VLOOKUP(Table24[[#This Row],[3_Elephant_ID]],'[1]Attributes(OUTDATED)'!$A$2:$N$19,12,FALSE)</f>
        <v>474</v>
      </c>
      <c r="AD139" s="13">
        <f>VLOOKUP(Table24[[#This Row],[3_Elephant_ID]],'[1]Attributes(OUTDATED)'!$A$2:$N$19,13,FALSE)</f>
        <v>0.121</v>
      </c>
      <c r="AE139" s="13">
        <f>VLOOKUP(Table24[[#This Row],[3_Elephant_ID]],'[1]Attributes(OUTDATED)'!$A$2:$N$19,14,FALSE)</f>
        <v>0.1206993463154281</v>
      </c>
      <c r="AF139" s="13">
        <v>1</v>
      </c>
      <c r="AG139" s="13">
        <v>1</v>
      </c>
      <c r="AH139" s="13">
        <v>0</v>
      </c>
      <c r="AI139" s="13">
        <v>1</v>
      </c>
      <c r="AJ139" s="13">
        <f>VLOOKUP(Table24[[#This Row],[3_Elephant_ID]],'[1]Attributes(OUTDATED)'!$A$2:$P$19,16,FALSE)</f>
        <v>1</v>
      </c>
      <c r="AK139" s="13">
        <f>VLOOKUP(Table24[[#This Row],[3_Elephant_ID]],'[1]Attributes(OUTDATED)'!$A$2:$S$19,17,FALSE)</f>
        <v>16</v>
      </c>
      <c r="AL139" s="13">
        <f>VLOOKUP(Table24[[#This Row],[3_Elephant_ID]],'[1]Attributes(OUTDATED)'!$A$2:$S$19,18,FALSE)</f>
        <v>1</v>
      </c>
    </row>
    <row r="140" spans="1:38" ht="28" x14ac:dyDescent="0.15">
      <c r="A140" s="3">
        <v>133</v>
      </c>
      <c r="B140" s="6">
        <v>3006231359</v>
      </c>
      <c r="C140" s="7">
        <v>30</v>
      </c>
      <c r="D140" s="7">
        <v>6</v>
      </c>
      <c r="E140" s="7">
        <v>2023</v>
      </c>
      <c r="F140" s="5">
        <v>45107</v>
      </c>
      <c r="G140" s="6" t="s">
        <v>12</v>
      </c>
      <c r="H140" s="17">
        <v>0.36483685220729367</v>
      </c>
      <c r="I140" s="3" t="str">
        <f>VLOOKUP(G140,'[1]Attributes(OUTDATED)'!$A$2:$C$19,2,FALSE)</f>
        <v>M</v>
      </c>
      <c r="J140" s="3" t="str">
        <f>VLOOKUP(G140,'[1]Attributes(OUTDATED)'!$A$2:$C$19,3,FALSE)</f>
        <v>A</v>
      </c>
      <c r="K140" s="3">
        <f>VLOOKUP(G140,'[1]Attributes(OUTDATED)'!$A$2:$H$19,8,FALSE)</f>
        <v>1509</v>
      </c>
      <c r="L140" s="3" t="str">
        <f>J140&amp;I140</f>
        <v>AM</v>
      </c>
      <c r="M140" s="11">
        <v>45105</v>
      </c>
      <c r="N140" s="13">
        <v>17.399999999999999</v>
      </c>
      <c r="O140" s="13">
        <v>12.3</v>
      </c>
      <c r="P140" s="13">
        <v>7.6</v>
      </c>
      <c r="Q140" s="13">
        <f>Table24[[#This Row],[2_Temp_H]]-Table24[[#This Row],[2_Temp_L]]</f>
        <v>9.7999999999999989</v>
      </c>
      <c r="R140" s="13">
        <v>35.9</v>
      </c>
      <c r="S140" s="13">
        <v>9.1999999999999993</v>
      </c>
      <c r="T140" s="13">
        <v>1009.82</v>
      </c>
      <c r="U140" s="13">
        <v>1006.77</v>
      </c>
      <c r="V140" s="13">
        <v>16.760000000000002</v>
      </c>
      <c r="W140" s="13" t="s">
        <v>147</v>
      </c>
      <c r="X140" s="16" t="s">
        <v>171</v>
      </c>
      <c r="Y140" s="13" t="s">
        <v>137</v>
      </c>
      <c r="Z140" s="13" t="s">
        <v>144</v>
      </c>
      <c r="AA140" s="13" t="s">
        <v>146</v>
      </c>
      <c r="AB140" s="13" t="s">
        <v>137</v>
      </c>
      <c r="AC140" s="13">
        <f>VLOOKUP(Table24[[#This Row],[3_Elephant_ID]],'[1]Attributes(OUTDATED)'!$A$2:$N$19,12,FALSE)</f>
        <v>450</v>
      </c>
      <c r="AD140" s="13">
        <f>VLOOKUP(Table24[[#This Row],[3_Elephant_ID]],'[1]Attributes(OUTDATED)'!$A$2:$N$19,13,FALSE)</f>
        <v>0.375</v>
      </c>
      <c r="AE140" s="13">
        <f>VLOOKUP(Table24[[#This Row],[3_Elephant_ID]],'[1]Attributes(OUTDATED)'!$A$2:$N$19,14,FALSE)</f>
        <v>0.37414375430996583</v>
      </c>
      <c r="AF140" s="13">
        <v>2</v>
      </c>
      <c r="AG140" s="13">
        <v>0</v>
      </c>
      <c r="AH140" s="13">
        <v>0</v>
      </c>
      <c r="AI140" s="13">
        <v>0</v>
      </c>
      <c r="AJ140" s="13">
        <f>VLOOKUP(Table24[[#This Row],[3_Elephant_ID]],'[1]Attributes(OUTDATED)'!$A$2:$P$19,16,FALSE)</f>
        <v>1</v>
      </c>
      <c r="AK140" s="13">
        <f>VLOOKUP(Table24[[#This Row],[3_Elephant_ID]],'[1]Attributes(OUTDATED)'!$A$2:$S$19,17,FALSE)</f>
        <v>48</v>
      </c>
      <c r="AL140" s="13">
        <f>VLOOKUP(Table24[[#This Row],[3_Elephant_ID]],'[1]Attributes(OUTDATED)'!$A$2:$S$19,18,FALSE)</f>
        <v>3</v>
      </c>
    </row>
    <row r="141" spans="1:38" ht="28" x14ac:dyDescent="0.15">
      <c r="A141" s="3">
        <v>134</v>
      </c>
      <c r="B141" s="6">
        <v>3006231330</v>
      </c>
      <c r="C141" s="7">
        <v>30</v>
      </c>
      <c r="D141" s="7">
        <v>6</v>
      </c>
      <c r="E141" s="7">
        <v>2023</v>
      </c>
      <c r="F141" s="5">
        <v>45107</v>
      </c>
      <c r="G141" s="6" t="s">
        <v>1</v>
      </c>
      <c r="H141" s="17">
        <v>0.29904950495049504</v>
      </c>
      <c r="I141" s="3" t="str">
        <f>VLOOKUP(G141,'[1]Attributes(OUTDATED)'!$A$2:$C$19,2,FALSE)</f>
        <v>F</v>
      </c>
      <c r="J141" s="3" t="str">
        <f>VLOOKUP(G141,'[1]Attributes(OUTDATED)'!$A$2:$C$19,3,FALSE)</f>
        <v>A</v>
      </c>
      <c r="K141" s="3">
        <f>VLOOKUP(G141,'[1]Attributes(OUTDATED)'!$A$2:$H$19,8,FALSE)</f>
        <v>929</v>
      </c>
      <c r="L141" s="3" t="str">
        <f>J141&amp;I141</f>
        <v>AF</v>
      </c>
      <c r="M141" s="11">
        <v>45105</v>
      </c>
      <c r="N141" s="13">
        <v>17.399999999999999</v>
      </c>
      <c r="O141" s="13">
        <v>12.3</v>
      </c>
      <c r="P141" s="13">
        <v>7.6</v>
      </c>
      <c r="Q141" s="13">
        <f>Table24[[#This Row],[2_Temp_H]]-Table24[[#This Row],[2_Temp_L]]</f>
        <v>9.7999999999999989</v>
      </c>
      <c r="R141" s="13">
        <v>35.9</v>
      </c>
      <c r="S141" s="13">
        <v>9.1999999999999993</v>
      </c>
      <c r="T141" s="13">
        <v>1009.82</v>
      </c>
      <c r="U141" s="13">
        <v>1006.77</v>
      </c>
      <c r="V141" s="13">
        <v>16.760000000000002</v>
      </c>
      <c r="W141" s="13" t="s">
        <v>147</v>
      </c>
      <c r="X141" s="16" t="s">
        <v>171</v>
      </c>
      <c r="Y141" s="13" t="s">
        <v>137</v>
      </c>
      <c r="Z141" s="13" t="s">
        <v>144</v>
      </c>
      <c r="AA141" s="13" t="s">
        <v>146</v>
      </c>
      <c r="AB141" s="13" t="s">
        <v>137</v>
      </c>
      <c r="AC141" s="13">
        <f>VLOOKUP(Table24[[#This Row],[3_Elephant_ID]],'[1]Attributes(OUTDATED)'!$A$2:$N$19,12,FALSE)</f>
        <v>321</v>
      </c>
      <c r="AD141" s="13">
        <f>VLOOKUP(Table24[[#This Row],[3_Elephant_ID]],'[1]Attributes(OUTDATED)'!$A$2:$N$19,13,FALSE)</f>
        <v>0.17599999999999999</v>
      </c>
      <c r="AE141" s="13">
        <f>VLOOKUP(Table24[[#This Row],[3_Elephant_ID]],'[1]Attributes(OUTDATED)'!$A$2:$N$19,14,FALSE)</f>
        <v>0.17530262753188491</v>
      </c>
      <c r="AF141" s="13">
        <v>2</v>
      </c>
      <c r="AG141" s="13">
        <v>0</v>
      </c>
      <c r="AH141" s="13">
        <v>0</v>
      </c>
      <c r="AI141" s="13">
        <v>0</v>
      </c>
      <c r="AJ141" s="13">
        <f>VLOOKUP(Table24[[#This Row],[3_Elephant_ID]],'[1]Attributes(OUTDATED)'!$A$2:$P$19,16,FALSE)</f>
        <v>1</v>
      </c>
      <c r="AK141" s="13">
        <f>VLOOKUP(Table24[[#This Row],[3_Elephant_ID]],'[1]Attributes(OUTDATED)'!$A$2:$S$19,17,FALSE)</f>
        <v>6</v>
      </c>
      <c r="AL141" s="13">
        <f>VLOOKUP(Table24[[#This Row],[3_Elephant_ID]],'[1]Attributes(OUTDATED)'!$A$2:$S$19,18,FALSE)</f>
        <v>8</v>
      </c>
    </row>
    <row r="142" spans="1:38" ht="28" x14ac:dyDescent="0.15">
      <c r="A142" s="3">
        <v>132</v>
      </c>
      <c r="B142" s="6" t="s">
        <v>59</v>
      </c>
      <c r="C142" s="7">
        <v>1</v>
      </c>
      <c r="D142" s="7">
        <v>7</v>
      </c>
      <c r="E142" s="7">
        <v>2023</v>
      </c>
      <c r="F142" s="5">
        <v>45108</v>
      </c>
      <c r="G142" s="6" t="s">
        <v>2</v>
      </c>
      <c r="H142" s="17">
        <v>0.29716216216216218</v>
      </c>
      <c r="I142" s="3" t="str">
        <f>VLOOKUP(G142,'[1]Attributes(OUTDATED)'!$A$2:$C$19,2,FALSE)</f>
        <v>F</v>
      </c>
      <c r="J142" s="3" t="str">
        <f>VLOOKUP(G142,'[1]Attributes(OUTDATED)'!$A$2:$C$19,3,FALSE)</f>
        <v>A</v>
      </c>
      <c r="K142" s="3">
        <f>VLOOKUP(G142,'[1]Attributes(OUTDATED)'!$A$2:$H$19,8,FALSE)</f>
        <v>892</v>
      </c>
      <c r="L142" s="3" t="str">
        <f>J142&amp;I142</f>
        <v>AF</v>
      </c>
      <c r="M142" s="11">
        <v>45106</v>
      </c>
      <c r="N142" s="13">
        <v>14.9</v>
      </c>
      <c r="O142" s="13">
        <v>11.1</v>
      </c>
      <c r="P142" s="13">
        <v>7.7</v>
      </c>
      <c r="Q142" s="13">
        <f>Table24[[#This Row],[2_Temp_H]]-Table24[[#This Row],[2_Temp_L]]</f>
        <v>7.2</v>
      </c>
      <c r="R142" s="13">
        <v>31.5</v>
      </c>
      <c r="S142" s="13">
        <v>10.8</v>
      </c>
      <c r="T142" s="13">
        <v>1014.9</v>
      </c>
      <c r="U142" s="13">
        <v>1007.79</v>
      </c>
      <c r="V142" s="13">
        <v>0</v>
      </c>
      <c r="W142" s="13" t="s">
        <v>147</v>
      </c>
      <c r="X142" s="13" t="s">
        <v>139</v>
      </c>
      <c r="Y142" s="13" t="s">
        <v>26</v>
      </c>
      <c r="Z142" s="13" t="s">
        <v>144</v>
      </c>
      <c r="AA142" s="13" t="s">
        <v>146</v>
      </c>
      <c r="AB142" s="13" t="s">
        <v>137</v>
      </c>
      <c r="AC142" s="13">
        <f>VLOOKUP(Table24[[#This Row],[3_Elephant_ID]],'[1]Attributes(OUTDATED)'!$A$2:$N$19,12,FALSE)</f>
        <v>378</v>
      </c>
      <c r="AD142" s="13">
        <f>VLOOKUP(Table24[[#This Row],[3_Elephant_ID]],'[1]Attributes(OUTDATED)'!$A$2:$N$19,13,FALSE)</f>
        <v>8.6999999999999994E-2</v>
      </c>
      <c r="AE142" s="13">
        <f>VLOOKUP(Table24[[#This Row],[3_Elephant_ID]],'[1]Attributes(OUTDATED)'!$A$2:$N$19,14,FALSE)</f>
        <v>8.6599138783086713E-2</v>
      </c>
      <c r="AF142" s="13">
        <v>1</v>
      </c>
      <c r="AG142" s="13">
        <v>0</v>
      </c>
      <c r="AH142" s="13">
        <v>0</v>
      </c>
      <c r="AI142" s="13">
        <v>0</v>
      </c>
      <c r="AJ142" s="13">
        <f>VLOOKUP(Table24[[#This Row],[3_Elephant_ID]],'[1]Attributes(OUTDATED)'!$A$2:$P$19,16,FALSE)</f>
        <v>1</v>
      </c>
      <c r="AK142" s="13">
        <f>VLOOKUP(Table24[[#This Row],[3_Elephant_ID]],'[1]Attributes(OUTDATED)'!$A$2:$S$19,17,FALSE)</f>
        <v>4</v>
      </c>
      <c r="AL142" s="13">
        <f>VLOOKUP(Table24[[#This Row],[3_Elephant_ID]],'[1]Attributes(OUTDATED)'!$A$2:$S$19,18,FALSE)</f>
        <v>20</v>
      </c>
    </row>
    <row r="143" spans="1:38" ht="28" x14ac:dyDescent="0.15">
      <c r="A143" s="3">
        <v>131</v>
      </c>
      <c r="B143" s="6" t="s">
        <v>58</v>
      </c>
      <c r="C143" s="7">
        <v>3</v>
      </c>
      <c r="D143" s="7">
        <v>7</v>
      </c>
      <c r="E143" s="7">
        <v>2023</v>
      </c>
      <c r="F143" s="5">
        <v>45110</v>
      </c>
      <c r="G143" s="6" t="s">
        <v>4</v>
      </c>
      <c r="H143" s="17">
        <v>0.32141263940520448</v>
      </c>
      <c r="I143" s="3" t="str">
        <f>VLOOKUP(G143,'[1]Attributes(OUTDATED)'!$A$2:$C$19,2,FALSE)</f>
        <v>M</v>
      </c>
      <c r="J143" s="3" t="str">
        <f>VLOOKUP(G143,'[1]Attributes(OUTDATED)'!$A$2:$C$19,3,FALSE)</f>
        <v>J</v>
      </c>
      <c r="K143" s="3">
        <f>VLOOKUP(G143,'[1]Attributes(OUTDATED)'!$A$2:$H$19,8,FALSE)</f>
        <v>1055</v>
      </c>
      <c r="L143" s="3" t="str">
        <f>J143&amp;I143</f>
        <v>JM</v>
      </c>
      <c r="M143" s="11">
        <v>45108</v>
      </c>
      <c r="N143" s="13">
        <v>22.7</v>
      </c>
      <c r="O143" s="13">
        <v>10.9</v>
      </c>
      <c r="P143" s="13">
        <v>2.2000000000000002</v>
      </c>
      <c r="Q143" s="13">
        <f>Table24[[#This Row],[2_Temp_H]]-Table24[[#This Row],[2_Temp_L]]</f>
        <v>20.5</v>
      </c>
      <c r="R143" s="13">
        <v>29.1</v>
      </c>
      <c r="S143" s="13">
        <v>5.5</v>
      </c>
      <c r="T143" s="13">
        <v>1018.96</v>
      </c>
      <c r="U143" s="13">
        <v>1015.92</v>
      </c>
      <c r="V143" s="13">
        <v>0</v>
      </c>
      <c r="W143" s="13" t="s">
        <v>147</v>
      </c>
      <c r="X143" s="16" t="s">
        <v>171</v>
      </c>
      <c r="Y143" s="13" t="s">
        <v>137</v>
      </c>
      <c r="Z143" s="13" t="s">
        <v>144</v>
      </c>
      <c r="AA143" s="13" t="s">
        <v>146</v>
      </c>
      <c r="AB143" s="13" t="s">
        <v>137</v>
      </c>
      <c r="AC143" s="13">
        <f>VLOOKUP(Table24[[#This Row],[3_Elephant_ID]],'[1]Attributes(OUTDATED)'!$A$2:$N$19,12,FALSE)</f>
        <v>181</v>
      </c>
      <c r="AD143" s="13">
        <f>VLOOKUP(Table24[[#This Row],[3_Elephant_ID]],'[1]Attributes(OUTDATED)'!$A$2:$N$19,13,FALSE)</f>
        <v>7.3999999999999996E-2</v>
      </c>
      <c r="AE143" s="13">
        <f>VLOOKUP(Table24[[#This Row],[3_Elephant_ID]],'[1]Attributes(OUTDATED)'!$A$2:$N$19,14,FALSE)</f>
        <v>7.3914663535330896E-2</v>
      </c>
      <c r="AF143" s="13">
        <v>1</v>
      </c>
      <c r="AG143" s="13">
        <v>0</v>
      </c>
      <c r="AH143" s="13">
        <v>0</v>
      </c>
      <c r="AI143" s="13">
        <v>0</v>
      </c>
      <c r="AJ143" s="13">
        <f>VLOOKUP(Table24[[#This Row],[3_Elephant_ID]],'[1]Attributes(OUTDATED)'!$A$2:$P$19,16,FALSE)</f>
        <v>1</v>
      </c>
      <c r="AK143" s="13">
        <f>VLOOKUP(Table24[[#This Row],[3_Elephant_ID]],'[1]Attributes(OUTDATED)'!$A$2:$S$19,17,FALSE)</f>
        <v>7</v>
      </c>
      <c r="AL143" s="13">
        <f>VLOOKUP(Table24[[#This Row],[3_Elephant_ID]],'[1]Attributes(OUTDATED)'!$A$2:$S$19,18,FALSE)</f>
        <v>9</v>
      </c>
    </row>
    <row r="144" spans="1:38" ht="28" x14ac:dyDescent="0.15">
      <c r="A144" s="3">
        <v>129</v>
      </c>
      <c r="B144" s="6" t="s">
        <v>56</v>
      </c>
      <c r="C144" s="7">
        <v>3</v>
      </c>
      <c r="D144" s="7">
        <v>7</v>
      </c>
      <c r="E144" s="7">
        <v>2023</v>
      </c>
      <c r="F144" s="5">
        <v>45110</v>
      </c>
      <c r="G144" s="6" t="s">
        <v>14</v>
      </c>
      <c r="H144" s="17">
        <v>0.30966292134831458</v>
      </c>
      <c r="I144" s="3" t="str">
        <f>VLOOKUP(G144,'[1]Attributes(OUTDATED)'!$A$2:$C$19,2,FALSE)</f>
        <v>F</v>
      </c>
      <c r="J144" s="3" t="str">
        <f>VLOOKUP(G144,'[1]Attributes(OUTDATED)'!$A$2:$C$19,3,FALSE)</f>
        <v>J</v>
      </c>
      <c r="K144" s="3">
        <f>VLOOKUP(G144,'[1]Attributes(OUTDATED)'!$A$2:$H$19,8,FALSE)</f>
        <v>879</v>
      </c>
      <c r="L144" s="3" t="str">
        <f>J144&amp;I144</f>
        <v>JF</v>
      </c>
      <c r="M144" s="11">
        <v>45108</v>
      </c>
      <c r="N144" s="13">
        <v>22.7</v>
      </c>
      <c r="O144" s="13">
        <v>10.9</v>
      </c>
      <c r="P144" s="13">
        <v>2.2000000000000002</v>
      </c>
      <c r="Q144" s="13">
        <f>Table24[[#This Row],[2_Temp_H]]-Table24[[#This Row],[2_Temp_L]]</f>
        <v>20.5</v>
      </c>
      <c r="R144" s="13">
        <v>29.1</v>
      </c>
      <c r="S144" s="13">
        <v>5.5</v>
      </c>
      <c r="T144" s="13">
        <v>1018.96</v>
      </c>
      <c r="U144" s="13">
        <v>1015.92</v>
      </c>
      <c r="V144" s="13">
        <v>0</v>
      </c>
      <c r="W144" s="13" t="s">
        <v>147</v>
      </c>
      <c r="X144" s="16" t="s">
        <v>171</v>
      </c>
      <c r="Y144" s="13" t="s">
        <v>137</v>
      </c>
      <c r="Z144" s="13" t="s">
        <v>144</v>
      </c>
      <c r="AA144" s="13" t="s">
        <v>146</v>
      </c>
      <c r="AB144" s="13" t="s">
        <v>137</v>
      </c>
      <c r="AC144" s="13">
        <f>VLOOKUP(Table24[[#This Row],[3_Elephant_ID]],'[1]Attributes(OUTDATED)'!$A$2:$N$19,12,FALSE)</f>
        <v>269</v>
      </c>
      <c r="AD144" s="13">
        <f>VLOOKUP(Table24[[#This Row],[3_Elephant_ID]],'[1]Attributes(OUTDATED)'!$A$2:$N$19,13,FALSE)</f>
        <v>0.65800000000000003</v>
      </c>
      <c r="AE144" s="13">
        <f>VLOOKUP(Table24[[#This Row],[3_Elephant_ID]],'[1]Attributes(OUTDATED)'!$A$2:$N$19,14,FALSE)</f>
        <v>0.65767064449315993</v>
      </c>
      <c r="AF144" s="13">
        <v>1</v>
      </c>
      <c r="AG144" s="13">
        <v>0</v>
      </c>
      <c r="AH144" s="13">
        <v>0</v>
      </c>
      <c r="AI144" s="13">
        <v>0</v>
      </c>
      <c r="AJ144" s="13">
        <f>VLOOKUP(Table24[[#This Row],[3_Elephant_ID]],'[1]Attributes(OUTDATED)'!$A$2:$P$19,16,FALSE)</f>
        <v>1</v>
      </c>
      <c r="AK144" s="13">
        <f>VLOOKUP(Table24[[#This Row],[3_Elephant_ID]],'[1]Attributes(OUTDATED)'!$A$2:$S$19,17,FALSE)</f>
        <v>3</v>
      </c>
      <c r="AL144" s="13">
        <f>VLOOKUP(Table24[[#This Row],[3_Elephant_ID]],'[1]Attributes(OUTDATED)'!$A$2:$S$19,18,FALSE)</f>
        <v>9</v>
      </c>
    </row>
    <row r="145" spans="1:38" ht="28" x14ac:dyDescent="0.15">
      <c r="A145" s="3">
        <v>130</v>
      </c>
      <c r="B145" s="6" t="s">
        <v>57</v>
      </c>
      <c r="C145" s="7">
        <v>3</v>
      </c>
      <c r="D145" s="7">
        <v>7</v>
      </c>
      <c r="E145" s="7">
        <v>2023</v>
      </c>
      <c r="F145" s="5">
        <v>45110</v>
      </c>
      <c r="G145" s="6" t="s">
        <v>11</v>
      </c>
      <c r="H145" s="17">
        <v>0.23701754385964913</v>
      </c>
      <c r="I145" s="3" t="str">
        <f>VLOOKUP(G145,'[1]Attributes(OUTDATED)'!$A$2:$C$19,2,FALSE)</f>
        <v>M</v>
      </c>
      <c r="J145" s="3" t="str">
        <f>VLOOKUP(G145,'[1]Attributes(OUTDATED)'!$A$2:$C$19,3,FALSE)</f>
        <v>A</v>
      </c>
      <c r="K145" s="3">
        <f>VLOOKUP(G145,'[1]Attributes(OUTDATED)'!$A$2:$H$19,8,FALSE)</f>
        <v>1223</v>
      </c>
      <c r="L145" s="3" t="str">
        <f>J145&amp;I145</f>
        <v>AM</v>
      </c>
      <c r="M145" s="11">
        <v>45108</v>
      </c>
      <c r="N145" s="13">
        <v>22.7</v>
      </c>
      <c r="O145" s="13">
        <v>10.9</v>
      </c>
      <c r="P145" s="13">
        <v>2.2000000000000002</v>
      </c>
      <c r="Q145" s="13">
        <f>Table24[[#This Row],[2_Temp_H]]-Table24[[#This Row],[2_Temp_L]]</f>
        <v>20.5</v>
      </c>
      <c r="R145" s="13">
        <v>29.1</v>
      </c>
      <c r="S145" s="13">
        <v>5.5</v>
      </c>
      <c r="T145" s="13">
        <v>1018.96</v>
      </c>
      <c r="U145" s="13">
        <v>1015.92</v>
      </c>
      <c r="V145" s="13">
        <v>0</v>
      </c>
      <c r="W145" s="13" t="s">
        <v>147</v>
      </c>
      <c r="X145" s="16" t="s">
        <v>171</v>
      </c>
      <c r="Y145" s="13" t="s">
        <v>137</v>
      </c>
      <c r="Z145" s="13" t="s">
        <v>144</v>
      </c>
      <c r="AA145" s="13" t="s">
        <v>146</v>
      </c>
      <c r="AB145" s="13" t="s">
        <v>137</v>
      </c>
      <c r="AC145" s="13">
        <f>VLOOKUP(Table24[[#This Row],[3_Elephant_ID]],'[1]Attributes(OUTDATED)'!$A$2:$N$19,12,FALSE)</f>
        <v>404</v>
      </c>
      <c r="AD145" s="13">
        <f>VLOOKUP(Table24[[#This Row],[3_Elephant_ID]],'[1]Attributes(OUTDATED)'!$A$2:$N$19,13,FALSE)</f>
        <v>0.91700000000000004</v>
      </c>
      <c r="AE145" s="13">
        <f>VLOOKUP(Table24[[#This Row],[3_Elephant_ID]],'[1]Attributes(OUTDATED)'!$A$2:$N$19,14,FALSE)</f>
        <v>0.91664628583929353</v>
      </c>
      <c r="AF145" s="13">
        <v>1</v>
      </c>
      <c r="AG145" s="13">
        <v>0</v>
      </c>
      <c r="AH145" s="13">
        <v>0</v>
      </c>
      <c r="AI145" s="13">
        <v>0</v>
      </c>
      <c r="AJ145" s="13">
        <f>VLOOKUP(Table24[[#This Row],[3_Elephant_ID]],'[1]Attributes(OUTDATED)'!$A$2:$P$19,16,FALSE)</f>
        <v>1</v>
      </c>
      <c r="AK145" s="13">
        <f>VLOOKUP(Table24[[#This Row],[3_Elephant_ID]],'[1]Attributes(OUTDATED)'!$A$2:$S$19,17,FALSE)</f>
        <v>14</v>
      </c>
      <c r="AL145" s="13">
        <f>VLOOKUP(Table24[[#This Row],[3_Elephant_ID]],'[1]Attributes(OUTDATED)'!$A$2:$S$19,18,FALSE)</f>
        <v>17</v>
      </c>
    </row>
    <row r="146" spans="1:38" ht="28" x14ac:dyDescent="0.15">
      <c r="A146" s="3">
        <v>127</v>
      </c>
      <c r="B146" s="6" t="s">
        <v>54</v>
      </c>
      <c r="C146" s="7">
        <v>3</v>
      </c>
      <c r="D146" s="7">
        <v>7</v>
      </c>
      <c r="E146" s="7">
        <v>2023</v>
      </c>
      <c r="F146" s="5">
        <v>45110</v>
      </c>
      <c r="G146" s="6" t="s">
        <v>15</v>
      </c>
      <c r="H146" s="17">
        <v>0.31765384615384618</v>
      </c>
      <c r="I146" s="3" t="str">
        <f>VLOOKUP(G146,'[1]Attributes(OUTDATED)'!$A$2:$C$19,2,FALSE)</f>
        <v>M</v>
      </c>
      <c r="J146" s="3" t="str">
        <f>VLOOKUP(G146,'[1]Attributes(OUTDATED)'!$A$2:$C$19,3,FALSE)</f>
        <v>J</v>
      </c>
      <c r="K146" s="3">
        <f>VLOOKUP(G146,'[1]Attributes(OUTDATED)'!$A$2:$H$19,8,FALSE)</f>
        <v>828</v>
      </c>
      <c r="L146" s="3" t="str">
        <f>J146&amp;I146</f>
        <v>JM</v>
      </c>
      <c r="M146" s="11">
        <v>45108</v>
      </c>
      <c r="N146" s="13">
        <v>22.7</v>
      </c>
      <c r="O146" s="13">
        <v>10.9</v>
      </c>
      <c r="P146" s="13">
        <v>2.2000000000000002</v>
      </c>
      <c r="Q146" s="13">
        <f>Table24[[#This Row],[2_Temp_H]]-Table24[[#This Row],[2_Temp_L]]</f>
        <v>20.5</v>
      </c>
      <c r="R146" s="13">
        <v>29.1</v>
      </c>
      <c r="S146" s="13">
        <v>5.5</v>
      </c>
      <c r="T146" s="13">
        <v>1018.96</v>
      </c>
      <c r="U146" s="13">
        <v>1015.92</v>
      </c>
      <c r="V146" s="13">
        <v>0</v>
      </c>
      <c r="W146" s="13" t="s">
        <v>147</v>
      </c>
      <c r="X146" s="16" t="s">
        <v>171</v>
      </c>
      <c r="Y146" s="13" t="s">
        <v>137</v>
      </c>
      <c r="Z146" s="13" t="s">
        <v>144</v>
      </c>
      <c r="AA146" s="13" t="s">
        <v>146</v>
      </c>
      <c r="AB146" s="13" t="s">
        <v>137</v>
      </c>
      <c r="AC146" s="13">
        <f>VLOOKUP(Table24[[#This Row],[3_Elephant_ID]],'[1]Attributes(OUTDATED)'!$A$2:$N$19,12,FALSE)</f>
        <v>219</v>
      </c>
      <c r="AD146" s="13">
        <f>VLOOKUP(Table24[[#This Row],[3_Elephant_ID]],'[1]Attributes(OUTDATED)'!$A$2:$N$19,13,FALSE)</f>
        <v>0.32300000000000001</v>
      </c>
      <c r="AE146" s="13">
        <f>VLOOKUP(Table24[[#This Row],[3_Elephant_ID]],'[1]Attributes(OUTDATED)'!$A$2:$N$19,14,FALSE)</f>
        <v>0.32257531484312868</v>
      </c>
      <c r="AF146" s="13">
        <v>1</v>
      </c>
      <c r="AG146" s="13">
        <v>0</v>
      </c>
      <c r="AH146" s="13">
        <v>0</v>
      </c>
      <c r="AI146" s="13">
        <v>0</v>
      </c>
      <c r="AJ146" s="13">
        <f>VLOOKUP(Table24[[#This Row],[3_Elephant_ID]],'[1]Attributes(OUTDATED)'!$A$2:$P$19,16,FALSE)</f>
        <v>2</v>
      </c>
      <c r="AK146" s="13">
        <f>VLOOKUP(Table24[[#This Row],[3_Elephant_ID]],'[1]Attributes(OUTDATED)'!$A$2:$S$19,17,FALSE)</f>
        <v>1</v>
      </c>
      <c r="AL146" s="13">
        <f>VLOOKUP(Table24[[#This Row],[3_Elephant_ID]],'[1]Attributes(OUTDATED)'!$A$2:$S$19,18,FALSE)</f>
        <v>6</v>
      </c>
    </row>
    <row r="147" spans="1:38" ht="28" x14ac:dyDescent="0.15">
      <c r="A147" s="3">
        <v>128</v>
      </c>
      <c r="B147" s="6" t="s">
        <v>55</v>
      </c>
      <c r="C147" s="7">
        <v>3</v>
      </c>
      <c r="D147" s="7">
        <v>7</v>
      </c>
      <c r="E147" s="7">
        <v>2023</v>
      </c>
      <c r="F147" s="5">
        <v>45110</v>
      </c>
      <c r="G147" s="6" t="s">
        <v>7</v>
      </c>
      <c r="H147" s="17">
        <v>0.32075645756457571</v>
      </c>
      <c r="I147" s="3" t="str">
        <f>VLOOKUP(G147,'[1]Attributes(OUTDATED)'!$A$2:$C$19,2,FALSE)</f>
        <v>F</v>
      </c>
      <c r="J147" s="3" t="str">
        <f>VLOOKUP(G147,'[1]Attributes(OUTDATED)'!$A$2:$C$19,3,FALSE)</f>
        <v>J</v>
      </c>
      <c r="K147" s="3">
        <f>VLOOKUP(G147,'[1]Attributes(OUTDATED)'!$A$2:$H$19,8,FALSE)</f>
        <v>711</v>
      </c>
      <c r="L147" s="3" t="str">
        <f>J147&amp;I147</f>
        <v>JF</v>
      </c>
      <c r="M147" s="11">
        <v>45108</v>
      </c>
      <c r="N147" s="13">
        <v>22.7</v>
      </c>
      <c r="O147" s="13">
        <v>10.9</v>
      </c>
      <c r="P147" s="13">
        <v>2.2000000000000002</v>
      </c>
      <c r="Q147" s="13">
        <f>Table24[[#This Row],[2_Temp_H]]-Table24[[#This Row],[2_Temp_L]]</f>
        <v>20.5</v>
      </c>
      <c r="R147" s="13">
        <v>29.1</v>
      </c>
      <c r="S147" s="13">
        <v>5.5</v>
      </c>
      <c r="T147" s="13">
        <v>1018.96</v>
      </c>
      <c r="U147" s="13">
        <v>1015.92</v>
      </c>
      <c r="V147" s="13">
        <v>0</v>
      </c>
      <c r="W147" s="13" t="s">
        <v>147</v>
      </c>
      <c r="X147" s="16" t="s">
        <v>171</v>
      </c>
      <c r="Y147" s="13" t="s">
        <v>137</v>
      </c>
      <c r="Z147" s="13" t="s">
        <v>144</v>
      </c>
      <c r="AA147" s="13" t="s">
        <v>146</v>
      </c>
      <c r="AB147" s="13" t="s">
        <v>137</v>
      </c>
      <c r="AC147" s="13">
        <f>VLOOKUP(Table24[[#This Row],[3_Elephant_ID]],'[1]Attributes(OUTDATED)'!$A$2:$N$19,12,FALSE)</f>
        <v>398</v>
      </c>
      <c r="AD147" s="13">
        <f>VLOOKUP(Table24[[#This Row],[3_Elephant_ID]],'[1]Attributes(OUTDATED)'!$A$2:$N$19,13,FALSE)</f>
        <v>0.47899999999999998</v>
      </c>
      <c r="AE147" s="13">
        <f>VLOOKUP(Table24[[#This Row],[3_Elephant_ID]],'[1]Attributes(OUTDATED)'!$A$2:$N$19,14,FALSE)</f>
        <v>0.47820662037086947</v>
      </c>
      <c r="AF147" s="13">
        <v>1</v>
      </c>
      <c r="AG147" s="13">
        <v>0</v>
      </c>
      <c r="AH147" s="13">
        <v>0</v>
      </c>
      <c r="AI147" s="13">
        <v>0</v>
      </c>
      <c r="AJ147" s="13">
        <f>VLOOKUP(Table24[[#This Row],[3_Elephant_ID]],'[1]Attributes(OUTDATED)'!$A$2:$P$19,16,FALSE)</f>
        <v>1</v>
      </c>
      <c r="AK147" s="13">
        <f>VLOOKUP(Table24[[#This Row],[3_Elephant_ID]],'[1]Attributes(OUTDATED)'!$A$2:$S$19,17,FALSE)</f>
        <v>0</v>
      </c>
      <c r="AL147" s="13">
        <f>VLOOKUP(Table24[[#This Row],[3_Elephant_ID]],'[1]Attributes(OUTDATED)'!$A$2:$S$19,18,FALSE)</f>
        <v>12</v>
      </c>
    </row>
    <row r="148" spans="1:38" ht="28" x14ac:dyDescent="0.15">
      <c r="A148" s="3">
        <v>121</v>
      </c>
      <c r="B148" s="6" t="s">
        <v>48</v>
      </c>
      <c r="C148" s="7">
        <v>4</v>
      </c>
      <c r="D148" s="7">
        <v>7</v>
      </c>
      <c r="E148" s="7">
        <v>2023</v>
      </c>
      <c r="F148" s="5">
        <v>45111</v>
      </c>
      <c r="G148" s="6" t="s">
        <v>5</v>
      </c>
      <c r="H148" s="17">
        <v>0.47627819548872186</v>
      </c>
      <c r="I148" s="3" t="str">
        <f>VLOOKUP(G148,'[1]Attributes(OUTDATED)'!$A$2:$C$19,2,FALSE)</f>
        <v>M</v>
      </c>
      <c r="J148" s="3" t="str">
        <f>VLOOKUP(G148,'[1]Attributes(OUTDATED)'!$A$2:$C$19,3,FALSE)</f>
        <v>J</v>
      </c>
      <c r="K148" s="3">
        <f>VLOOKUP(G148,'[1]Attributes(OUTDATED)'!$A$2:$H$19,8,FALSE)</f>
        <v>940</v>
      </c>
      <c r="L148" s="3" t="str">
        <f>J148&amp;I148</f>
        <v>JM</v>
      </c>
      <c r="M148" s="11">
        <v>45109</v>
      </c>
      <c r="N148" s="13">
        <v>21.3</v>
      </c>
      <c r="O148" s="13">
        <v>11.1</v>
      </c>
      <c r="P148" s="13">
        <v>3.6</v>
      </c>
      <c r="Q148" s="13">
        <f>Table24[[#This Row],[2_Temp_H]]-Table24[[#This Row],[2_Temp_L]]</f>
        <v>17.7</v>
      </c>
      <c r="R148" s="13">
        <v>35.9</v>
      </c>
      <c r="S148" s="13">
        <v>6.6</v>
      </c>
      <c r="T148" s="13">
        <v>1019.98</v>
      </c>
      <c r="U148" s="13">
        <v>1017.95</v>
      </c>
      <c r="V148" s="13">
        <v>0</v>
      </c>
      <c r="W148" s="13" t="s">
        <v>147</v>
      </c>
      <c r="X148" s="13" t="s">
        <v>141</v>
      </c>
      <c r="Y148" s="13" t="s">
        <v>26</v>
      </c>
      <c r="Z148" s="13" t="s">
        <v>144</v>
      </c>
      <c r="AA148" s="13" t="s">
        <v>146</v>
      </c>
      <c r="AB148" s="13" t="s">
        <v>137</v>
      </c>
      <c r="AC148" s="13">
        <f>VLOOKUP(Table24[[#This Row],[3_Elephant_ID]],'[1]Attributes(OUTDATED)'!$A$2:$N$19,12,FALSE)</f>
        <v>361</v>
      </c>
      <c r="AD148" s="13">
        <f>VLOOKUP(Table24[[#This Row],[3_Elephant_ID]],'[1]Attributes(OUTDATED)'!$A$2:$N$19,13,FALSE)</f>
        <v>0.40600000000000003</v>
      </c>
      <c r="AE148" s="13">
        <f>VLOOKUP(Table24[[#This Row],[3_Elephant_ID]],'[1]Attributes(OUTDATED)'!$A$2:$N$19,14,FALSE)</f>
        <v>0.40590323220736402</v>
      </c>
      <c r="AF148" s="13">
        <v>0</v>
      </c>
      <c r="AG148" s="13">
        <v>0</v>
      </c>
      <c r="AH148" s="13">
        <v>0</v>
      </c>
      <c r="AI148" s="13">
        <v>0</v>
      </c>
      <c r="AJ148" s="13">
        <f>VLOOKUP(Table24[[#This Row],[3_Elephant_ID]],'[1]Attributes(OUTDATED)'!$A$2:$P$19,16,FALSE)</f>
        <v>1</v>
      </c>
      <c r="AK148" s="13">
        <f>VLOOKUP(Table24[[#This Row],[3_Elephant_ID]],'[1]Attributes(OUTDATED)'!$A$2:$S$19,17,FALSE)</f>
        <v>2</v>
      </c>
      <c r="AL148" s="13">
        <f>VLOOKUP(Table24[[#This Row],[3_Elephant_ID]],'[1]Attributes(OUTDATED)'!$A$2:$S$19,18,FALSE)</f>
        <v>7</v>
      </c>
    </row>
    <row r="149" spans="1:38" ht="28" x14ac:dyDescent="0.15">
      <c r="A149" s="3">
        <v>122</v>
      </c>
      <c r="B149" s="6" t="s">
        <v>49</v>
      </c>
      <c r="C149" s="7">
        <v>4</v>
      </c>
      <c r="D149" s="7">
        <v>7</v>
      </c>
      <c r="E149" s="7">
        <v>2023</v>
      </c>
      <c r="F149" s="5">
        <v>45111</v>
      </c>
      <c r="G149" s="6" t="s">
        <v>8</v>
      </c>
      <c r="H149" s="17">
        <v>0.39477777777777778</v>
      </c>
      <c r="I149" s="3" t="str">
        <f>VLOOKUP(G149,'[1]Attributes(OUTDATED)'!$A$2:$C$19,2,FALSE)</f>
        <v>F</v>
      </c>
      <c r="J149" s="3" t="str">
        <f>VLOOKUP(G149,'[1]Attributes(OUTDATED)'!$A$2:$C$19,3,FALSE)</f>
        <v>A</v>
      </c>
      <c r="K149" s="3">
        <f>VLOOKUP(G149,'[1]Attributes(OUTDATED)'!$A$2:$H$19,8,FALSE)</f>
        <v>1096</v>
      </c>
      <c r="L149" s="3" t="str">
        <f>J149&amp;I149</f>
        <v>AF</v>
      </c>
      <c r="M149" s="11">
        <v>45109</v>
      </c>
      <c r="N149" s="13">
        <v>21.3</v>
      </c>
      <c r="O149" s="13">
        <v>11.1</v>
      </c>
      <c r="P149" s="13">
        <v>3.6</v>
      </c>
      <c r="Q149" s="13">
        <f>Table24[[#This Row],[2_Temp_H]]-Table24[[#This Row],[2_Temp_L]]</f>
        <v>17.7</v>
      </c>
      <c r="R149" s="13">
        <v>35.9</v>
      </c>
      <c r="S149" s="13">
        <v>6.6</v>
      </c>
      <c r="T149" s="13">
        <v>1019.98</v>
      </c>
      <c r="U149" s="13">
        <v>1017.95</v>
      </c>
      <c r="V149" s="13">
        <v>0</v>
      </c>
      <c r="W149" s="13" t="s">
        <v>147</v>
      </c>
      <c r="X149" s="13" t="s">
        <v>141</v>
      </c>
      <c r="Y149" s="13" t="s">
        <v>26</v>
      </c>
      <c r="Z149" s="13" t="s">
        <v>144</v>
      </c>
      <c r="AA149" s="13" t="s">
        <v>146</v>
      </c>
      <c r="AB149" s="13" t="s">
        <v>137</v>
      </c>
      <c r="AC149" s="13">
        <f>VLOOKUP(Table24[[#This Row],[3_Elephant_ID]],'[1]Attributes(OUTDATED)'!$A$2:$N$19,12,FALSE)</f>
        <v>346</v>
      </c>
      <c r="AD149" s="13">
        <f>VLOOKUP(Table24[[#This Row],[3_Elephant_ID]],'[1]Attributes(OUTDATED)'!$A$2:$N$19,13,FALSE)</f>
        <v>0.28999999999999998</v>
      </c>
      <c r="AE149" s="13">
        <f>VLOOKUP(Table24[[#This Row],[3_Elephant_ID]],'[1]Attributes(OUTDATED)'!$A$2:$N$19,14,FALSE)</f>
        <v>0.28929989906834258</v>
      </c>
      <c r="AF149" s="13">
        <v>0</v>
      </c>
      <c r="AG149" s="13">
        <v>0</v>
      </c>
      <c r="AH149" s="13">
        <v>0</v>
      </c>
      <c r="AI149" s="13">
        <v>0</v>
      </c>
      <c r="AJ149" s="13">
        <f>VLOOKUP(Table24[[#This Row],[3_Elephant_ID]],'[1]Attributes(OUTDATED)'!$A$2:$P$19,16,FALSE)</f>
        <v>1</v>
      </c>
      <c r="AK149" s="13">
        <f>VLOOKUP(Table24[[#This Row],[3_Elephant_ID]],'[1]Attributes(OUTDATED)'!$A$2:$S$19,17,FALSE)</f>
        <v>11</v>
      </c>
      <c r="AL149" s="13">
        <f>VLOOKUP(Table24[[#This Row],[3_Elephant_ID]],'[1]Attributes(OUTDATED)'!$A$2:$S$19,18,FALSE)</f>
        <v>7</v>
      </c>
    </row>
    <row r="150" spans="1:38" ht="28" x14ac:dyDescent="0.15">
      <c r="A150" s="3">
        <v>124</v>
      </c>
      <c r="B150" s="6" t="s">
        <v>51</v>
      </c>
      <c r="C150" s="7">
        <v>4</v>
      </c>
      <c r="D150" s="7">
        <v>7</v>
      </c>
      <c r="E150" s="7">
        <v>2023</v>
      </c>
      <c r="F150" s="5">
        <v>45111</v>
      </c>
      <c r="G150" s="6" t="s">
        <v>12</v>
      </c>
      <c r="H150" s="17">
        <v>0.39349514563106797</v>
      </c>
      <c r="I150" s="3" t="str">
        <f>VLOOKUP(G150,'[1]Attributes(OUTDATED)'!$A$2:$C$19,2,FALSE)</f>
        <v>M</v>
      </c>
      <c r="J150" s="3" t="str">
        <f>VLOOKUP(G150,'[1]Attributes(OUTDATED)'!$A$2:$C$19,3,FALSE)</f>
        <v>A</v>
      </c>
      <c r="K150" s="3">
        <f>VLOOKUP(G150,'[1]Attributes(OUTDATED)'!$A$2:$H$19,8,FALSE)</f>
        <v>1509</v>
      </c>
      <c r="L150" s="3" t="str">
        <f>J150&amp;I150</f>
        <v>AM</v>
      </c>
      <c r="M150" s="11">
        <v>45109</v>
      </c>
      <c r="N150" s="13">
        <v>21.3</v>
      </c>
      <c r="O150" s="13">
        <v>11.1</v>
      </c>
      <c r="P150" s="13">
        <v>3.6</v>
      </c>
      <c r="Q150" s="13">
        <f>Table24[[#This Row],[2_Temp_H]]-Table24[[#This Row],[2_Temp_L]]</f>
        <v>17.7</v>
      </c>
      <c r="R150" s="13">
        <v>35.9</v>
      </c>
      <c r="S150" s="13">
        <v>6.6</v>
      </c>
      <c r="T150" s="13">
        <v>1019.98</v>
      </c>
      <c r="U150" s="13">
        <v>1017.95</v>
      </c>
      <c r="V150" s="13">
        <v>0</v>
      </c>
      <c r="W150" s="13" t="s">
        <v>147</v>
      </c>
      <c r="X150" s="13" t="s">
        <v>141</v>
      </c>
      <c r="Y150" s="13" t="s">
        <v>26</v>
      </c>
      <c r="Z150" s="13" t="s">
        <v>144</v>
      </c>
      <c r="AA150" s="13" t="s">
        <v>146</v>
      </c>
      <c r="AB150" s="13" t="s">
        <v>137</v>
      </c>
      <c r="AC150" s="13">
        <f>VLOOKUP(Table24[[#This Row],[3_Elephant_ID]],'[1]Attributes(OUTDATED)'!$A$2:$N$19,12,FALSE)</f>
        <v>450</v>
      </c>
      <c r="AD150" s="13">
        <f>VLOOKUP(Table24[[#This Row],[3_Elephant_ID]],'[1]Attributes(OUTDATED)'!$A$2:$N$19,13,FALSE)</f>
        <v>0.375</v>
      </c>
      <c r="AE150" s="13">
        <f>VLOOKUP(Table24[[#This Row],[3_Elephant_ID]],'[1]Attributes(OUTDATED)'!$A$2:$N$19,14,FALSE)</f>
        <v>0.37414375430996583</v>
      </c>
      <c r="AF150" s="13">
        <v>0</v>
      </c>
      <c r="AG150" s="13">
        <v>0</v>
      </c>
      <c r="AH150" s="13">
        <v>0</v>
      </c>
      <c r="AI150" s="13">
        <v>0</v>
      </c>
      <c r="AJ150" s="13">
        <f>VLOOKUP(Table24[[#This Row],[3_Elephant_ID]],'[1]Attributes(OUTDATED)'!$A$2:$P$19,16,FALSE)</f>
        <v>1</v>
      </c>
      <c r="AK150" s="13">
        <f>VLOOKUP(Table24[[#This Row],[3_Elephant_ID]],'[1]Attributes(OUTDATED)'!$A$2:$S$19,17,FALSE)</f>
        <v>48</v>
      </c>
      <c r="AL150" s="13">
        <f>VLOOKUP(Table24[[#This Row],[3_Elephant_ID]],'[1]Attributes(OUTDATED)'!$A$2:$S$19,18,FALSE)</f>
        <v>3</v>
      </c>
    </row>
    <row r="151" spans="1:38" ht="28" x14ac:dyDescent="0.15">
      <c r="A151" s="3">
        <v>125</v>
      </c>
      <c r="B151" s="6" t="s">
        <v>52</v>
      </c>
      <c r="C151" s="7">
        <v>4</v>
      </c>
      <c r="D151" s="7">
        <v>7</v>
      </c>
      <c r="E151" s="7">
        <v>2023</v>
      </c>
      <c r="F151" s="5">
        <v>45111</v>
      </c>
      <c r="G151" s="6" t="s">
        <v>1</v>
      </c>
      <c r="H151" s="17">
        <v>0.30348162475822049</v>
      </c>
      <c r="I151" s="3" t="str">
        <f>VLOOKUP(G151,'[1]Attributes(OUTDATED)'!$A$2:$C$19,2,FALSE)</f>
        <v>F</v>
      </c>
      <c r="J151" s="3" t="str">
        <f>VLOOKUP(G151,'[1]Attributes(OUTDATED)'!$A$2:$C$19,3,FALSE)</f>
        <v>A</v>
      </c>
      <c r="K151" s="3">
        <f>VLOOKUP(G151,'[1]Attributes(OUTDATED)'!$A$2:$H$19,8,FALSE)</f>
        <v>929</v>
      </c>
      <c r="L151" s="3" t="str">
        <f>J151&amp;I151</f>
        <v>AF</v>
      </c>
      <c r="M151" s="11">
        <v>45109</v>
      </c>
      <c r="N151" s="13">
        <v>21.3</v>
      </c>
      <c r="O151" s="13">
        <v>11.1</v>
      </c>
      <c r="P151" s="13">
        <v>3.6</v>
      </c>
      <c r="Q151" s="13">
        <f>Table24[[#This Row],[2_Temp_H]]-Table24[[#This Row],[2_Temp_L]]</f>
        <v>17.7</v>
      </c>
      <c r="R151" s="13">
        <v>35.9</v>
      </c>
      <c r="S151" s="13">
        <v>6.6</v>
      </c>
      <c r="T151" s="13">
        <v>1019.98</v>
      </c>
      <c r="U151" s="13">
        <v>1017.95</v>
      </c>
      <c r="V151" s="13">
        <v>0</v>
      </c>
      <c r="W151" s="13" t="s">
        <v>147</v>
      </c>
      <c r="X151" s="13" t="s">
        <v>141</v>
      </c>
      <c r="Y151" s="13" t="s">
        <v>26</v>
      </c>
      <c r="Z151" s="13" t="s">
        <v>144</v>
      </c>
      <c r="AA151" s="13" t="s">
        <v>146</v>
      </c>
      <c r="AB151" s="13" t="s">
        <v>137</v>
      </c>
      <c r="AC151" s="13">
        <f>VLOOKUP(Table24[[#This Row],[3_Elephant_ID]],'[1]Attributes(OUTDATED)'!$A$2:$N$19,12,FALSE)</f>
        <v>321</v>
      </c>
      <c r="AD151" s="13">
        <f>VLOOKUP(Table24[[#This Row],[3_Elephant_ID]],'[1]Attributes(OUTDATED)'!$A$2:$N$19,13,FALSE)</f>
        <v>0.17599999999999999</v>
      </c>
      <c r="AE151" s="13">
        <f>VLOOKUP(Table24[[#This Row],[3_Elephant_ID]],'[1]Attributes(OUTDATED)'!$A$2:$N$19,14,FALSE)</f>
        <v>0.17530262753188491</v>
      </c>
      <c r="AF151" s="13">
        <v>0</v>
      </c>
      <c r="AG151" s="13">
        <v>0</v>
      </c>
      <c r="AH151" s="13">
        <v>0</v>
      </c>
      <c r="AI151" s="13">
        <v>0</v>
      </c>
      <c r="AJ151" s="13">
        <f>VLOOKUP(Table24[[#This Row],[3_Elephant_ID]],'[1]Attributes(OUTDATED)'!$A$2:$P$19,16,FALSE)</f>
        <v>1</v>
      </c>
      <c r="AK151" s="13">
        <f>VLOOKUP(Table24[[#This Row],[3_Elephant_ID]],'[1]Attributes(OUTDATED)'!$A$2:$S$19,17,FALSE)</f>
        <v>6</v>
      </c>
      <c r="AL151" s="13">
        <f>VLOOKUP(Table24[[#This Row],[3_Elephant_ID]],'[1]Attributes(OUTDATED)'!$A$2:$S$19,18,FALSE)</f>
        <v>8</v>
      </c>
    </row>
    <row r="152" spans="1:38" ht="28" x14ac:dyDescent="0.15">
      <c r="A152" s="3">
        <v>126</v>
      </c>
      <c r="B152" s="6" t="s">
        <v>53</v>
      </c>
      <c r="C152" s="7">
        <v>4</v>
      </c>
      <c r="D152" s="7">
        <v>7</v>
      </c>
      <c r="E152" s="7">
        <v>2023</v>
      </c>
      <c r="F152" s="5">
        <v>45111</v>
      </c>
      <c r="G152" s="6" t="s">
        <v>7</v>
      </c>
      <c r="H152" s="17">
        <v>0.22437022900763356</v>
      </c>
      <c r="I152" s="3" t="str">
        <f>VLOOKUP(G152,'[1]Attributes(OUTDATED)'!$A$2:$C$19,2,FALSE)</f>
        <v>F</v>
      </c>
      <c r="J152" s="3" t="str">
        <f>VLOOKUP(G152,'[1]Attributes(OUTDATED)'!$A$2:$C$19,3,FALSE)</f>
        <v>J</v>
      </c>
      <c r="K152" s="3">
        <f>VLOOKUP(G152,'[1]Attributes(OUTDATED)'!$A$2:$H$19,8,FALSE)</f>
        <v>711</v>
      </c>
      <c r="L152" s="3" t="str">
        <f>J152&amp;I152</f>
        <v>JF</v>
      </c>
      <c r="M152" s="11">
        <v>45109</v>
      </c>
      <c r="N152" s="13">
        <v>21.3</v>
      </c>
      <c r="O152" s="13">
        <v>11.1</v>
      </c>
      <c r="P152" s="13">
        <v>3.6</v>
      </c>
      <c r="Q152" s="13">
        <f>Table24[[#This Row],[2_Temp_H]]-Table24[[#This Row],[2_Temp_L]]</f>
        <v>17.7</v>
      </c>
      <c r="R152" s="13">
        <v>35.9</v>
      </c>
      <c r="S152" s="13">
        <v>6.6</v>
      </c>
      <c r="T152" s="13">
        <v>1019.98</v>
      </c>
      <c r="U152" s="13">
        <v>1017.95</v>
      </c>
      <c r="V152" s="13">
        <v>0</v>
      </c>
      <c r="W152" s="13" t="s">
        <v>147</v>
      </c>
      <c r="X152" s="13" t="s">
        <v>141</v>
      </c>
      <c r="Y152" s="13" t="s">
        <v>26</v>
      </c>
      <c r="Z152" s="13" t="s">
        <v>144</v>
      </c>
      <c r="AA152" s="13" t="s">
        <v>146</v>
      </c>
      <c r="AB152" s="13" t="s">
        <v>137</v>
      </c>
      <c r="AC152" s="13">
        <f>VLOOKUP(Table24[[#This Row],[3_Elephant_ID]],'[1]Attributes(OUTDATED)'!$A$2:$N$19,12,FALSE)</f>
        <v>398</v>
      </c>
      <c r="AD152" s="13">
        <f>VLOOKUP(Table24[[#This Row],[3_Elephant_ID]],'[1]Attributes(OUTDATED)'!$A$2:$N$19,13,FALSE)</f>
        <v>0.47899999999999998</v>
      </c>
      <c r="AE152" s="13">
        <f>VLOOKUP(Table24[[#This Row],[3_Elephant_ID]],'[1]Attributes(OUTDATED)'!$A$2:$N$19,14,FALSE)</f>
        <v>0.47820662037086947</v>
      </c>
      <c r="AF152" s="13">
        <v>0</v>
      </c>
      <c r="AG152" s="13">
        <v>0</v>
      </c>
      <c r="AH152" s="13">
        <v>0</v>
      </c>
      <c r="AI152" s="13">
        <v>0</v>
      </c>
      <c r="AJ152" s="13">
        <f>VLOOKUP(Table24[[#This Row],[3_Elephant_ID]],'[1]Attributes(OUTDATED)'!$A$2:$P$19,16,FALSE)</f>
        <v>1</v>
      </c>
      <c r="AK152" s="13">
        <f>VLOOKUP(Table24[[#This Row],[3_Elephant_ID]],'[1]Attributes(OUTDATED)'!$A$2:$S$19,17,FALSE)</f>
        <v>0</v>
      </c>
      <c r="AL152" s="13">
        <f>VLOOKUP(Table24[[#This Row],[3_Elephant_ID]],'[1]Attributes(OUTDATED)'!$A$2:$S$19,18,FALSE)</f>
        <v>12</v>
      </c>
    </row>
    <row r="153" spans="1:38" ht="28" x14ac:dyDescent="0.15">
      <c r="A153" s="3">
        <v>123</v>
      </c>
      <c r="B153" s="6" t="s">
        <v>50</v>
      </c>
      <c r="C153" s="7">
        <v>4</v>
      </c>
      <c r="D153" s="7">
        <v>7</v>
      </c>
      <c r="E153" s="7">
        <v>2023</v>
      </c>
      <c r="F153" s="5">
        <v>45111</v>
      </c>
      <c r="G153" s="6" t="s">
        <v>16</v>
      </c>
      <c r="H153" s="17">
        <v>0.46538011695906434</v>
      </c>
      <c r="I153" s="3" t="str">
        <f>VLOOKUP(G153,'[1]Attributes(OUTDATED)'!$A$2:$C$19,2,FALSE)</f>
        <v>F</v>
      </c>
      <c r="J153" s="3" t="str">
        <f>VLOOKUP(G153,'[1]Attributes(OUTDATED)'!$A$2:$C$19,3,FALSE)</f>
        <v>A</v>
      </c>
      <c r="K153" s="3">
        <f>VLOOKUP(G153,'[1]Attributes(OUTDATED)'!$A$2:$H$19,8,FALSE)</f>
        <v>1346</v>
      </c>
      <c r="L153" s="3" t="str">
        <f>J153&amp;I153</f>
        <v>AF</v>
      </c>
      <c r="M153" s="11">
        <v>45109</v>
      </c>
      <c r="N153" s="13">
        <v>21.3</v>
      </c>
      <c r="O153" s="13">
        <v>11.1</v>
      </c>
      <c r="P153" s="13">
        <v>3.6</v>
      </c>
      <c r="Q153" s="13">
        <f>Table24[[#This Row],[2_Temp_H]]-Table24[[#This Row],[2_Temp_L]]</f>
        <v>17.7</v>
      </c>
      <c r="R153" s="13">
        <v>35.9</v>
      </c>
      <c r="S153" s="13">
        <v>6.6</v>
      </c>
      <c r="T153" s="13">
        <v>1019.98</v>
      </c>
      <c r="U153" s="13">
        <v>1017.95</v>
      </c>
      <c r="V153" s="13">
        <v>0</v>
      </c>
      <c r="W153" s="13" t="s">
        <v>147</v>
      </c>
      <c r="X153" s="13" t="s">
        <v>141</v>
      </c>
      <c r="Y153" s="13" t="s">
        <v>26</v>
      </c>
      <c r="Z153" s="13" t="s">
        <v>144</v>
      </c>
      <c r="AA153" s="13" t="s">
        <v>146</v>
      </c>
      <c r="AB153" s="13" t="s">
        <v>137</v>
      </c>
      <c r="AC153" s="13">
        <f>VLOOKUP(Table24[[#This Row],[3_Elephant_ID]],'[1]Attributes(OUTDATED)'!$A$2:$N$19,12,FALSE)</f>
        <v>474</v>
      </c>
      <c r="AD153" s="13">
        <f>VLOOKUP(Table24[[#This Row],[3_Elephant_ID]],'[1]Attributes(OUTDATED)'!$A$2:$N$19,13,FALSE)</f>
        <v>0.121</v>
      </c>
      <c r="AE153" s="13">
        <f>VLOOKUP(Table24[[#This Row],[3_Elephant_ID]],'[1]Attributes(OUTDATED)'!$A$2:$N$19,14,FALSE)</f>
        <v>0.1206993463154281</v>
      </c>
      <c r="AF153" s="13">
        <v>0</v>
      </c>
      <c r="AG153" s="13">
        <v>0</v>
      </c>
      <c r="AH153" s="13">
        <v>0</v>
      </c>
      <c r="AI153" s="13">
        <v>0</v>
      </c>
      <c r="AJ153" s="13">
        <f>VLOOKUP(Table24[[#This Row],[3_Elephant_ID]],'[1]Attributes(OUTDATED)'!$A$2:$P$19,16,FALSE)</f>
        <v>1</v>
      </c>
      <c r="AK153" s="13">
        <f>VLOOKUP(Table24[[#This Row],[3_Elephant_ID]],'[1]Attributes(OUTDATED)'!$A$2:$S$19,17,FALSE)</f>
        <v>16</v>
      </c>
      <c r="AL153" s="13">
        <f>VLOOKUP(Table24[[#This Row],[3_Elephant_ID]],'[1]Attributes(OUTDATED)'!$A$2:$S$19,18,FALSE)</f>
        <v>1</v>
      </c>
    </row>
    <row r="154" spans="1:38" ht="28" x14ac:dyDescent="0.15">
      <c r="A154" s="3">
        <v>119</v>
      </c>
      <c r="B154" s="6" t="s">
        <v>46</v>
      </c>
      <c r="C154" s="7">
        <v>5</v>
      </c>
      <c r="D154" s="7">
        <v>7</v>
      </c>
      <c r="E154" s="7">
        <v>2023</v>
      </c>
      <c r="F154" s="5">
        <v>45112</v>
      </c>
      <c r="G154" s="6" t="s">
        <v>4</v>
      </c>
      <c r="H154" s="17">
        <v>0.12793950850661623</v>
      </c>
      <c r="I154" s="3" t="str">
        <f>VLOOKUP(G154,'[1]Attributes(OUTDATED)'!$A$2:$C$19,2,FALSE)</f>
        <v>M</v>
      </c>
      <c r="J154" s="3" t="str">
        <f>VLOOKUP(G154,'[1]Attributes(OUTDATED)'!$A$2:$C$19,3,FALSE)</f>
        <v>J</v>
      </c>
      <c r="K154" s="3">
        <f>VLOOKUP(G154,'[1]Attributes(OUTDATED)'!$A$2:$H$19,8,FALSE)</f>
        <v>1055</v>
      </c>
      <c r="L154" s="3" t="str">
        <f>J154&amp;I154</f>
        <v>JM</v>
      </c>
      <c r="M154" s="11">
        <v>45110</v>
      </c>
      <c r="N154" s="13">
        <v>22.9</v>
      </c>
      <c r="O154" s="13">
        <v>13.6</v>
      </c>
      <c r="P154" s="13">
        <v>3.1</v>
      </c>
      <c r="Q154" s="13">
        <f>Table24[[#This Row],[2_Temp_H]]-Table24[[#This Row],[2_Temp_L]]</f>
        <v>19.799999999999997</v>
      </c>
      <c r="R154" s="13">
        <v>44.6</v>
      </c>
      <c r="S154" s="13">
        <v>8</v>
      </c>
      <c r="T154" s="13">
        <v>1019.98</v>
      </c>
      <c r="U154" s="13">
        <v>1016.93</v>
      </c>
      <c r="V154" s="13">
        <v>0</v>
      </c>
      <c r="W154" s="13" t="s">
        <v>147</v>
      </c>
      <c r="X154" s="13" t="s">
        <v>141</v>
      </c>
      <c r="Y154" s="13" t="s">
        <v>26</v>
      </c>
      <c r="Z154" s="13" t="s">
        <v>144</v>
      </c>
      <c r="AA154" s="13" t="s">
        <v>146</v>
      </c>
      <c r="AB154" s="13" t="s">
        <v>137</v>
      </c>
      <c r="AC154" s="13">
        <f>VLOOKUP(Table24[[#This Row],[3_Elephant_ID]],'[1]Attributes(OUTDATED)'!$A$2:$N$19,12,FALSE)</f>
        <v>181</v>
      </c>
      <c r="AD154" s="13">
        <f>VLOOKUP(Table24[[#This Row],[3_Elephant_ID]],'[1]Attributes(OUTDATED)'!$A$2:$N$19,13,FALSE)</f>
        <v>7.3999999999999996E-2</v>
      </c>
      <c r="AE154" s="13">
        <f>VLOOKUP(Table24[[#This Row],[3_Elephant_ID]],'[1]Attributes(OUTDATED)'!$A$2:$N$19,14,FALSE)</f>
        <v>7.3914663535330896E-2</v>
      </c>
      <c r="AF154" s="13">
        <v>5</v>
      </c>
      <c r="AG154" s="13">
        <v>0</v>
      </c>
      <c r="AH154" s="13">
        <v>0</v>
      </c>
      <c r="AI154" s="13">
        <v>0</v>
      </c>
      <c r="AJ154" s="13">
        <f>VLOOKUP(Table24[[#This Row],[3_Elephant_ID]],'[1]Attributes(OUTDATED)'!$A$2:$P$19,16,FALSE)</f>
        <v>1</v>
      </c>
      <c r="AK154" s="13">
        <f>VLOOKUP(Table24[[#This Row],[3_Elephant_ID]],'[1]Attributes(OUTDATED)'!$A$2:$S$19,17,FALSE)</f>
        <v>7</v>
      </c>
      <c r="AL154" s="13">
        <f>VLOOKUP(Table24[[#This Row],[3_Elephant_ID]],'[1]Attributes(OUTDATED)'!$A$2:$S$19,18,FALSE)</f>
        <v>9</v>
      </c>
    </row>
    <row r="155" spans="1:38" ht="28" x14ac:dyDescent="0.15">
      <c r="A155" s="3">
        <v>120</v>
      </c>
      <c r="B155" s="6" t="s">
        <v>47</v>
      </c>
      <c r="C155" s="7">
        <v>5</v>
      </c>
      <c r="D155" s="7">
        <v>7</v>
      </c>
      <c r="E155" s="7">
        <v>2023</v>
      </c>
      <c r="F155" s="5">
        <v>45112</v>
      </c>
      <c r="G155" s="6" t="s">
        <v>12</v>
      </c>
      <c r="H155" s="17">
        <v>0.2856088560885609</v>
      </c>
      <c r="I155" s="3" t="str">
        <f>VLOOKUP(G155,'[1]Attributes(OUTDATED)'!$A$2:$C$19,2,FALSE)</f>
        <v>M</v>
      </c>
      <c r="J155" s="3" t="str">
        <f>VLOOKUP(G155,'[1]Attributes(OUTDATED)'!$A$2:$C$19,3,FALSE)</f>
        <v>A</v>
      </c>
      <c r="K155" s="3">
        <f>VLOOKUP(G155,'[1]Attributes(OUTDATED)'!$A$2:$H$19,8,FALSE)</f>
        <v>1509</v>
      </c>
      <c r="L155" s="3" t="str">
        <f>J155&amp;I155</f>
        <v>AM</v>
      </c>
      <c r="M155" s="11">
        <v>45110</v>
      </c>
      <c r="N155" s="13">
        <v>22.9</v>
      </c>
      <c r="O155" s="13">
        <v>13.6</v>
      </c>
      <c r="P155" s="13">
        <v>3.1</v>
      </c>
      <c r="Q155" s="13">
        <f>Table24[[#This Row],[2_Temp_H]]-Table24[[#This Row],[2_Temp_L]]</f>
        <v>19.799999999999997</v>
      </c>
      <c r="R155" s="13">
        <v>44.6</v>
      </c>
      <c r="S155" s="13">
        <v>8</v>
      </c>
      <c r="T155" s="13">
        <v>1019.98</v>
      </c>
      <c r="U155" s="13">
        <v>1016.93</v>
      </c>
      <c r="V155" s="13">
        <v>0</v>
      </c>
      <c r="W155" s="13" t="s">
        <v>147</v>
      </c>
      <c r="X155" s="13" t="s">
        <v>141</v>
      </c>
      <c r="Y155" s="13" t="s">
        <v>26</v>
      </c>
      <c r="Z155" s="13" t="s">
        <v>144</v>
      </c>
      <c r="AA155" s="13" t="s">
        <v>146</v>
      </c>
      <c r="AB155" s="13" t="s">
        <v>137</v>
      </c>
      <c r="AC155" s="13">
        <f>VLOOKUP(Table24[[#This Row],[3_Elephant_ID]],'[1]Attributes(OUTDATED)'!$A$2:$N$19,12,FALSE)</f>
        <v>450</v>
      </c>
      <c r="AD155" s="13">
        <f>VLOOKUP(Table24[[#This Row],[3_Elephant_ID]],'[1]Attributes(OUTDATED)'!$A$2:$N$19,13,FALSE)</f>
        <v>0.375</v>
      </c>
      <c r="AE155" s="13">
        <f>VLOOKUP(Table24[[#This Row],[3_Elephant_ID]],'[1]Attributes(OUTDATED)'!$A$2:$N$19,14,FALSE)</f>
        <v>0.37414375430996583</v>
      </c>
      <c r="AF155" s="13">
        <v>5</v>
      </c>
      <c r="AG155" s="13">
        <v>2</v>
      </c>
      <c r="AH155" s="13">
        <v>0</v>
      </c>
      <c r="AI155" s="13">
        <v>2</v>
      </c>
      <c r="AJ155" s="13">
        <f>VLOOKUP(Table24[[#This Row],[3_Elephant_ID]],'[1]Attributes(OUTDATED)'!$A$2:$P$19,16,FALSE)</f>
        <v>1</v>
      </c>
      <c r="AK155" s="13">
        <f>VLOOKUP(Table24[[#This Row],[3_Elephant_ID]],'[1]Attributes(OUTDATED)'!$A$2:$S$19,17,FALSE)</f>
        <v>48</v>
      </c>
      <c r="AL155" s="13">
        <f>VLOOKUP(Table24[[#This Row],[3_Elephant_ID]],'[1]Attributes(OUTDATED)'!$A$2:$S$19,18,FALSE)</f>
        <v>3</v>
      </c>
    </row>
    <row r="156" spans="1:38" ht="28" x14ac:dyDescent="0.15">
      <c r="A156" s="3">
        <v>118</v>
      </c>
      <c r="B156" s="6" t="s">
        <v>45</v>
      </c>
      <c r="C156" s="7">
        <v>5</v>
      </c>
      <c r="D156" s="7">
        <v>7</v>
      </c>
      <c r="E156" s="7">
        <v>2023</v>
      </c>
      <c r="F156" s="5">
        <v>45112</v>
      </c>
      <c r="G156" s="6" t="s">
        <v>2</v>
      </c>
      <c r="H156" s="17">
        <v>0.36079395085066157</v>
      </c>
      <c r="I156" s="3" t="str">
        <f>VLOOKUP(G156,'[1]Attributes(OUTDATED)'!$A$2:$C$19,2,FALSE)</f>
        <v>F</v>
      </c>
      <c r="J156" s="3" t="str">
        <f>VLOOKUP(G156,'[1]Attributes(OUTDATED)'!$A$2:$C$19,3,FALSE)</f>
        <v>A</v>
      </c>
      <c r="K156" s="3">
        <f>VLOOKUP(G156,'[1]Attributes(OUTDATED)'!$A$2:$H$19,8,FALSE)</f>
        <v>892</v>
      </c>
      <c r="L156" s="3" t="str">
        <f>J156&amp;I156</f>
        <v>AF</v>
      </c>
      <c r="M156" s="11">
        <v>45110</v>
      </c>
      <c r="N156" s="13">
        <v>22.9</v>
      </c>
      <c r="O156" s="13">
        <v>13.6</v>
      </c>
      <c r="P156" s="13">
        <v>3.1</v>
      </c>
      <c r="Q156" s="13">
        <f>Table24[[#This Row],[2_Temp_H]]-Table24[[#This Row],[2_Temp_L]]</f>
        <v>19.799999999999997</v>
      </c>
      <c r="R156" s="13">
        <v>44.6</v>
      </c>
      <c r="S156" s="13">
        <v>8</v>
      </c>
      <c r="T156" s="13">
        <v>1019.98</v>
      </c>
      <c r="U156" s="13">
        <v>1016.93</v>
      </c>
      <c r="V156" s="13">
        <v>0</v>
      </c>
      <c r="W156" s="13" t="s">
        <v>147</v>
      </c>
      <c r="X156" s="13" t="s">
        <v>141</v>
      </c>
      <c r="Y156" s="13" t="s">
        <v>26</v>
      </c>
      <c r="Z156" s="13" t="s">
        <v>144</v>
      </c>
      <c r="AA156" s="13" t="s">
        <v>146</v>
      </c>
      <c r="AB156" s="13" t="s">
        <v>137</v>
      </c>
      <c r="AC156" s="13">
        <f>VLOOKUP(Table24[[#This Row],[3_Elephant_ID]],'[1]Attributes(OUTDATED)'!$A$2:$N$19,12,FALSE)</f>
        <v>378</v>
      </c>
      <c r="AD156" s="13">
        <f>VLOOKUP(Table24[[#This Row],[3_Elephant_ID]],'[1]Attributes(OUTDATED)'!$A$2:$N$19,13,FALSE)</f>
        <v>8.6999999999999994E-2</v>
      </c>
      <c r="AE156" s="13">
        <f>VLOOKUP(Table24[[#This Row],[3_Elephant_ID]],'[1]Attributes(OUTDATED)'!$A$2:$N$19,14,FALSE)</f>
        <v>8.6599138783086713E-2</v>
      </c>
      <c r="AF156" s="13">
        <v>5</v>
      </c>
      <c r="AG156" s="13">
        <v>0</v>
      </c>
      <c r="AH156" s="13">
        <v>0</v>
      </c>
      <c r="AI156" s="13">
        <v>0</v>
      </c>
      <c r="AJ156" s="13">
        <f>VLOOKUP(Table24[[#This Row],[3_Elephant_ID]],'[1]Attributes(OUTDATED)'!$A$2:$P$19,16,FALSE)</f>
        <v>1</v>
      </c>
      <c r="AK156" s="13">
        <f>VLOOKUP(Table24[[#This Row],[3_Elephant_ID]],'[1]Attributes(OUTDATED)'!$A$2:$S$19,17,FALSE)</f>
        <v>4</v>
      </c>
      <c r="AL156" s="13">
        <f>VLOOKUP(Table24[[#This Row],[3_Elephant_ID]],'[1]Attributes(OUTDATED)'!$A$2:$S$19,18,FALSE)</f>
        <v>20</v>
      </c>
    </row>
    <row r="157" spans="1:38" ht="28" x14ac:dyDescent="0.15">
      <c r="A157" s="3">
        <v>114</v>
      </c>
      <c r="B157" s="6" t="s">
        <v>41</v>
      </c>
      <c r="C157" s="7">
        <v>6</v>
      </c>
      <c r="D157" s="7">
        <v>7</v>
      </c>
      <c r="E157" s="7">
        <v>2023</v>
      </c>
      <c r="F157" s="5">
        <v>45113</v>
      </c>
      <c r="G157" s="6" t="s">
        <v>12</v>
      </c>
      <c r="H157" s="17">
        <v>0.26126865671641791</v>
      </c>
      <c r="I157" s="3" t="str">
        <f>VLOOKUP(G157,'[1]Attributes(OUTDATED)'!$A$2:$C$19,2,FALSE)</f>
        <v>M</v>
      </c>
      <c r="J157" s="3" t="str">
        <f>VLOOKUP(G157,'[1]Attributes(OUTDATED)'!$A$2:$C$19,3,FALSE)</f>
        <v>A</v>
      </c>
      <c r="K157" s="3">
        <f>VLOOKUP(G157,'[1]Attributes(OUTDATED)'!$A$2:$H$19,8,FALSE)</f>
        <v>1509</v>
      </c>
      <c r="L157" s="3" t="str">
        <f>J157&amp;I157</f>
        <v>AM</v>
      </c>
      <c r="M157" s="11">
        <v>45111</v>
      </c>
      <c r="N157" s="13">
        <v>19.5</v>
      </c>
      <c r="O157" s="13">
        <v>10.3</v>
      </c>
      <c r="P157" s="13">
        <v>3.3</v>
      </c>
      <c r="Q157" s="13">
        <f>Table24[[#This Row],[2_Temp_H]]-Table24[[#This Row],[2_Temp_L]]</f>
        <v>16.2</v>
      </c>
      <c r="R157" s="13">
        <v>26.2</v>
      </c>
      <c r="S157" s="13">
        <v>6.5</v>
      </c>
      <c r="T157" s="13">
        <v>1019.98</v>
      </c>
      <c r="U157" s="13">
        <v>1016.93</v>
      </c>
      <c r="V157" s="13">
        <v>0</v>
      </c>
      <c r="W157" s="13" t="s">
        <v>147</v>
      </c>
      <c r="X157" s="13" t="s">
        <v>141</v>
      </c>
      <c r="Y157" s="13" t="s">
        <v>26</v>
      </c>
      <c r="Z157" s="13" t="s">
        <v>144</v>
      </c>
      <c r="AA157" s="13" t="s">
        <v>146</v>
      </c>
      <c r="AB157" s="13" t="s">
        <v>137</v>
      </c>
      <c r="AC157" s="13">
        <f>VLOOKUP(Table24[[#This Row],[3_Elephant_ID]],'[1]Attributes(OUTDATED)'!$A$2:$N$19,12,FALSE)</f>
        <v>450</v>
      </c>
      <c r="AD157" s="13">
        <f>VLOOKUP(Table24[[#This Row],[3_Elephant_ID]],'[1]Attributes(OUTDATED)'!$A$2:$N$19,13,FALSE)</f>
        <v>0.375</v>
      </c>
      <c r="AE157" s="13">
        <f>VLOOKUP(Table24[[#This Row],[3_Elephant_ID]],'[1]Attributes(OUTDATED)'!$A$2:$N$19,14,FALSE)</f>
        <v>0.37414375430996583</v>
      </c>
      <c r="AF157" s="13">
        <v>0</v>
      </c>
      <c r="AG157" s="13">
        <v>0</v>
      </c>
      <c r="AH157" s="13">
        <v>0</v>
      </c>
      <c r="AI157" s="13">
        <v>0</v>
      </c>
      <c r="AJ157" s="13">
        <f>VLOOKUP(Table24[[#This Row],[3_Elephant_ID]],'[1]Attributes(OUTDATED)'!$A$2:$P$19,16,FALSE)</f>
        <v>1</v>
      </c>
      <c r="AK157" s="13">
        <f>VLOOKUP(Table24[[#This Row],[3_Elephant_ID]],'[1]Attributes(OUTDATED)'!$A$2:$S$19,17,FALSE)</f>
        <v>48</v>
      </c>
      <c r="AL157" s="13">
        <f>VLOOKUP(Table24[[#This Row],[3_Elephant_ID]],'[1]Attributes(OUTDATED)'!$A$2:$S$19,18,FALSE)</f>
        <v>3</v>
      </c>
    </row>
    <row r="158" spans="1:38" ht="28" x14ac:dyDescent="0.15">
      <c r="A158" s="3">
        <v>116</v>
      </c>
      <c r="B158" s="6" t="s">
        <v>43</v>
      </c>
      <c r="C158" s="7">
        <v>6</v>
      </c>
      <c r="D158" s="7">
        <v>7</v>
      </c>
      <c r="E158" s="7">
        <v>2023</v>
      </c>
      <c r="F158" s="5">
        <v>45113</v>
      </c>
      <c r="G158" s="6" t="s">
        <v>6</v>
      </c>
      <c r="H158" s="17">
        <v>0.35903591682419655</v>
      </c>
      <c r="I158" s="3" t="str">
        <f>VLOOKUP(G158,'[1]Attributes(OUTDATED)'!$A$2:$C$19,2,FALSE)</f>
        <v>F</v>
      </c>
      <c r="J158" s="3" t="str">
        <f>VLOOKUP(G158,'[1]Attributes(OUTDATED)'!$A$2:$C$19,3,FALSE)</f>
        <v>A</v>
      </c>
      <c r="K158" s="3">
        <f>VLOOKUP(G158,'[1]Attributes(OUTDATED)'!$A$2:$H$19,8,FALSE)</f>
        <v>1168</v>
      </c>
      <c r="L158" s="3" t="str">
        <f>J158&amp;I158</f>
        <v>AF</v>
      </c>
      <c r="M158" s="11">
        <v>45111</v>
      </c>
      <c r="N158" s="13">
        <v>19.5</v>
      </c>
      <c r="O158" s="13">
        <v>10.3</v>
      </c>
      <c r="P158" s="13">
        <v>3.3</v>
      </c>
      <c r="Q158" s="13">
        <f>Table24[[#This Row],[2_Temp_H]]-Table24[[#This Row],[2_Temp_L]]</f>
        <v>16.2</v>
      </c>
      <c r="R158" s="13">
        <v>26.2</v>
      </c>
      <c r="S158" s="13">
        <v>6.5</v>
      </c>
      <c r="T158" s="13">
        <v>1019.98</v>
      </c>
      <c r="U158" s="13">
        <v>1016.93</v>
      </c>
      <c r="V158" s="13">
        <v>0</v>
      </c>
      <c r="W158" s="13" t="s">
        <v>147</v>
      </c>
      <c r="X158" s="13" t="s">
        <v>141</v>
      </c>
      <c r="Y158" s="13" t="s">
        <v>26</v>
      </c>
      <c r="Z158" s="13" t="s">
        <v>144</v>
      </c>
      <c r="AA158" s="13" t="s">
        <v>146</v>
      </c>
      <c r="AB158" s="13" t="s">
        <v>137</v>
      </c>
      <c r="AC158" s="13">
        <f>VLOOKUP(Table24[[#This Row],[3_Elephant_ID]],'[1]Attributes(OUTDATED)'!$A$2:$N$19,12,FALSE)</f>
        <v>286</v>
      </c>
      <c r="AD158" s="13">
        <f>VLOOKUP(Table24[[#This Row],[3_Elephant_ID]],'[1]Attributes(OUTDATED)'!$A$2:$N$19,13,FALSE)</f>
        <v>0.26800000000000002</v>
      </c>
      <c r="AE158" s="13">
        <f>VLOOKUP(Table24[[#This Row],[3_Elephant_ID]],'[1]Attributes(OUTDATED)'!$A$2:$N$19,14,FALSE)</f>
        <v>0.26721028245328138</v>
      </c>
      <c r="AF158" s="13">
        <v>0</v>
      </c>
      <c r="AG158" s="13">
        <v>0</v>
      </c>
      <c r="AH158" s="13">
        <v>0</v>
      </c>
      <c r="AI158" s="13">
        <v>0</v>
      </c>
      <c r="AJ158" s="13">
        <f>VLOOKUP(Table24[[#This Row],[3_Elephant_ID]],'[1]Attributes(OUTDATED)'!$A$2:$P$19,16,FALSE)</f>
        <v>2</v>
      </c>
      <c r="AK158" s="13">
        <f>VLOOKUP(Table24[[#This Row],[3_Elephant_ID]],'[1]Attributes(OUTDATED)'!$A$2:$S$19,17,FALSE)</f>
        <v>12</v>
      </c>
      <c r="AL158" s="13">
        <f>VLOOKUP(Table24[[#This Row],[3_Elephant_ID]],'[1]Attributes(OUTDATED)'!$A$2:$S$19,18,FALSE)</f>
        <v>5</v>
      </c>
    </row>
    <row r="159" spans="1:38" ht="28" x14ac:dyDescent="0.15">
      <c r="A159" s="3">
        <v>115</v>
      </c>
      <c r="B159" s="6" t="s">
        <v>42</v>
      </c>
      <c r="C159" s="7">
        <v>6</v>
      </c>
      <c r="D159" s="7">
        <v>7</v>
      </c>
      <c r="E159" s="7">
        <v>2023</v>
      </c>
      <c r="F159" s="5">
        <v>45113</v>
      </c>
      <c r="G159" s="6" t="s">
        <v>13</v>
      </c>
      <c r="H159" s="17">
        <v>0.23667896678966793</v>
      </c>
      <c r="I159" s="3" t="str">
        <f>VLOOKUP(G159,'[1]Attributes(OUTDATED)'!$A$2:$C$19,2,FALSE)</f>
        <v>F</v>
      </c>
      <c r="J159" s="3" t="str">
        <f>VLOOKUP(G159,'[1]Attributes(OUTDATED)'!$A$2:$C$19,3,FALSE)</f>
        <v>A</v>
      </c>
      <c r="K159" s="3">
        <f>VLOOKUP(G159,'[1]Attributes(OUTDATED)'!$A$2:$H$19,8,FALSE)</f>
        <v>963</v>
      </c>
      <c r="L159" s="3" t="str">
        <f>J159&amp;I159</f>
        <v>AF</v>
      </c>
      <c r="M159" s="11">
        <v>45111</v>
      </c>
      <c r="N159" s="13">
        <v>19.5</v>
      </c>
      <c r="O159" s="13">
        <v>10.3</v>
      </c>
      <c r="P159" s="13">
        <v>3.3</v>
      </c>
      <c r="Q159" s="13">
        <f>Table24[[#This Row],[2_Temp_H]]-Table24[[#This Row],[2_Temp_L]]</f>
        <v>16.2</v>
      </c>
      <c r="R159" s="13">
        <v>26.2</v>
      </c>
      <c r="S159" s="13">
        <v>6.5</v>
      </c>
      <c r="T159" s="13">
        <v>1019.98</v>
      </c>
      <c r="U159" s="13">
        <v>1016.93</v>
      </c>
      <c r="V159" s="13">
        <v>0</v>
      </c>
      <c r="W159" s="13" t="s">
        <v>147</v>
      </c>
      <c r="X159" s="13" t="s">
        <v>141</v>
      </c>
      <c r="Y159" s="13" t="s">
        <v>26</v>
      </c>
      <c r="Z159" s="13" t="s">
        <v>144</v>
      </c>
      <c r="AA159" s="13" t="s">
        <v>146</v>
      </c>
      <c r="AB159" s="13" t="s">
        <v>137</v>
      </c>
      <c r="AC159" s="13">
        <f>VLOOKUP(Table24[[#This Row],[3_Elephant_ID]],'[1]Attributes(OUTDATED)'!$A$2:$N$19,12,FALSE)</f>
        <v>289</v>
      </c>
      <c r="AD159" s="13">
        <f>VLOOKUP(Table24[[#This Row],[3_Elephant_ID]],'[1]Attributes(OUTDATED)'!$A$2:$N$19,13,FALSE)</f>
        <v>0.32400000000000001</v>
      </c>
      <c r="AE159" s="13">
        <f>VLOOKUP(Table24[[#This Row],[3_Elephant_ID]],'[1]Attributes(OUTDATED)'!$A$2:$N$19,14,FALSE)</f>
        <v>0.32380809109629533</v>
      </c>
      <c r="AF159" s="13">
        <v>0</v>
      </c>
      <c r="AG159" s="13">
        <v>0</v>
      </c>
      <c r="AH159" s="13">
        <v>0</v>
      </c>
      <c r="AI159" s="13">
        <v>0</v>
      </c>
      <c r="AJ159" s="13">
        <f>VLOOKUP(Table24[[#This Row],[3_Elephant_ID]],'[1]Attributes(OUTDATED)'!$A$2:$P$19,16,FALSE)</f>
        <v>2</v>
      </c>
      <c r="AK159" s="13">
        <f>VLOOKUP(Table24[[#This Row],[3_Elephant_ID]],'[1]Attributes(OUTDATED)'!$A$2:$S$19,17,FALSE)</f>
        <v>9</v>
      </c>
      <c r="AL159" s="13">
        <f>VLOOKUP(Table24[[#This Row],[3_Elephant_ID]],'[1]Attributes(OUTDATED)'!$A$2:$S$19,18,FALSE)</f>
        <v>9</v>
      </c>
    </row>
    <row r="160" spans="1:38" ht="28" x14ac:dyDescent="0.15">
      <c r="A160" s="3">
        <v>117</v>
      </c>
      <c r="B160" s="6" t="s">
        <v>44</v>
      </c>
      <c r="C160" s="7">
        <v>6</v>
      </c>
      <c r="D160" s="7">
        <v>7</v>
      </c>
      <c r="E160" s="7">
        <v>2023</v>
      </c>
      <c r="F160" s="5">
        <v>45113</v>
      </c>
      <c r="G160" s="6" t="s">
        <v>16</v>
      </c>
      <c r="H160" s="17">
        <v>0.40194392523364492</v>
      </c>
      <c r="I160" s="3" t="str">
        <f>VLOOKUP(G160,'[1]Attributes(OUTDATED)'!$A$2:$C$19,2,FALSE)</f>
        <v>F</v>
      </c>
      <c r="J160" s="3" t="str">
        <f>VLOOKUP(G160,'[1]Attributes(OUTDATED)'!$A$2:$C$19,3,FALSE)</f>
        <v>A</v>
      </c>
      <c r="K160" s="3">
        <f>VLOOKUP(G160,'[1]Attributes(OUTDATED)'!$A$2:$H$19,8,FALSE)</f>
        <v>1346</v>
      </c>
      <c r="L160" s="3" t="str">
        <f>J160&amp;I160</f>
        <v>AF</v>
      </c>
      <c r="M160" s="11">
        <v>45111</v>
      </c>
      <c r="N160" s="13">
        <v>19.5</v>
      </c>
      <c r="O160" s="13">
        <v>10.3</v>
      </c>
      <c r="P160" s="13">
        <v>3.3</v>
      </c>
      <c r="Q160" s="13">
        <f>Table24[[#This Row],[2_Temp_H]]-Table24[[#This Row],[2_Temp_L]]</f>
        <v>16.2</v>
      </c>
      <c r="R160" s="13">
        <v>26.2</v>
      </c>
      <c r="S160" s="13">
        <v>6.5</v>
      </c>
      <c r="T160" s="13">
        <v>1019.98</v>
      </c>
      <c r="U160" s="13">
        <v>1016.93</v>
      </c>
      <c r="V160" s="13">
        <v>0</v>
      </c>
      <c r="W160" s="13" t="s">
        <v>147</v>
      </c>
      <c r="X160" s="13" t="s">
        <v>141</v>
      </c>
      <c r="Y160" s="13" t="s">
        <v>26</v>
      </c>
      <c r="Z160" s="13" t="s">
        <v>144</v>
      </c>
      <c r="AA160" s="13" t="s">
        <v>146</v>
      </c>
      <c r="AB160" s="13" t="s">
        <v>137</v>
      </c>
      <c r="AC160" s="13">
        <f>VLOOKUP(Table24[[#This Row],[3_Elephant_ID]],'[1]Attributes(OUTDATED)'!$A$2:$N$19,12,FALSE)</f>
        <v>474</v>
      </c>
      <c r="AD160" s="13">
        <f>VLOOKUP(Table24[[#This Row],[3_Elephant_ID]],'[1]Attributes(OUTDATED)'!$A$2:$N$19,13,FALSE)</f>
        <v>0.121</v>
      </c>
      <c r="AE160" s="13">
        <f>VLOOKUP(Table24[[#This Row],[3_Elephant_ID]],'[1]Attributes(OUTDATED)'!$A$2:$N$19,14,FALSE)</f>
        <v>0.1206993463154281</v>
      </c>
      <c r="AF160" s="13">
        <v>0</v>
      </c>
      <c r="AG160" s="13">
        <v>0</v>
      </c>
      <c r="AH160" s="13">
        <v>0</v>
      </c>
      <c r="AI160" s="13">
        <v>0</v>
      </c>
      <c r="AJ160" s="13">
        <f>VLOOKUP(Table24[[#This Row],[3_Elephant_ID]],'[1]Attributes(OUTDATED)'!$A$2:$P$19,16,FALSE)</f>
        <v>1</v>
      </c>
      <c r="AK160" s="13">
        <f>VLOOKUP(Table24[[#This Row],[3_Elephant_ID]],'[1]Attributes(OUTDATED)'!$A$2:$S$19,17,FALSE)</f>
        <v>16</v>
      </c>
      <c r="AL160" s="13">
        <f>VLOOKUP(Table24[[#This Row],[3_Elephant_ID]],'[1]Attributes(OUTDATED)'!$A$2:$S$19,18,FALSE)</f>
        <v>1</v>
      </c>
    </row>
    <row r="161" spans="1:38" ht="28" x14ac:dyDescent="0.15">
      <c r="A161" s="3">
        <v>107</v>
      </c>
      <c r="B161" s="6" t="s">
        <v>34</v>
      </c>
      <c r="C161" s="7">
        <v>7</v>
      </c>
      <c r="D161" s="7">
        <v>7</v>
      </c>
      <c r="E161" s="7">
        <v>2023</v>
      </c>
      <c r="F161" s="5">
        <v>45114</v>
      </c>
      <c r="G161" s="6" t="s">
        <v>3</v>
      </c>
      <c r="H161" s="17">
        <v>0.20862132352941176</v>
      </c>
      <c r="I161" s="3" t="str">
        <f>VLOOKUP(G161,'[1]Attributes(OUTDATED)'!$A$2:$C$19,2,FALSE)</f>
        <v>M</v>
      </c>
      <c r="J161" s="3" t="str">
        <f>VLOOKUP(G161,'[1]Attributes(OUTDATED)'!$A$2:$C$19,3,FALSE)</f>
        <v>J</v>
      </c>
      <c r="K161" s="3">
        <f>VLOOKUP(G161,'[1]Attributes(OUTDATED)'!$A$2:$H$19,8,FALSE)</f>
        <v>1031</v>
      </c>
      <c r="L161" s="3" t="str">
        <f>J161&amp;I161</f>
        <v>JM</v>
      </c>
      <c r="M161" s="11">
        <v>45112</v>
      </c>
      <c r="N161" s="13">
        <v>12</v>
      </c>
      <c r="O161" s="13">
        <v>6.9</v>
      </c>
      <c r="P161" s="13">
        <v>1</v>
      </c>
      <c r="Q161" s="13">
        <f>Table24[[#This Row],[2_Temp_H]]-Table24[[#This Row],[2_Temp_L]]</f>
        <v>11</v>
      </c>
      <c r="R161" s="13">
        <v>17.899999999999999</v>
      </c>
      <c r="S161" s="13">
        <v>3.5</v>
      </c>
      <c r="T161" s="13">
        <v>1021</v>
      </c>
      <c r="U161" s="13">
        <v>1018.96</v>
      </c>
      <c r="V161" s="13">
        <v>0</v>
      </c>
      <c r="W161" s="13" t="s">
        <v>147</v>
      </c>
      <c r="X161" s="13" t="s">
        <v>141</v>
      </c>
      <c r="Y161" s="13" t="s">
        <v>26</v>
      </c>
      <c r="Z161" s="13" t="s">
        <v>144</v>
      </c>
      <c r="AA161" s="13" t="s">
        <v>146</v>
      </c>
      <c r="AB161" s="13" t="s">
        <v>137</v>
      </c>
      <c r="AC161" s="13">
        <f>VLOOKUP(Table24[[#This Row],[3_Elephant_ID]],'[1]Attributes(OUTDATED)'!$A$2:$N$19,12,FALSE)</f>
        <v>234</v>
      </c>
      <c r="AD161" s="13">
        <f>VLOOKUP(Table24[[#This Row],[3_Elephant_ID]],'[1]Attributes(OUTDATED)'!$A$2:$N$19,13,FALSE)</f>
        <v>0.16500000000000001</v>
      </c>
      <c r="AE161" s="13">
        <f>VLOOKUP(Table24[[#This Row],[3_Elephant_ID]],'[1]Attributes(OUTDATED)'!$A$2:$N$19,14,FALSE)</f>
        <v>0.16420161303383449</v>
      </c>
      <c r="AF161" s="13">
        <v>2</v>
      </c>
      <c r="AG161" s="13">
        <v>0</v>
      </c>
      <c r="AH161" s="13">
        <v>0</v>
      </c>
      <c r="AI161" s="13">
        <v>0</v>
      </c>
      <c r="AJ161" s="13">
        <f>VLOOKUP(Table24[[#This Row],[3_Elephant_ID]],'[1]Attributes(OUTDATED)'!$A$2:$P$19,16,FALSE)</f>
        <v>1</v>
      </c>
      <c r="AK161" s="13">
        <f>VLOOKUP(Table24[[#This Row],[3_Elephant_ID]],'[1]Attributes(OUTDATED)'!$A$2:$S$19,17,FALSE)</f>
        <v>9</v>
      </c>
      <c r="AL161" s="13">
        <f>VLOOKUP(Table24[[#This Row],[3_Elephant_ID]],'[1]Attributes(OUTDATED)'!$A$2:$S$19,18,FALSE)</f>
        <v>9</v>
      </c>
    </row>
    <row r="162" spans="1:38" ht="28" x14ac:dyDescent="0.15">
      <c r="A162" s="3">
        <v>108</v>
      </c>
      <c r="B162" s="6" t="s">
        <v>35</v>
      </c>
      <c r="C162" s="7">
        <v>7</v>
      </c>
      <c r="D162" s="7">
        <v>7</v>
      </c>
      <c r="E162" s="7">
        <v>2023</v>
      </c>
      <c r="F162" s="5">
        <v>45114</v>
      </c>
      <c r="G162" s="6" t="s">
        <v>9</v>
      </c>
      <c r="H162" s="17">
        <v>0.42649903288201163</v>
      </c>
      <c r="I162" s="3" t="str">
        <f>VLOOKUP(G162,'[1]Attributes(OUTDATED)'!$A$2:$C$19,2,FALSE)</f>
        <v>F</v>
      </c>
      <c r="J162" s="3" t="str">
        <f>VLOOKUP(G162,'[1]Attributes(OUTDATED)'!$A$2:$C$19,3,FALSE)</f>
        <v>J</v>
      </c>
      <c r="K162" s="3">
        <f>VLOOKUP(G162,'[1]Attributes(OUTDATED)'!$A$2:$H$19,8,FALSE)</f>
        <v>820</v>
      </c>
      <c r="L162" s="3" t="str">
        <f>J162&amp;I162</f>
        <v>JF</v>
      </c>
      <c r="M162" s="11">
        <v>45112</v>
      </c>
      <c r="N162" s="13">
        <v>12</v>
      </c>
      <c r="O162" s="13">
        <v>6.9</v>
      </c>
      <c r="P162" s="13">
        <v>1</v>
      </c>
      <c r="Q162" s="13">
        <f>Table24[[#This Row],[2_Temp_H]]-Table24[[#This Row],[2_Temp_L]]</f>
        <v>11</v>
      </c>
      <c r="R162" s="13">
        <v>17.899999999999999</v>
      </c>
      <c r="S162" s="13">
        <v>3.5</v>
      </c>
      <c r="T162" s="13">
        <v>1021</v>
      </c>
      <c r="U162" s="13">
        <v>1018.96</v>
      </c>
      <c r="V162" s="13">
        <v>0</v>
      </c>
      <c r="W162" s="13" t="s">
        <v>147</v>
      </c>
      <c r="X162" s="13" t="s">
        <v>141</v>
      </c>
      <c r="Y162" s="13" t="s">
        <v>26</v>
      </c>
      <c r="Z162" s="13" t="s">
        <v>144</v>
      </c>
      <c r="AA162" s="13" t="s">
        <v>146</v>
      </c>
      <c r="AB162" s="13" t="s">
        <v>137</v>
      </c>
      <c r="AC162" s="13">
        <f>VLOOKUP(Table24[[#This Row],[3_Elephant_ID]],'[1]Attributes(OUTDATED)'!$A$2:$N$19,12,FALSE)</f>
        <v>305</v>
      </c>
      <c r="AD162" s="13">
        <f>VLOOKUP(Table24[[#This Row],[3_Elephant_ID]],'[1]Attributes(OUTDATED)'!$A$2:$N$19,13,FALSE)</f>
        <v>0.17499999999999999</v>
      </c>
      <c r="AE162" s="13">
        <f>VLOOKUP(Table24[[#This Row],[3_Elephant_ID]],'[1]Attributes(OUTDATED)'!$A$2:$N$19,14,FALSE)</f>
        <v>0.17467336145108631</v>
      </c>
      <c r="AF162" s="13">
        <v>2</v>
      </c>
      <c r="AG162" s="13">
        <v>0</v>
      </c>
      <c r="AH162" s="13">
        <v>0</v>
      </c>
      <c r="AI162" s="13">
        <v>0</v>
      </c>
      <c r="AJ162" s="13">
        <f>VLOOKUP(Table24[[#This Row],[3_Elephant_ID]],'[1]Attributes(OUTDATED)'!$A$2:$P$19,16,FALSE)</f>
        <v>2</v>
      </c>
      <c r="AK162" s="13">
        <f>VLOOKUP(Table24[[#This Row],[3_Elephant_ID]],'[1]Attributes(OUTDATED)'!$A$2:$S$19,17,FALSE)</f>
        <v>0</v>
      </c>
      <c r="AL162" s="13">
        <f>VLOOKUP(Table24[[#This Row],[3_Elephant_ID]],'[1]Attributes(OUTDATED)'!$A$2:$S$19,18,FALSE)</f>
        <v>4</v>
      </c>
    </row>
    <row r="163" spans="1:38" ht="28" x14ac:dyDescent="0.15">
      <c r="A163" s="3">
        <v>109</v>
      </c>
      <c r="B163" s="6" t="s">
        <v>36</v>
      </c>
      <c r="C163" s="7">
        <v>7</v>
      </c>
      <c r="D163" s="7">
        <v>7</v>
      </c>
      <c r="E163" s="7">
        <v>2023</v>
      </c>
      <c r="F163" s="5">
        <v>45114</v>
      </c>
      <c r="G163" s="6" t="s">
        <v>12</v>
      </c>
      <c r="H163" s="17">
        <v>0.28857988165680476</v>
      </c>
      <c r="I163" s="3" t="str">
        <f>VLOOKUP(G163,'[1]Attributes(OUTDATED)'!$A$2:$C$19,2,FALSE)</f>
        <v>M</v>
      </c>
      <c r="J163" s="3" t="str">
        <f>VLOOKUP(G163,'[1]Attributes(OUTDATED)'!$A$2:$C$19,3,FALSE)</f>
        <v>A</v>
      </c>
      <c r="K163" s="3">
        <f>VLOOKUP(G163,'[1]Attributes(OUTDATED)'!$A$2:$H$19,8,FALSE)</f>
        <v>1509</v>
      </c>
      <c r="L163" s="3" t="str">
        <f>J163&amp;I163</f>
        <v>AM</v>
      </c>
      <c r="M163" s="11">
        <v>45112</v>
      </c>
      <c r="N163" s="13">
        <v>12</v>
      </c>
      <c r="O163" s="13">
        <v>6.9</v>
      </c>
      <c r="P163" s="13">
        <v>1</v>
      </c>
      <c r="Q163" s="13">
        <f>Table24[[#This Row],[2_Temp_H]]-Table24[[#This Row],[2_Temp_L]]</f>
        <v>11</v>
      </c>
      <c r="R163" s="13">
        <v>17.899999999999999</v>
      </c>
      <c r="S163" s="13">
        <v>3.5</v>
      </c>
      <c r="T163" s="13">
        <v>1021</v>
      </c>
      <c r="U163" s="13">
        <v>1018.96</v>
      </c>
      <c r="V163" s="13">
        <v>0</v>
      </c>
      <c r="W163" s="13" t="s">
        <v>147</v>
      </c>
      <c r="X163" s="13" t="s">
        <v>141</v>
      </c>
      <c r="Y163" s="13" t="s">
        <v>26</v>
      </c>
      <c r="Z163" s="13" t="s">
        <v>144</v>
      </c>
      <c r="AA163" s="13" t="s">
        <v>146</v>
      </c>
      <c r="AB163" s="13" t="s">
        <v>137</v>
      </c>
      <c r="AC163" s="13">
        <f>VLOOKUP(Table24[[#This Row],[3_Elephant_ID]],'[1]Attributes(OUTDATED)'!$A$2:$N$19,12,FALSE)</f>
        <v>450</v>
      </c>
      <c r="AD163" s="13">
        <f>VLOOKUP(Table24[[#This Row],[3_Elephant_ID]],'[1]Attributes(OUTDATED)'!$A$2:$N$19,13,FALSE)</f>
        <v>0.375</v>
      </c>
      <c r="AE163" s="13">
        <f>VLOOKUP(Table24[[#This Row],[3_Elephant_ID]],'[1]Attributes(OUTDATED)'!$A$2:$N$19,14,FALSE)</f>
        <v>0.37414375430996583</v>
      </c>
      <c r="AF163" s="13">
        <v>2</v>
      </c>
      <c r="AG163" s="13">
        <v>0</v>
      </c>
      <c r="AH163" s="13">
        <v>0</v>
      </c>
      <c r="AI163" s="13">
        <v>0</v>
      </c>
      <c r="AJ163" s="13">
        <f>VLOOKUP(Table24[[#This Row],[3_Elephant_ID]],'[1]Attributes(OUTDATED)'!$A$2:$P$19,16,FALSE)</f>
        <v>1</v>
      </c>
      <c r="AK163" s="13">
        <f>VLOOKUP(Table24[[#This Row],[3_Elephant_ID]],'[1]Attributes(OUTDATED)'!$A$2:$S$19,17,FALSE)</f>
        <v>48</v>
      </c>
      <c r="AL163" s="13">
        <f>VLOOKUP(Table24[[#This Row],[3_Elephant_ID]],'[1]Attributes(OUTDATED)'!$A$2:$S$19,18,FALSE)</f>
        <v>3</v>
      </c>
    </row>
    <row r="164" spans="1:38" ht="28" x14ac:dyDescent="0.15">
      <c r="A164" s="3">
        <v>105</v>
      </c>
      <c r="B164" s="6" t="s">
        <v>32</v>
      </c>
      <c r="C164" s="7">
        <v>7</v>
      </c>
      <c r="D164" s="7">
        <v>7</v>
      </c>
      <c r="E164" s="7">
        <v>2023</v>
      </c>
      <c r="F164" s="5">
        <v>45114</v>
      </c>
      <c r="G164" s="6" t="s">
        <v>10</v>
      </c>
      <c r="H164" s="17">
        <v>0.30891588785046731</v>
      </c>
      <c r="I164" s="3" t="str">
        <f>VLOOKUP(G164,'[1]Attributes(OUTDATED)'!$A$2:$C$19,2,FALSE)</f>
        <v>F</v>
      </c>
      <c r="J164" s="3" t="str">
        <f>VLOOKUP(G164,'[1]Attributes(OUTDATED)'!$A$2:$C$19,3,FALSE)</f>
        <v>A</v>
      </c>
      <c r="K164" s="3">
        <f>VLOOKUP(G164,'[1]Attributes(OUTDATED)'!$A$2:$H$19,8,FALSE)</f>
        <v>1146</v>
      </c>
      <c r="L164" s="3" t="str">
        <f>J164&amp;I164</f>
        <v>AF</v>
      </c>
      <c r="M164" s="11">
        <v>45112</v>
      </c>
      <c r="N164" s="13">
        <v>12</v>
      </c>
      <c r="O164" s="13">
        <v>6.9</v>
      </c>
      <c r="P164" s="13">
        <v>1</v>
      </c>
      <c r="Q164" s="13">
        <f>Table24[[#This Row],[2_Temp_H]]-Table24[[#This Row],[2_Temp_L]]</f>
        <v>11</v>
      </c>
      <c r="R164" s="13">
        <v>17.899999999999999</v>
      </c>
      <c r="S164" s="13">
        <v>3.5</v>
      </c>
      <c r="T164" s="13">
        <v>1021</v>
      </c>
      <c r="U164" s="13">
        <v>1018.96</v>
      </c>
      <c r="V164" s="13">
        <v>0</v>
      </c>
      <c r="W164" s="13" t="s">
        <v>147</v>
      </c>
      <c r="X164" s="13" t="s">
        <v>141</v>
      </c>
      <c r="Y164" s="13" t="s">
        <v>26</v>
      </c>
      <c r="Z164" s="13" t="s">
        <v>144</v>
      </c>
      <c r="AA164" s="13" t="s">
        <v>146</v>
      </c>
      <c r="AB164" s="13" t="s">
        <v>137</v>
      </c>
      <c r="AC164" s="13">
        <f>VLOOKUP(Table24[[#This Row],[3_Elephant_ID]],'[1]Attributes(OUTDATED)'!$A$2:$N$19,12,FALSE)</f>
        <v>424</v>
      </c>
      <c r="AD164" s="13">
        <f>VLOOKUP(Table24[[#This Row],[3_Elephant_ID]],'[1]Attributes(OUTDATED)'!$A$2:$N$19,13,FALSE)</f>
        <v>0.10299999999999999</v>
      </c>
      <c r="AE164" s="13">
        <f>VLOOKUP(Table24[[#This Row],[3_Elephant_ID]],'[1]Attributes(OUTDATED)'!$A$2:$N$19,14,FALSE)</f>
        <v>0.10282190709599449</v>
      </c>
      <c r="AF164" s="13">
        <v>2</v>
      </c>
      <c r="AG164" s="13">
        <v>0</v>
      </c>
      <c r="AH164" s="13">
        <v>0</v>
      </c>
      <c r="AI164" s="13">
        <v>0</v>
      </c>
      <c r="AJ164" s="13">
        <f>VLOOKUP(Table24[[#This Row],[3_Elephant_ID]],'[1]Attributes(OUTDATED)'!$A$2:$P$19,16,FALSE)</f>
        <v>1</v>
      </c>
      <c r="AK164" s="13">
        <f>VLOOKUP(Table24[[#This Row],[3_Elephant_ID]],'[1]Attributes(OUTDATED)'!$A$2:$S$19,17,FALSE)</f>
        <v>9</v>
      </c>
      <c r="AL164" s="13">
        <f>VLOOKUP(Table24[[#This Row],[3_Elephant_ID]],'[1]Attributes(OUTDATED)'!$A$2:$S$19,18,FALSE)</f>
        <v>8</v>
      </c>
    </row>
    <row r="165" spans="1:38" ht="28" x14ac:dyDescent="0.15">
      <c r="A165" s="3">
        <v>112</v>
      </c>
      <c r="B165" s="6" t="s">
        <v>39</v>
      </c>
      <c r="C165" s="7">
        <v>7</v>
      </c>
      <c r="D165" s="7">
        <v>7</v>
      </c>
      <c r="E165" s="7">
        <v>2023</v>
      </c>
      <c r="F165" s="5">
        <v>45114</v>
      </c>
      <c r="G165" s="6" t="s">
        <v>10</v>
      </c>
      <c r="H165" s="17">
        <v>0.28808905380333955</v>
      </c>
      <c r="I165" s="3" t="str">
        <f>VLOOKUP(G165,'[1]Attributes(OUTDATED)'!$A$2:$C$19,2,FALSE)</f>
        <v>F</v>
      </c>
      <c r="J165" s="3" t="str">
        <f>VLOOKUP(G165,'[1]Attributes(OUTDATED)'!$A$2:$C$19,3,FALSE)</f>
        <v>A</v>
      </c>
      <c r="K165" s="3">
        <f>VLOOKUP(G165,'[1]Attributes(OUTDATED)'!$A$2:$H$19,8,FALSE)</f>
        <v>1146</v>
      </c>
      <c r="L165" s="3" t="str">
        <f>J165&amp;I165</f>
        <v>AF</v>
      </c>
      <c r="M165" s="11">
        <v>45112</v>
      </c>
      <c r="N165" s="13">
        <v>12</v>
      </c>
      <c r="O165" s="13">
        <v>6.9</v>
      </c>
      <c r="P165" s="13">
        <v>1</v>
      </c>
      <c r="Q165" s="13">
        <f>Table24[[#This Row],[2_Temp_H]]-Table24[[#This Row],[2_Temp_L]]</f>
        <v>11</v>
      </c>
      <c r="R165" s="13">
        <v>17.899999999999999</v>
      </c>
      <c r="S165" s="13">
        <v>3.5</v>
      </c>
      <c r="T165" s="13">
        <v>1021</v>
      </c>
      <c r="U165" s="13">
        <v>1018.96</v>
      </c>
      <c r="V165" s="13">
        <v>0</v>
      </c>
      <c r="W165" s="13" t="s">
        <v>147</v>
      </c>
      <c r="X165" s="13" t="s">
        <v>141</v>
      </c>
      <c r="Y165" s="13" t="s">
        <v>26</v>
      </c>
      <c r="Z165" s="13" t="s">
        <v>144</v>
      </c>
      <c r="AA165" s="13" t="s">
        <v>146</v>
      </c>
      <c r="AB165" s="13" t="s">
        <v>137</v>
      </c>
      <c r="AC165" s="13">
        <f>VLOOKUP(Table24[[#This Row],[3_Elephant_ID]],'[1]Attributes(OUTDATED)'!$A$2:$N$19,12,FALSE)</f>
        <v>424</v>
      </c>
      <c r="AD165" s="13">
        <f>VLOOKUP(Table24[[#This Row],[3_Elephant_ID]],'[1]Attributes(OUTDATED)'!$A$2:$N$19,13,FALSE)</f>
        <v>0.10299999999999999</v>
      </c>
      <c r="AE165" s="13">
        <f>VLOOKUP(Table24[[#This Row],[3_Elephant_ID]],'[1]Attributes(OUTDATED)'!$A$2:$N$19,14,FALSE)</f>
        <v>0.10282190709599449</v>
      </c>
      <c r="AF165" s="13">
        <v>2</v>
      </c>
      <c r="AG165" s="13">
        <v>0</v>
      </c>
      <c r="AH165" s="13">
        <v>0</v>
      </c>
      <c r="AI165" s="13">
        <v>0</v>
      </c>
      <c r="AJ165" s="13">
        <f>VLOOKUP(Table24[[#This Row],[3_Elephant_ID]],'[1]Attributes(OUTDATED)'!$A$2:$P$19,16,FALSE)</f>
        <v>1</v>
      </c>
      <c r="AK165" s="13">
        <f>VLOOKUP(Table24[[#This Row],[3_Elephant_ID]],'[1]Attributes(OUTDATED)'!$A$2:$S$19,17,FALSE)</f>
        <v>9</v>
      </c>
      <c r="AL165" s="13">
        <f>VLOOKUP(Table24[[#This Row],[3_Elephant_ID]],'[1]Attributes(OUTDATED)'!$A$2:$S$19,18,FALSE)</f>
        <v>8</v>
      </c>
    </row>
    <row r="166" spans="1:38" ht="28" x14ac:dyDescent="0.15">
      <c r="A166" s="3">
        <v>106</v>
      </c>
      <c r="B166" s="6" t="s">
        <v>33</v>
      </c>
      <c r="C166" s="7">
        <v>7</v>
      </c>
      <c r="D166" s="7">
        <v>7</v>
      </c>
      <c r="E166" s="7">
        <v>2023</v>
      </c>
      <c r="F166" s="5">
        <v>45114</v>
      </c>
      <c r="G166" s="6" t="s">
        <v>6</v>
      </c>
      <c r="H166" s="17">
        <v>0.39515094339622642</v>
      </c>
      <c r="I166" s="3" t="str">
        <f>VLOOKUP(G166,'[1]Attributes(OUTDATED)'!$A$2:$C$19,2,FALSE)</f>
        <v>F</v>
      </c>
      <c r="J166" s="3" t="str">
        <f>VLOOKUP(G166,'[1]Attributes(OUTDATED)'!$A$2:$C$19,3,FALSE)</f>
        <v>A</v>
      </c>
      <c r="K166" s="3">
        <f>VLOOKUP(G166,'[1]Attributes(OUTDATED)'!$A$2:$H$19,8,FALSE)</f>
        <v>1168</v>
      </c>
      <c r="L166" s="3" t="str">
        <f>J166&amp;I166</f>
        <v>AF</v>
      </c>
      <c r="M166" s="11">
        <v>45112</v>
      </c>
      <c r="N166" s="13">
        <v>12</v>
      </c>
      <c r="O166" s="13">
        <v>6.9</v>
      </c>
      <c r="P166" s="13">
        <v>1</v>
      </c>
      <c r="Q166" s="13">
        <f>Table24[[#This Row],[2_Temp_H]]-Table24[[#This Row],[2_Temp_L]]</f>
        <v>11</v>
      </c>
      <c r="R166" s="13">
        <v>17.899999999999999</v>
      </c>
      <c r="S166" s="13">
        <v>3.5</v>
      </c>
      <c r="T166" s="13">
        <v>1021</v>
      </c>
      <c r="U166" s="13">
        <v>1018.96</v>
      </c>
      <c r="V166" s="13">
        <v>0</v>
      </c>
      <c r="W166" s="13" t="s">
        <v>147</v>
      </c>
      <c r="X166" s="13" t="s">
        <v>141</v>
      </c>
      <c r="Y166" s="13" t="s">
        <v>26</v>
      </c>
      <c r="Z166" s="13" t="s">
        <v>144</v>
      </c>
      <c r="AA166" s="13" t="s">
        <v>146</v>
      </c>
      <c r="AB166" s="13" t="s">
        <v>137</v>
      </c>
      <c r="AC166" s="13">
        <f>VLOOKUP(Table24[[#This Row],[3_Elephant_ID]],'[1]Attributes(OUTDATED)'!$A$2:$N$19,12,FALSE)</f>
        <v>286</v>
      </c>
      <c r="AD166" s="13">
        <f>VLOOKUP(Table24[[#This Row],[3_Elephant_ID]],'[1]Attributes(OUTDATED)'!$A$2:$N$19,13,FALSE)</f>
        <v>0.26800000000000002</v>
      </c>
      <c r="AE166" s="13">
        <f>VLOOKUP(Table24[[#This Row],[3_Elephant_ID]],'[1]Attributes(OUTDATED)'!$A$2:$N$19,14,FALSE)</f>
        <v>0.26721028245328138</v>
      </c>
      <c r="AF166" s="13">
        <v>2</v>
      </c>
      <c r="AG166" s="13">
        <v>0</v>
      </c>
      <c r="AH166" s="13">
        <v>0</v>
      </c>
      <c r="AI166" s="13">
        <v>0</v>
      </c>
      <c r="AJ166" s="13">
        <f>VLOOKUP(Table24[[#This Row],[3_Elephant_ID]],'[1]Attributes(OUTDATED)'!$A$2:$P$19,16,FALSE)</f>
        <v>2</v>
      </c>
      <c r="AK166" s="13">
        <f>VLOOKUP(Table24[[#This Row],[3_Elephant_ID]],'[1]Attributes(OUTDATED)'!$A$2:$S$19,17,FALSE)</f>
        <v>12</v>
      </c>
      <c r="AL166" s="13">
        <f>VLOOKUP(Table24[[#This Row],[3_Elephant_ID]],'[1]Attributes(OUTDATED)'!$A$2:$S$19,18,FALSE)</f>
        <v>5</v>
      </c>
    </row>
    <row r="167" spans="1:38" ht="28" x14ac:dyDescent="0.15">
      <c r="A167" s="3">
        <v>111</v>
      </c>
      <c r="B167" s="6" t="s">
        <v>38</v>
      </c>
      <c r="C167" s="7">
        <v>7</v>
      </c>
      <c r="D167" s="7">
        <v>7</v>
      </c>
      <c r="E167" s="7">
        <v>2023</v>
      </c>
      <c r="F167" s="5">
        <v>45114</v>
      </c>
      <c r="G167" s="6" t="s">
        <v>2</v>
      </c>
      <c r="H167" s="17">
        <v>0.20059615384615381</v>
      </c>
      <c r="I167" s="3" t="str">
        <f>VLOOKUP(G167,'[1]Attributes(OUTDATED)'!$A$2:$C$19,2,FALSE)</f>
        <v>F</v>
      </c>
      <c r="J167" s="3" t="str">
        <f>VLOOKUP(G167,'[1]Attributes(OUTDATED)'!$A$2:$C$19,3,FALSE)</f>
        <v>A</v>
      </c>
      <c r="K167" s="3">
        <f>VLOOKUP(G167,'[1]Attributes(OUTDATED)'!$A$2:$H$19,8,FALSE)</f>
        <v>892</v>
      </c>
      <c r="L167" s="3" t="str">
        <f>J167&amp;I167</f>
        <v>AF</v>
      </c>
      <c r="M167" s="11">
        <v>45112</v>
      </c>
      <c r="N167" s="13">
        <v>12</v>
      </c>
      <c r="O167" s="13">
        <v>6.9</v>
      </c>
      <c r="P167" s="13">
        <v>1</v>
      </c>
      <c r="Q167" s="13">
        <f>Table24[[#This Row],[2_Temp_H]]-Table24[[#This Row],[2_Temp_L]]</f>
        <v>11</v>
      </c>
      <c r="R167" s="13">
        <v>17.899999999999999</v>
      </c>
      <c r="S167" s="13">
        <v>3.5</v>
      </c>
      <c r="T167" s="13">
        <v>1021</v>
      </c>
      <c r="U167" s="13">
        <v>1018.96</v>
      </c>
      <c r="V167" s="13">
        <v>0</v>
      </c>
      <c r="W167" s="13" t="s">
        <v>147</v>
      </c>
      <c r="X167" s="13" t="s">
        <v>141</v>
      </c>
      <c r="Y167" s="13" t="s">
        <v>26</v>
      </c>
      <c r="Z167" s="13" t="s">
        <v>144</v>
      </c>
      <c r="AA167" s="13" t="s">
        <v>146</v>
      </c>
      <c r="AB167" s="13" t="s">
        <v>137</v>
      </c>
      <c r="AC167" s="13">
        <f>VLOOKUP(Table24[[#This Row],[3_Elephant_ID]],'[1]Attributes(OUTDATED)'!$A$2:$N$19,12,FALSE)</f>
        <v>378</v>
      </c>
      <c r="AD167" s="13">
        <f>VLOOKUP(Table24[[#This Row],[3_Elephant_ID]],'[1]Attributes(OUTDATED)'!$A$2:$N$19,13,FALSE)</f>
        <v>8.6999999999999994E-2</v>
      </c>
      <c r="AE167" s="13">
        <f>VLOOKUP(Table24[[#This Row],[3_Elephant_ID]],'[1]Attributes(OUTDATED)'!$A$2:$N$19,14,FALSE)</f>
        <v>8.6599138783086713E-2</v>
      </c>
      <c r="AF167" s="13">
        <v>2</v>
      </c>
      <c r="AG167" s="13">
        <v>1</v>
      </c>
      <c r="AH167" s="13">
        <v>1</v>
      </c>
      <c r="AI167" s="13">
        <v>2</v>
      </c>
      <c r="AJ167" s="13">
        <f>VLOOKUP(Table24[[#This Row],[3_Elephant_ID]],'[1]Attributes(OUTDATED)'!$A$2:$P$19,16,FALSE)</f>
        <v>1</v>
      </c>
      <c r="AK167" s="13">
        <f>VLOOKUP(Table24[[#This Row],[3_Elephant_ID]],'[1]Attributes(OUTDATED)'!$A$2:$S$19,17,FALSE)</f>
        <v>4</v>
      </c>
      <c r="AL167" s="13">
        <f>VLOOKUP(Table24[[#This Row],[3_Elephant_ID]],'[1]Attributes(OUTDATED)'!$A$2:$S$19,18,FALSE)</f>
        <v>20</v>
      </c>
    </row>
    <row r="168" spans="1:38" ht="28" x14ac:dyDescent="0.15">
      <c r="A168" s="3">
        <v>113</v>
      </c>
      <c r="B168" s="6" t="s">
        <v>40</v>
      </c>
      <c r="C168" s="7">
        <v>7</v>
      </c>
      <c r="D168" s="7">
        <v>7</v>
      </c>
      <c r="E168" s="7">
        <v>2023</v>
      </c>
      <c r="F168" s="5">
        <v>45114</v>
      </c>
      <c r="G168" s="6" t="s">
        <v>15</v>
      </c>
      <c r="H168" s="17">
        <v>0.40432075471698109</v>
      </c>
      <c r="I168" s="3" t="str">
        <f>VLOOKUP(G168,'[1]Attributes(OUTDATED)'!$A$2:$C$19,2,FALSE)</f>
        <v>M</v>
      </c>
      <c r="J168" s="3" t="str">
        <f>VLOOKUP(G168,'[1]Attributes(OUTDATED)'!$A$2:$C$19,3,FALSE)</f>
        <v>J</v>
      </c>
      <c r="K168" s="3">
        <f>VLOOKUP(G168,'[1]Attributes(OUTDATED)'!$A$2:$H$19,8,FALSE)</f>
        <v>828</v>
      </c>
      <c r="L168" s="3" t="str">
        <f>J168&amp;I168</f>
        <v>JM</v>
      </c>
      <c r="M168" s="11">
        <v>45112</v>
      </c>
      <c r="N168" s="13">
        <v>12</v>
      </c>
      <c r="O168" s="13">
        <v>6.9</v>
      </c>
      <c r="P168" s="13">
        <v>1</v>
      </c>
      <c r="Q168" s="13">
        <f>Table24[[#This Row],[2_Temp_H]]-Table24[[#This Row],[2_Temp_L]]</f>
        <v>11</v>
      </c>
      <c r="R168" s="13">
        <v>17.899999999999999</v>
      </c>
      <c r="S168" s="13">
        <v>3.5</v>
      </c>
      <c r="T168" s="13">
        <v>1021</v>
      </c>
      <c r="U168" s="13">
        <v>1018.96</v>
      </c>
      <c r="V168" s="13">
        <v>0</v>
      </c>
      <c r="W168" s="13" t="s">
        <v>147</v>
      </c>
      <c r="X168" s="13" t="s">
        <v>141</v>
      </c>
      <c r="Y168" s="13" t="s">
        <v>26</v>
      </c>
      <c r="Z168" s="13" t="s">
        <v>144</v>
      </c>
      <c r="AA168" s="13" t="s">
        <v>146</v>
      </c>
      <c r="AB168" s="13" t="s">
        <v>137</v>
      </c>
      <c r="AC168" s="13">
        <f>VLOOKUP(Table24[[#This Row],[3_Elephant_ID]],'[1]Attributes(OUTDATED)'!$A$2:$N$19,12,FALSE)</f>
        <v>219</v>
      </c>
      <c r="AD168" s="13">
        <f>VLOOKUP(Table24[[#This Row],[3_Elephant_ID]],'[1]Attributes(OUTDATED)'!$A$2:$N$19,13,FALSE)</f>
        <v>0.32300000000000001</v>
      </c>
      <c r="AE168" s="13">
        <f>VLOOKUP(Table24[[#This Row],[3_Elephant_ID]],'[1]Attributes(OUTDATED)'!$A$2:$N$19,14,FALSE)</f>
        <v>0.32257531484312868</v>
      </c>
      <c r="AF168" s="13">
        <v>2</v>
      </c>
      <c r="AG168" s="13">
        <v>0</v>
      </c>
      <c r="AH168" s="13">
        <v>0</v>
      </c>
      <c r="AI168" s="13">
        <v>0</v>
      </c>
      <c r="AJ168" s="13">
        <f>VLOOKUP(Table24[[#This Row],[3_Elephant_ID]],'[1]Attributes(OUTDATED)'!$A$2:$P$19,16,FALSE)</f>
        <v>2</v>
      </c>
      <c r="AK168" s="13">
        <f>VLOOKUP(Table24[[#This Row],[3_Elephant_ID]],'[1]Attributes(OUTDATED)'!$A$2:$S$19,17,FALSE)</f>
        <v>1</v>
      </c>
      <c r="AL168" s="13">
        <f>VLOOKUP(Table24[[#This Row],[3_Elephant_ID]],'[1]Attributes(OUTDATED)'!$A$2:$S$19,18,FALSE)</f>
        <v>6</v>
      </c>
    </row>
    <row r="169" spans="1:38" ht="28" x14ac:dyDescent="0.15">
      <c r="A169" s="3">
        <v>110</v>
      </c>
      <c r="B169" s="6" t="s">
        <v>37</v>
      </c>
      <c r="C169" s="7">
        <v>7</v>
      </c>
      <c r="D169" s="7">
        <v>7</v>
      </c>
      <c r="E169" s="7">
        <v>2023</v>
      </c>
      <c r="F169" s="5">
        <v>45114</v>
      </c>
      <c r="G169" s="6" t="s">
        <v>16</v>
      </c>
      <c r="H169" s="17">
        <v>0.41921052631578953</v>
      </c>
      <c r="I169" s="3" t="str">
        <f>VLOOKUP(G169,'[1]Attributes(OUTDATED)'!$A$2:$C$19,2,FALSE)</f>
        <v>F</v>
      </c>
      <c r="J169" s="3" t="str">
        <f>VLOOKUP(G169,'[1]Attributes(OUTDATED)'!$A$2:$C$19,3,FALSE)</f>
        <v>A</v>
      </c>
      <c r="K169" s="3">
        <f>VLOOKUP(G169,'[1]Attributes(OUTDATED)'!$A$2:$H$19,8,FALSE)</f>
        <v>1346</v>
      </c>
      <c r="L169" s="3" t="str">
        <f>J169&amp;I169</f>
        <v>AF</v>
      </c>
      <c r="M169" s="11">
        <v>45112</v>
      </c>
      <c r="N169" s="13">
        <v>12</v>
      </c>
      <c r="O169" s="13">
        <v>6.9</v>
      </c>
      <c r="P169" s="13">
        <v>1</v>
      </c>
      <c r="Q169" s="13">
        <f>Table24[[#This Row],[2_Temp_H]]-Table24[[#This Row],[2_Temp_L]]</f>
        <v>11</v>
      </c>
      <c r="R169" s="13">
        <v>17.899999999999999</v>
      </c>
      <c r="S169" s="13">
        <v>3.5</v>
      </c>
      <c r="T169" s="13">
        <v>1021</v>
      </c>
      <c r="U169" s="13">
        <v>1018.96</v>
      </c>
      <c r="V169" s="13">
        <v>0</v>
      </c>
      <c r="W169" s="13" t="s">
        <v>147</v>
      </c>
      <c r="X169" s="13" t="s">
        <v>141</v>
      </c>
      <c r="Y169" s="13" t="s">
        <v>26</v>
      </c>
      <c r="Z169" s="13" t="s">
        <v>144</v>
      </c>
      <c r="AA169" s="13" t="s">
        <v>146</v>
      </c>
      <c r="AB169" s="13" t="s">
        <v>137</v>
      </c>
      <c r="AC169" s="13">
        <f>VLOOKUP(Table24[[#This Row],[3_Elephant_ID]],'[1]Attributes(OUTDATED)'!$A$2:$N$19,12,FALSE)</f>
        <v>474</v>
      </c>
      <c r="AD169" s="13">
        <f>VLOOKUP(Table24[[#This Row],[3_Elephant_ID]],'[1]Attributes(OUTDATED)'!$A$2:$N$19,13,FALSE)</f>
        <v>0.121</v>
      </c>
      <c r="AE169" s="13">
        <f>VLOOKUP(Table24[[#This Row],[3_Elephant_ID]],'[1]Attributes(OUTDATED)'!$A$2:$N$19,14,FALSE)</f>
        <v>0.1206993463154281</v>
      </c>
      <c r="AF169" s="13">
        <v>2</v>
      </c>
      <c r="AG169" s="13">
        <v>0</v>
      </c>
      <c r="AH169" s="13">
        <v>0</v>
      </c>
      <c r="AI169" s="13">
        <v>0</v>
      </c>
      <c r="AJ169" s="13">
        <f>VLOOKUP(Table24[[#This Row],[3_Elephant_ID]],'[1]Attributes(OUTDATED)'!$A$2:$P$19,16,FALSE)</f>
        <v>1</v>
      </c>
      <c r="AK169" s="13">
        <f>VLOOKUP(Table24[[#This Row],[3_Elephant_ID]],'[1]Attributes(OUTDATED)'!$A$2:$S$19,17,FALSE)</f>
        <v>16</v>
      </c>
      <c r="AL169" s="13">
        <f>VLOOKUP(Table24[[#This Row],[3_Elephant_ID]],'[1]Attributes(OUTDATED)'!$A$2:$S$19,18,FALSE)</f>
        <v>1</v>
      </c>
    </row>
    <row r="170" spans="1:38" ht="28" x14ac:dyDescent="0.15">
      <c r="A170" s="3">
        <v>103</v>
      </c>
      <c r="B170" s="6">
        <v>1207230925</v>
      </c>
      <c r="C170" s="7">
        <v>12</v>
      </c>
      <c r="D170" s="7">
        <v>7</v>
      </c>
      <c r="E170" s="7">
        <v>2023</v>
      </c>
      <c r="F170" s="5">
        <v>45119</v>
      </c>
      <c r="G170" s="6" t="s">
        <v>8</v>
      </c>
      <c r="H170" s="17">
        <v>0.57787709497206707</v>
      </c>
      <c r="I170" s="3" t="str">
        <f>VLOOKUP(G170,'[1]Attributes(OUTDATED)'!$A$2:$C$19,2,FALSE)</f>
        <v>F</v>
      </c>
      <c r="J170" s="3" t="str">
        <f>VLOOKUP(G170,'[1]Attributes(OUTDATED)'!$A$2:$C$19,3,FALSE)</f>
        <v>A</v>
      </c>
      <c r="K170" s="3">
        <f>VLOOKUP(G170,'[1]Attributes(OUTDATED)'!$A$2:$H$19,8,FALSE)</f>
        <v>1096</v>
      </c>
      <c r="L170" s="3" t="str">
        <f>J170&amp;I170</f>
        <v>AF</v>
      </c>
      <c r="M170" s="11">
        <v>45117</v>
      </c>
      <c r="N170" s="13">
        <v>8</v>
      </c>
      <c r="O170" s="13">
        <v>4.0999999999999996</v>
      </c>
      <c r="P170" s="13">
        <v>0.3</v>
      </c>
      <c r="Q170" s="13">
        <f>Table24[[#This Row],[2_Temp_H]]-Table24[[#This Row],[2_Temp_L]]</f>
        <v>7.7</v>
      </c>
      <c r="R170" s="13">
        <v>15</v>
      </c>
      <c r="S170" s="13">
        <v>2.9</v>
      </c>
      <c r="T170" s="13">
        <v>1029.8</v>
      </c>
      <c r="U170" s="13">
        <v>1025.06</v>
      </c>
      <c r="V170" s="13">
        <v>8.64</v>
      </c>
      <c r="W170" s="13" t="s">
        <v>147</v>
      </c>
      <c r="X170" s="16" t="s">
        <v>171</v>
      </c>
      <c r="Y170" s="13" t="s">
        <v>137</v>
      </c>
      <c r="Z170" s="13" t="s">
        <v>144</v>
      </c>
      <c r="AA170" s="13" t="s">
        <v>146</v>
      </c>
      <c r="AB170" s="13" t="s">
        <v>137</v>
      </c>
      <c r="AC170" s="13">
        <f>VLOOKUP(Table24[[#This Row],[3_Elephant_ID]],'[1]Attributes(OUTDATED)'!$A$2:$N$19,12,FALSE)</f>
        <v>346</v>
      </c>
      <c r="AD170" s="13">
        <f>VLOOKUP(Table24[[#This Row],[3_Elephant_ID]],'[1]Attributes(OUTDATED)'!$A$2:$N$19,13,FALSE)</f>
        <v>0.28999999999999998</v>
      </c>
      <c r="AE170" s="13">
        <f>VLOOKUP(Table24[[#This Row],[3_Elephant_ID]],'[1]Attributes(OUTDATED)'!$A$2:$N$19,14,FALSE)</f>
        <v>0.28929989906834258</v>
      </c>
      <c r="AF170" s="13">
        <v>0</v>
      </c>
      <c r="AG170" s="13">
        <v>0</v>
      </c>
      <c r="AH170" s="13">
        <v>0</v>
      </c>
      <c r="AI170" s="13">
        <v>0</v>
      </c>
      <c r="AJ170" s="13">
        <f>VLOOKUP(Table24[[#This Row],[3_Elephant_ID]],'[1]Attributes(OUTDATED)'!$A$2:$P$19,16,FALSE)</f>
        <v>1</v>
      </c>
      <c r="AK170" s="13">
        <f>VLOOKUP(Table24[[#This Row],[3_Elephant_ID]],'[1]Attributes(OUTDATED)'!$A$2:$S$19,17,FALSE)</f>
        <v>11</v>
      </c>
      <c r="AL170" s="13">
        <f>VLOOKUP(Table24[[#This Row],[3_Elephant_ID]],'[1]Attributes(OUTDATED)'!$A$2:$S$19,18,FALSE)</f>
        <v>7</v>
      </c>
    </row>
    <row r="171" spans="1:38" ht="28" x14ac:dyDescent="0.15">
      <c r="A171" s="3">
        <v>102</v>
      </c>
      <c r="B171" s="6">
        <v>1207231000</v>
      </c>
      <c r="C171" s="7">
        <v>12</v>
      </c>
      <c r="D171" s="7">
        <v>7</v>
      </c>
      <c r="E171" s="7">
        <v>2023</v>
      </c>
      <c r="F171" s="5">
        <v>45119</v>
      </c>
      <c r="G171" s="6" t="s">
        <v>12</v>
      </c>
      <c r="H171" s="17">
        <v>0.44999999999999996</v>
      </c>
      <c r="I171" s="3" t="str">
        <f>VLOOKUP(G171,'[1]Attributes(OUTDATED)'!$A$2:$C$19,2,FALSE)</f>
        <v>M</v>
      </c>
      <c r="J171" s="3" t="str">
        <f>VLOOKUP(G171,'[1]Attributes(OUTDATED)'!$A$2:$C$19,3,FALSE)</f>
        <v>A</v>
      </c>
      <c r="K171" s="3">
        <f>VLOOKUP(G171,'[1]Attributes(OUTDATED)'!$A$2:$H$19,8,FALSE)</f>
        <v>1509</v>
      </c>
      <c r="L171" s="3" t="str">
        <f>J171&amp;I171</f>
        <v>AM</v>
      </c>
      <c r="M171" s="11">
        <v>45117</v>
      </c>
      <c r="N171" s="13">
        <v>8</v>
      </c>
      <c r="O171" s="13">
        <v>4.0999999999999996</v>
      </c>
      <c r="P171" s="13">
        <v>0.3</v>
      </c>
      <c r="Q171" s="13">
        <f>Table24[[#This Row],[2_Temp_H]]-Table24[[#This Row],[2_Temp_L]]</f>
        <v>7.7</v>
      </c>
      <c r="R171" s="13">
        <v>15</v>
      </c>
      <c r="S171" s="13">
        <v>2.9</v>
      </c>
      <c r="T171" s="13">
        <v>1029.8</v>
      </c>
      <c r="U171" s="13">
        <v>1025.06</v>
      </c>
      <c r="V171" s="13">
        <v>8.64</v>
      </c>
      <c r="W171" s="13" t="s">
        <v>147</v>
      </c>
      <c r="X171" s="16" t="s">
        <v>171</v>
      </c>
      <c r="Y171" s="13" t="s">
        <v>137</v>
      </c>
      <c r="Z171" s="13" t="s">
        <v>144</v>
      </c>
      <c r="AA171" s="13" t="s">
        <v>146</v>
      </c>
      <c r="AB171" s="13" t="s">
        <v>137</v>
      </c>
      <c r="AC171" s="13">
        <f>VLOOKUP(Table24[[#This Row],[3_Elephant_ID]],'[1]Attributes(OUTDATED)'!$A$2:$N$19,12,FALSE)</f>
        <v>450</v>
      </c>
      <c r="AD171" s="13">
        <f>VLOOKUP(Table24[[#This Row],[3_Elephant_ID]],'[1]Attributes(OUTDATED)'!$A$2:$N$19,13,FALSE)</f>
        <v>0.375</v>
      </c>
      <c r="AE171" s="13">
        <f>VLOOKUP(Table24[[#This Row],[3_Elephant_ID]],'[1]Attributes(OUTDATED)'!$A$2:$N$19,14,FALSE)</f>
        <v>0.37414375430996583</v>
      </c>
      <c r="AF171" s="13">
        <v>0</v>
      </c>
      <c r="AG171" s="13">
        <v>0</v>
      </c>
      <c r="AH171" s="13">
        <v>0</v>
      </c>
      <c r="AI171" s="13">
        <v>0</v>
      </c>
      <c r="AJ171" s="13">
        <f>VLOOKUP(Table24[[#This Row],[3_Elephant_ID]],'[1]Attributes(OUTDATED)'!$A$2:$P$19,16,FALSE)</f>
        <v>1</v>
      </c>
      <c r="AK171" s="13">
        <f>VLOOKUP(Table24[[#This Row],[3_Elephant_ID]],'[1]Attributes(OUTDATED)'!$A$2:$S$19,17,FALSE)</f>
        <v>48</v>
      </c>
      <c r="AL171" s="13">
        <f>VLOOKUP(Table24[[#This Row],[3_Elephant_ID]],'[1]Attributes(OUTDATED)'!$A$2:$S$19,18,FALSE)</f>
        <v>3</v>
      </c>
    </row>
    <row r="172" spans="1:38" ht="28" x14ac:dyDescent="0.15">
      <c r="A172" s="3">
        <v>104</v>
      </c>
      <c r="B172" s="6">
        <v>1207230929</v>
      </c>
      <c r="C172" s="7">
        <v>12</v>
      </c>
      <c r="D172" s="7">
        <v>7</v>
      </c>
      <c r="E172" s="7">
        <v>2023</v>
      </c>
      <c r="F172" s="5">
        <v>45119</v>
      </c>
      <c r="G172" s="6" t="s">
        <v>10</v>
      </c>
      <c r="H172" s="17">
        <v>0.4275147928994083</v>
      </c>
      <c r="I172" s="3" t="str">
        <f>VLOOKUP(G172,'[1]Attributes(OUTDATED)'!$A$2:$C$19,2,FALSE)</f>
        <v>F</v>
      </c>
      <c r="J172" s="3" t="str">
        <f>VLOOKUP(G172,'[1]Attributes(OUTDATED)'!$A$2:$C$19,3,FALSE)</f>
        <v>A</v>
      </c>
      <c r="K172" s="3">
        <f>VLOOKUP(G172,'[1]Attributes(OUTDATED)'!$A$2:$H$19,8,FALSE)</f>
        <v>1146</v>
      </c>
      <c r="L172" s="3" t="str">
        <f>J172&amp;I172</f>
        <v>AF</v>
      </c>
      <c r="M172" s="11">
        <v>45117</v>
      </c>
      <c r="N172" s="13">
        <v>8</v>
      </c>
      <c r="O172" s="13">
        <v>4.0999999999999996</v>
      </c>
      <c r="P172" s="13">
        <v>0.3</v>
      </c>
      <c r="Q172" s="13">
        <f>Table24[[#This Row],[2_Temp_H]]-Table24[[#This Row],[2_Temp_L]]</f>
        <v>7.7</v>
      </c>
      <c r="R172" s="13">
        <v>15</v>
      </c>
      <c r="S172" s="13">
        <v>2.9</v>
      </c>
      <c r="T172" s="13">
        <v>1029.8</v>
      </c>
      <c r="U172" s="13">
        <v>1025.06</v>
      </c>
      <c r="V172" s="13">
        <v>8.64</v>
      </c>
      <c r="W172" s="13" t="s">
        <v>147</v>
      </c>
      <c r="X172" s="16" t="s">
        <v>171</v>
      </c>
      <c r="Y172" s="13" t="s">
        <v>137</v>
      </c>
      <c r="Z172" s="13" t="s">
        <v>144</v>
      </c>
      <c r="AA172" s="13" t="s">
        <v>146</v>
      </c>
      <c r="AB172" s="13" t="s">
        <v>137</v>
      </c>
      <c r="AC172" s="13">
        <f>VLOOKUP(Table24[[#This Row],[3_Elephant_ID]],'[1]Attributes(OUTDATED)'!$A$2:$N$19,12,FALSE)</f>
        <v>424</v>
      </c>
      <c r="AD172" s="13">
        <f>VLOOKUP(Table24[[#This Row],[3_Elephant_ID]],'[1]Attributes(OUTDATED)'!$A$2:$N$19,13,FALSE)</f>
        <v>0.10299999999999999</v>
      </c>
      <c r="AE172" s="13">
        <f>VLOOKUP(Table24[[#This Row],[3_Elephant_ID]],'[1]Attributes(OUTDATED)'!$A$2:$N$19,14,FALSE)</f>
        <v>0.10282190709599449</v>
      </c>
      <c r="AF172" s="13">
        <v>0</v>
      </c>
      <c r="AG172" s="13">
        <v>0</v>
      </c>
      <c r="AH172" s="13">
        <v>0</v>
      </c>
      <c r="AI172" s="13">
        <v>0</v>
      </c>
      <c r="AJ172" s="13">
        <f>VLOOKUP(Table24[[#This Row],[3_Elephant_ID]],'[1]Attributes(OUTDATED)'!$A$2:$P$19,16,FALSE)</f>
        <v>1</v>
      </c>
      <c r="AK172" s="13">
        <f>VLOOKUP(Table24[[#This Row],[3_Elephant_ID]],'[1]Attributes(OUTDATED)'!$A$2:$S$19,17,FALSE)</f>
        <v>9</v>
      </c>
      <c r="AL172" s="13">
        <f>VLOOKUP(Table24[[#This Row],[3_Elephant_ID]],'[1]Attributes(OUTDATED)'!$A$2:$S$19,18,FALSE)</f>
        <v>8</v>
      </c>
    </row>
    <row r="173" spans="1:38" ht="28" x14ac:dyDescent="0.15">
      <c r="A173" s="3">
        <v>98</v>
      </c>
      <c r="B173" s="6">
        <v>1207231543</v>
      </c>
      <c r="C173" s="7">
        <v>12</v>
      </c>
      <c r="D173" s="7">
        <v>7</v>
      </c>
      <c r="E173" s="7">
        <v>2023</v>
      </c>
      <c r="F173" s="5">
        <v>45119</v>
      </c>
      <c r="G173" s="6" t="s">
        <v>1</v>
      </c>
      <c r="H173" s="17">
        <v>0.14906077348066296</v>
      </c>
      <c r="I173" s="3" t="str">
        <f>VLOOKUP(G173,'[1]Attributes(OUTDATED)'!$A$2:$C$19,2,FALSE)</f>
        <v>F</v>
      </c>
      <c r="J173" s="3" t="str">
        <f>VLOOKUP(G173,'[1]Attributes(OUTDATED)'!$A$2:$C$19,3,FALSE)</f>
        <v>A</v>
      </c>
      <c r="K173" s="3">
        <f>VLOOKUP(G173,'[1]Attributes(OUTDATED)'!$A$2:$H$19,8,FALSE)</f>
        <v>929</v>
      </c>
      <c r="L173" s="3" t="str">
        <f>J173&amp;I173</f>
        <v>AF</v>
      </c>
      <c r="M173" s="11">
        <v>45117</v>
      </c>
      <c r="N173" s="13">
        <v>8</v>
      </c>
      <c r="O173" s="13">
        <v>4.0999999999999996</v>
      </c>
      <c r="P173" s="13">
        <v>0.3</v>
      </c>
      <c r="Q173" s="13">
        <f>Table24[[#This Row],[2_Temp_H]]-Table24[[#This Row],[2_Temp_L]]</f>
        <v>7.7</v>
      </c>
      <c r="R173" s="13">
        <v>15</v>
      </c>
      <c r="S173" s="13">
        <v>2.9</v>
      </c>
      <c r="T173" s="13">
        <v>1029.8</v>
      </c>
      <c r="U173" s="13">
        <v>1025.06</v>
      </c>
      <c r="V173" s="13">
        <v>8.64</v>
      </c>
      <c r="W173" s="13" t="s">
        <v>147</v>
      </c>
      <c r="X173" s="16" t="s">
        <v>171</v>
      </c>
      <c r="Y173" s="13" t="s">
        <v>137</v>
      </c>
      <c r="Z173" s="13" t="s">
        <v>144</v>
      </c>
      <c r="AA173" s="13" t="s">
        <v>146</v>
      </c>
      <c r="AB173" s="13" t="s">
        <v>137</v>
      </c>
      <c r="AC173" s="13">
        <f>VLOOKUP(Table24[[#This Row],[3_Elephant_ID]],'[1]Attributes(OUTDATED)'!$A$2:$N$19,12,FALSE)</f>
        <v>321</v>
      </c>
      <c r="AD173" s="13">
        <f>VLOOKUP(Table24[[#This Row],[3_Elephant_ID]],'[1]Attributes(OUTDATED)'!$A$2:$N$19,13,FALSE)</f>
        <v>0.17599999999999999</v>
      </c>
      <c r="AE173" s="13">
        <f>VLOOKUP(Table24[[#This Row],[3_Elephant_ID]],'[1]Attributes(OUTDATED)'!$A$2:$N$19,14,FALSE)</f>
        <v>0.17530262753188491</v>
      </c>
      <c r="AF173" s="13">
        <v>0</v>
      </c>
      <c r="AG173" s="13">
        <v>0</v>
      </c>
      <c r="AH173" s="13">
        <v>0</v>
      </c>
      <c r="AI173" s="13">
        <v>0</v>
      </c>
      <c r="AJ173" s="13">
        <f>VLOOKUP(Table24[[#This Row],[3_Elephant_ID]],'[1]Attributes(OUTDATED)'!$A$2:$P$19,16,FALSE)</f>
        <v>1</v>
      </c>
      <c r="AK173" s="13">
        <f>VLOOKUP(Table24[[#This Row],[3_Elephant_ID]],'[1]Attributes(OUTDATED)'!$A$2:$S$19,17,FALSE)</f>
        <v>6</v>
      </c>
      <c r="AL173" s="13">
        <f>VLOOKUP(Table24[[#This Row],[3_Elephant_ID]],'[1]Attributes(OUTDATED)'!$A$2:$S$19,18,FALSE)</f>
        <v>8</v>
      </c>
    </row>
    <row r="174" spans="1:38" ht="28" x14ac:dyDescent="0.15">
      <c r="A174" s="3">
        <v>99</v>
      </c>
      <c r="B174" s="6">
        <v>1207231212</v>
      </c>
      <c r="C174" s="7">
        <v>12</v>
      </c>
      <c r="D174" s="7">
        <v>7</v>
      </c>
      <c r="E174" s="7">
        <v>2023</v>
      </c>
      <c r="F174" s="5">
        <v>45119</v>
      </c>
      <c r="G174" s="6" t="s">
        <v>2</v>
      </c>
      <c r="H174" s="17">
        <v>0.37537572254335261</v>
      </c>
      <c r="I174" s="3" t="str">
        <f>VLOOKUP(G174,'[1]Attributes(OUTDATED)'!$A$2:$C$19,2,FALSE)</f>
        <v>F</v>
      </c>
      <c r="J174" s="3" t="str">
        <f>VLOOKUP(G174,'[1]Attributes(OUTDATED)'!$A$2:$C$19,3,FALSE)</f>
        <v>A</v>
      </c>
      <c r="K174" s="3">
        <f>VLOOKUP(G174,'[1]Attributes(OUTDATED)'!$A$2:$H$19,8,FALSE)</f>
        <v>892</v>
      </c>
      <c r="L174" s="3" t="str">
        <f>J174&amp;I174</f>
        <v>AF</v>
      </c>
      <c r="M174" s="11">
        <v>45117</v>
      </c>
      <c r="N174" s="13">
        <v>8</v>
      </c>
      <c r="O174" s="13">
        <v>4.0999999999999996</v>
      </c>
      <c r="P174" s="13">
        <v>0.3</v>
      </c>
      <c r="Q174" s="13">
        <f>Table24[[#This Row],[2_Temp_H]]-Table24[[#This Row],[2_Temp_L]]</f>
        <v>7.7</v>
      </c>
      <c r="R174" s="13">
        <v>15</v>
      </c>
      <c r="S174" s="13">
        <v>2.9</v>
      </c>
      <c r="T174" s="13">
        <v>1029.8</v>
      </c>
      <c r="U174" s="13">
        <v>1025.06</v>
      </c>
      <c r="V174" s="13">
        <v>8.64</v>
      </c>
      <c r="W174" s="13" t="s">
        <v>147</v>
      </c>
      <c r="X174" s="16" t="s">
        <v>171</v>
      </c>
      <c r="Y174" s="13" t="s">
        <v>137</v>
      </c>
      <c r="Z174" s="13" t="s">
        <v>144</v>
      </c>
      <c r="AA174" s="13" t="s">
        <v>146</v>
      </c>
      <c r="AB174" s="13" t="s">
        <v>137</v>
      </c>
      <c r="AC174" s="13">
        <f>VLOOKUP(Table24[[#This Row],[3_Elephant_ID]],'[1]Attributes(OUTDATED)'!$A$2:$N$19,12,FALSE)</f>
        <v>378</v>
      </c>
      <c r="AD174" s="13">
        <f>VLOOKUP(Table24[[#This Row],[3_Elephant_ID]],'[1]Attributes(OUTDATED)'!$A$2:$N$19,13,FALSE)</f>
        <v>8.6999999999999994E-2</v>
      </c>
      <c r="AE174" s="13">
        <f>VLOOKUP(Table24[[#This Row],[3_Elephant_ID]],'[1]Attributes(OUTDATED)'!$A$2:$N$19,14,FALSE)</f>
        <v>8.6599138783086713E-2</v>
      </c>
      <c r="AF174" s="13">
        <v>0</v>
      </c>
      <c r="AG174" s="13">
        <v>0</v>
      </c>
      <c r="AH174" s="13">
        <v>0</v>
      </c>
      <c r="AI174" s="13">
        <v>0</v>
      </c>
      <c r="AJ174" s="13">
        <f>VLOOKUP(Table24[[#This Row],[3_Elephant_ID]],'[1]Attributes(OUTDATED)'!$A$2:$P$19,16,FALSE)</f>
        <v>1</v>
      </c>
      <c r="AK174" s="13">
        <f>VLOOKUP(Table24[[#This Row],[3_Elephant_ID]],'[1]Attributes(OUTDATED)'!$A$2:$S$19,17,FALSE)</f>
        <v>4</v>
      </c>
      <c r="AL174" s="13">
        <f>VLOOKUP(Table24[[#This Row],[3_Elephant_ID]],'[1]Attributes(OUTDATED)'!$A$2:$S$19,18,FALSE)</f>
        <v>20</v>
      </c>
    </row>
    <row r="175" spans="1:38" ht="28" x14ac:dyDescent="0.15">
      <c r="A175" s="3">
        <v>100</v>
      </c>
      <c r="B175" s="6">
        <v>1207231059</v>
      </c>
      <c r="C175" s="7">
        <v>12</v>
      </c>
      <c r="D175" s="7">
        <v>7</v>
      </c>
      <c r="E175" s="7">
        <v>2023</v>
      </c>
      <c r="F175" s="5">
        <v>45119</v>
      </c>
      <c r="G175" s="6" t="s">
        <v>2</v>
      </c>
      <c r="H175" s="17">
        <v>0.3406153846153846</v>
      </c>
      <c r="I175" s="3" t="str">
        <f>VLOOKUP(G175,'[1]Attributes(OUTDATED)'!$A$2:$C$19,2,FALSE)</f>
        <v>F</v>
      </c>
      <c r="J175" s="3" t="str">
        <f>VLOOKUP(G175,'[1]Attributes(OUTDATED)'!$A$2:$C$19,3,FALSE)</f>
        <v>A</v>
      </c>
      <c r="K175" s="3">
        <f>VLOOKUP(G175,'[1]Attributes(OUTDATED)'!$A$2:$H$19,8,FALSE)</f>
        <v>892</v>
      </c>
      <c r="L175" s="3" t="str">
        <f>J175&amp;I175</f>
        <v>AF</v>
      </c>
      <c r="M175" s="11">
        <v>45117</v>
      </c>
      <c r="N175" s="13">
        <v>8</v>
      </c>
      <c r="O175" s="13">
        <v>4.0999999999999996</v>
      </c>
      <c r="P175" s="13">
        <v>0.3</v>
      </c>
      <c r="Q175" s="13">
        <f>Table24[[#This Row],[2_Temp_H]]-Table24[[#This Row],[2_Temp_L]]</f>
        <v>7.7</v>
      </c>
      <c r="R175" s="13">
        <v>15</v>
      </c>
      <c r="S175" s="13">
        <v>2.9</v>
      </c>
      <c r="T175" s="13">
        <v>1029.8</v>
      </c>
      <c r="U175" s="13">
        <v>1025.06</v>
      </c>
      <c r="V175" s="13">
        <v>8.64</v>
      </c>
      <c r="W175" s="13" t="s">
        <v>147</v>
      </c>
      <c r="X175" s="16" t="s">
        <v>171</v>
      </c>
      <c r="Y175" s="13" t="s">
        <v>137</v>
      </c>
      <c r="Z175" s="13" t="s">
        <v>144</v>
      </c>
      <c r="AA175" s="13" t="s">
        <v>146</v>
      </c>
      <c r="AB175" s="13" t="s">
        <v>137</v>
      </c>
      <c r="AC175" s="13">
        <f>VLOOKUP(Table24[[#This Row],[3_Elephant_ID]],'[1]Attributes(OUTDATED)'!$A$2:$N$19,12,FALSE)</f>
        <v>378</v>
      </c>
      <c r="AD175" s="13">
        <f>VLOOKUP(Table24[[#This Row],[3_Elephant_ID]],'[1]Attributes(OUTDATED)'!$A$2:$N$19,13,FALSE)</f>
        <v>8.6999999999999994E-2</v>
      </c>
      <c r="AE175" s="13">
        <f>VLOOKUP(Table24[[#This Row],[3_Elephant_ID]],'[1]Attributes(OUTDATED)'!$A$2:$N$19,14,FALSE)</f>
        <v>8.6599138783086713E-2</v>
      </c>
      <c r="AF175" s="13">
        <v>0</v>
      </c>
      <c r="AG175" s="13">
        <v>0</v>
      </c>
      <c r="AH175" s="13">
        <v>0</v>
      </c>
      <c r="AI175" s="13">
        <v>0</v>
      </c>
      <c r="AJ175" s="13">
        <f>VLOOKUP(Table24[[#This Row],[3_Elephant_ID]],'[1]Attributes(OUTDATED)'!$A$2:$P$19,16,FALSE)</f>
        <v>1</v>
      </c>
      <c r="AK175" s="13">
        <f>VLOOKUP(Table24[[#This Row],[3_Elephant_ID]],'[1]Attributes(OUTDATED)'!$A$2:$S$19,17,FALSE)</f>
        <v>4</v>
      </c>
      <c r="AL175" s="13">
        <f>VLOOKUP(Table24[[#This Row],[3_Elephant_ID]],'[1]Attributes(OUTDATED)'!$A$2:$S$19,18,FALSE)</f>
        <v>20</v>
      </c>
    </row>
    <row r="176" spans="1:38" ht="28" x14ac:dyDescent="0.15">
      <c r="A176" s="3">
        <v>97</v>
      </c>
      <c r="B176" s="6">
        <v>1207231526</v>
      </c>
      <c r="C176" s="7">
        <v>12</v>
      </c>
      <c r="D176" s="7">
        <v>7</v>
      </c>
      <c r="E176" s="7">
        <v>2023</v>
      </c>
      <c r="F176" s="5">
        <v>45119</v>
      </c>
      <c r="G176" s="6" t="s">
        <v>13</v>
      </c>
      <c r="H176" s="17">
        <v>0.50529411764705878</v>
      </c>
      <c r="I176" s="3" t="str">
        <f>VLOOKUP(G176,'[1]Attributes(OUTDATED)'!$A$2:$C$19,2,FALSE)</f>
        <v>F</v>
      </c>
      <c r="J176" s="3" t="str">
        <f>VLOOKUP(G176,'[1]Attributes(OUTDATED)'!$A$2:$C$19,3,FALSE)</f>
        <v>A</v>
      </c>
      <c r="K176" s="3">
        <f>VLOOKUP(G176,'[1]Attributes(OUTDATED)'!$A$2:$H$19,8,FALSE)</f>
        <v>963</v>
      </c>
      <c r="L176" s="3" t="str">
        <f>J176&amp;I176</f>
        <v>AF</v>
      </c>
      <c r="M176" s="11">
        <v>45117</v>
      </c>
      <c r="N176" s="13">
        <v>8</v>
      </c>
      <c r="O176" s="13">
        <v>4.0999999999999996</v>
      </c>
      <c r="P176" s="13">
        <v>0.3</v>
      </c>
      <c r="Q176" s="13">
        <f>Table24[[#This Row],[2_Temp_H]]-Table24[[#This Row],[2_Temp_L]]</f>
        <v>7.7</v>
      </c>
      <c r="R176" s="13">
        <v>15</v>
      </c>
      <c r="S176" s="13">
        <v>2.9</v>
      </c>
      <c r="T176" s="13">
        <v>1029.8</v>
      </c>
      <c r="U176" s="13">
        <v>1025.06</v>
      </c>
      <c r="V176" s="13">
        <v>8.64</v>
      </c>
      <c r="W176" s="13" t="s">
        <v>147</v>
      </c>
      <c r="X176" s="16" t="s">
        <v>171</v>
      </c>
      <c r="Y176" s="13" t="s">
        <v>137</v>
      </c>
      <c r="Z176" s="13" t="s">
        <v>144</v>
      </c>
      <c r="AA176" s="13" t="s">
        <v>146</v>
      </c>
      <c r="AB176" s="13" t="s">
        <v>137</v>
      </c>
      <c r="AC176" s="13">
        <f>VLOOKUP(Table24[[#This Row],[3_Elephant_ID]],'[1]Attributes(OUTDATED)'!$A$2:$N$19,12,FALSE)</f>
        <v>289</v>
      </c>
      <c r="AD176" s="13">
        <f>VLOOKUP(Table24[[#This Row],[3_Elephant_ID]],'[1]Attributes(OUTDATED)'!$A$2:$N$19,13,FALSE)</f>
        <v>0.32400000000000001</v>
      </c>
      <c r="AE176" s="13">
        <f>VLOOKUP(Table24[[#This Row],[3_Elephant_ID]],'[1]Attributes(OUTDATED)'!$A$2:$N$19,14,FALSE)</f>
        <v>0.32380809109629533</v>
      </c>
      <c r="AF176" s="13">
        <v>0</v>
      </c>
      <c r="AG176" s="13">
        <v>0</v>
      </c>
      <c r="AH176" s="13">
        <v>0</v>
      </c>
      <c r="AI176" s="13">
        <v>0</v>
      </c>
      <c r="AJ176" s="13">
        <f>VLOOKUP(Table24[[#This Row],[3_Elephant_ID]],'[1]Attributes(OUTDATED)'!$A$2:$P$19,16,FALSE)</f>
        <v>2</v>
      </c>
      <c r="AK176" s="13">
        <f>VLOOKUP(Table24[[#This Row],[3_Elephant_ID]],'[1]Attributes(OUTDATED)'!$A$2:$S$19,17,FALSE)</f>
        <v>9</v>
      </c>
      <c r="AL176" s="13">
        <f>VLOOKUP(Table24[[#This Row],[3_Elephant_ID]],'[1]Attributes(OUTDATED)'!$A$2:$S$19,18,FALSE)</f>
        <v>9</v>
      </c>
    </row>
    <row r="177" spans="1:38" ht="28" x14ac:dyDescent="0.15">
      <c r="A177" s="3">
        <v>101</v>
      </c>
      <c r="B177" s="6">
        <v>1207231057</v>
      </c>
      <c r="C177" s="7">
        <v>12</v>
      </c>
      <c r="D177" s="7">
        <v>7</v>
      </c>
      <c r="E177" s="7">
        <v>2023</v>
      </c>
      <c r="F177" s="5">
        <v>45119</v>
      </c>
      <c r="G177" s="6" t="s">
        <v>16</v>
      </c>
      <c r="H177" s="17">
        <v>0.59111332007952289</v>
      </c>
      <c r="I177" s="3" t="str">
        <f>VLOOKUP(G177,'[1]Attributes(OUTDATED)'!$A$2:$C$19,2,FALSE)</f>
        <v>F</v>
      </c>
      <c r="J177" s="3" t="str">
        <f>VLOOKUP(G177,'[1]Attributes(OUTDATED)'!$A$2:$C$19,3,FALSE)</f>
        <v>A</v>
      </c>
      <c r="K177" s="3">
        <f>VLOOKUP(G177,'[1]Attributes(OUTDATED)'!$A$2:$H$19,8,FALSE)</f>
        <v>1346</v>
      </c>
      <c r="L177" s="3" t="str">
        <f>J177&amp;I177</f>
        <v>AF</v>
      </c>
      <c r="M177" s="11">
        <v>45117</v>
      </c>
      <c r="N177" s="13">
        <v>8</v>
      </c>
      <c r="O177" s="13">
        <v>4.0999999999999996</v>
      </c>
      <c r="P177" s="13">
        <v>0.3</v>
      </c>
      <c r="Q177" s="13">
        <f>Table24[[#This Row],[2_Temp_H]]-Table24[[#This Row],[2_Temp_L]]</f>
        <v>7.7</v>
      </c>
      <c r="R177" s="13">
        <v>15</v>
      </c>
      <c r="S177" s="13">
        <v>2.9</v>
      </c>
      <c r="T177" s="13">
        <v>1029.8</v>
      </c>
      <c r="U177" s="13">
        <v>1025.06</v>
      </c>
      <c r="V177" s="13">
        <v>8.64</v>
      </c>
      <c r="W177" s="13" t="s">
        <v>147</v>
      </c>
      <c r="X177" s="16" t="s">
        <v>171</v>
      </c>
      <c r="Y177" s="13" t="s">
        <v>137</v>
      </c>
      <c r="Z177" s="13" t="s">
        <v>144</v>
      </c>
      <c r="AA177" s="13" t="s">
        <v>146</v>
      </c>
      <c r="AB177" s="13" t="s">
        <v>137</v>
      </c>
      <c r="AC177" s="13">
        <f>VLOOKUP(Table24[[#This Row],[3_Elephant_ID]],'[1]Attributes(OUTDATED)'!$A$2:$N$19,12,FALSE)</f>
        <v>474</v>
      </c>
      <c r="AD177" s="13">
        <f>VLOOKUP(Table24[[#This Row],[3_Elephant_ID]],'[1]Attributes(OUTDATED)'!$A$2:$N$19,13,FALSE)</f>
        <v>0.121</v>
      </c>
      <c r="AE177" s="13">
        <f>VLOOKUP(Table24[[#This Row],[3_Elephant_ID]],'[1]Attributes(OUTDATED)'!$A$2:$N$19,14,FALSE)</f>
        <v>0.1206993463154281</v>
      </c>
      <c r="AF177" s="13">
        <v>0</v>
      </c>
      <c r="AG177" s="13">
        <v>0</v>
      </c>
      <c r="AH177" s="13">
        <v>0</v>
      </c>
      <c r="AI177" s="13">
        <v>0</v>
      </c>
      <c r="AJ177" s="13">
        <f>VLOOKUP(Table24[[#This Row],[3_Elephant_ID]],'[1]Attributes(OUTDATED)'!$A$2:$P$19,16,FALSE)</f>
        <v>1</v>
      </c>
      <c r="AK177" s="13">
        <f>VLOOKUP(Table24[[#This Row],[3_Elephant_ID]],'[1]Attributes(OUTDATED)'!$A$2:$S$19,17,FALSE)</f>
        <v>16</v>
      </c>
      <c r="AL177" s="13">
        <f>VLOOKUP(Table24[[#This Row],[3_Elephant_ID]],'[1]Attributes(OUTDATED)'!$A$2:$S$19,18,FALSE)</f>
        <v>1</v>
      </c>
    </row>
    <row r="178" spans="1:38" ht="28" x14ac:dyDescent="0.15">
      <c r="A178" s="3">
        <v>96</v>
      </c>
      <c r="B178" s="6">
        <v>1307231112</v>
      </c>
      <c r="C178" s="7">
        <v>13</v>
      </c>
      <c r="D178" s="7">
        <v>7</v>
      </c>
      <c r="E178" s="7">
        <v>2023</v>
      </c>
      <c r="F178" s="5">
        <v>45120</v>
      </c>
      <c r="G178" s="6" t="s">
        <v>4</v>
      </c>
      <c r="H178" s="17">
        <v>0.24998076923076923</v>
      </c>
      <c r="I178" s="3" t="str">
        <f>VLOOKUP(G178,'[1]Attributes(OUTDATED)'!$A$2:$C$19,2,FALSE)</f>
        <v>M</v>
      </c>
      <c r="J178" s="3" t="str">
        <f>VLOOKUP(G178,'[1]Attributes(OUTDATED)'!$A$2:$C$19,3,FALSE)</f>
        <v>J</v>
      </c>
      <c r="K178" s="3">
        <f>VLOOKUP(G178,'[1]Attributes(OUTDATED)'!$A$2:$H$19,8,FALSE)</f>
        <v>1055</v>
      </c>
      <c r="L178" s="3" t="str">
        <f>J178&amp;I178</f>
        <v>JM</v>
      </c>
      <c r="M178" s="11">
        <v>45118</v>
      </c>
      <c r="N178" s="13">
        <v>11.4</v>
      </c>
      <c r="O178" s="13">
        <v>3.9</v>
      </c>
      <c r="P178" s="13">
        <v>-1.6</v>
      </c>
      <c r="Q178" s="13">
        <f>Table24[[#This Row],[2_Temp_H]]-Table24[[#This Row],[2_Temp_L]]</f>
        <v>13</v>
      </c>
      <c r="R178" s="13">
        <v>8.1999999999999993</v>
      </c>
      <c r="S178" s="13">
        <v>2.2000000000000002</v>
      </c>
      <c r="T178" s="13">
        <v>1029.8</v>
      </c>
      <c r="U178" s="13">
        <v>1027.0899999999999</v>
      </c>
      <c r="V178" s="13">
        <v>0.25</v>
      </c>
      <c r="W178" s="13" t="s">
        <v>147</v>
      </c>
      <c r="X178" s="16" t="s">
        <v>171</v>
      </c>
      <c r="Y178" s="13" t="s">
        <v>137</v>
      </c>
      <c r="Z178" s="13" t="s">
        <v>144</v>
      </c>
      <c r="AA178" s="13" t="s">
        <v>146</v>
      </c>
      <c r="AB178" s="13" t="s">
        <v>137</v>
      </c>
      <c r="AC178" s="13">
        <f>VLOOKUP(Table24[[#This Row],[3_Elephant_ID]],'[1]Attributes(OUTDATED)'!$A$2:$N$19,12,FALSE)</f>
        <v>181</v>
      </c>
      <c r="AD178" s="13">
        <f>VLOOKUP(Table24[[#This Row],[3_Elephant_ID]],'[1]Attributes(OUTDATED)'!$A$2:$N$19,13,FALSE)</f>
        <v>7.3999999999999996E-2</v>
      </c>
      <c r="AE178" s="13">
        <f>VLOOKUP(Table24[[#This Row],[3_Elephant_ID]],'[1]Attributes(OUTDATED)'!$A$2:$N$19,14,FALSE)</f>
        <v>7.3914663535330896E-2</v>
      </c>
      <c r="AF178" s="13">
        <v>0</v>
      </c>
      <c r="AG178" s="13">
        <v>0</v>
      </c>
      <c r="AH178" s="13">
        <v>0</v>
      </c>
      <c r="AI178" s="13">
        <v>0</v>
      </c>
      <c r="AJ178" s="13">
        <f>VLOOKUP(Table24[[#This Row],[3_Elephant_ID]],'[1]Attributes(OUTDATED)'!$A$2:$P$19,16,FALSE)</f>
        <v>1</v>
      </c>
      <c r="AK178" s="13">
        <f>VLOOKUP(Table24[[#This Row],[3_Elephant_ID]],'[1]Attributes(OUTDATED)'!$A$2:$S$19,17,FALSE)</f>
        <v>7</v>
      </c>
      <c r="AL178" s="13">
        <f>VLOOKUP(Table24[[#This Row],[3_Elephant_ID]],'[1]Attributes(OUTDATED)'!$A$2:$S$19,18,FALSE)</f>
        <v>9</v>
      </c>
    </row>
    <row r="179" spans="1:38" ht="28" x14ac:dyDescent="0.15">
      <c r="A179" s="3">
        <v>95</v>
      </c>
      <c r="B179" s="6">
        <v>1307231512</v>
      </c>
      <c r="C179" s="7">
        <v>13</v>
      </c>
      <c r="D179" s="7">
        <v>7</v>
      </c>
      <c r="E179" s="7">
        <v>2023</v>
      </c>
      <c r="F179" s="5">
        <v>45120</v>
      </c>
      <c r="G179" s="6" t="s">
        <v>11</v>
      </c>
      <c r="H179" s="17">
        <v>0.24017681728880158</v>
      </c>
      <c r="I179" s="3" t="str">
        <f>VLOOKUP(G179,'[1]Attributes(OUTDATED)'!$A$2:$C$19,2,FALSE)</f>
        <v>M</v>
      </c>
      <c r="J179" s="3" t="str">
        <f>VLOOKUP(G179,'[1]Attributes(OUTDATED)'!$A$2:$C$19,3,FALSE)</f>
        <v>A</v>
      </c>
      <c r="K179" s="3">
        <f>VLOOKUP(G179,'[1]Attributes(OUTDATED)'!$A$2:$H$19,8,FALSE)</f>
        <v>1223</v>
      </c>
      <c r="L179" s="3" t="str">
        <f>J179&amp;I179</f>
        <v>AM</v>
      </c>
      <c r="M179" s="11">
        <v>45118</v>
      </c>
      <c r="N179" s="13">
        <v>11.4</v>
      </c>
      <c r="O179" s="13">
        <v>3.9</v>
      </c>
      <c r="P179" s="13">
        <v>-1.6</v>
      </c>
      <c r="Q179" s="13">
        <f>Table24[[#This Row],[2_Temp_H]]-Table24[[#This Row],[2_Temp_L]]</f>
        <v>13</v>
      </c>
      <c r="R179" s="13">
        <v>8.1999999999999993</v>
      </c>
      <c r="S179" s="13">
        <v>2.2000000000000002</v>
      </c>
      <c r="T179" s="13">
        <v>1029.8</v>
      </c>
      <c r="U179" s="13">
        <v>1027.0899999999999</v>
      </c>
      <c r="V179" s="13">
        <v>0.25</v>
      </c>
      <c r="W179" s="13" t="s">
        <v>147</v>
      </c>
      <c r="X179" s="16" t="s">
        <v>171</v>
      </c>
      <c r="Y179" s="13" t="s">
        <v>137</v>
      </c>
      <c r="Z179" s="13" t="s">
        <v>144</v>
      </c>
      <c r="AA179" s="13" t="s">
        <v>146</v>
      </c>
      <c r="AB179" s="13" t="s">
        <v>137</v>
      </c>
      <c r="AC179" s="13">
        <f>VLOOKUP(Table24[[#This Row],[3_Elephant_ID]],'[1]Attributes(OUTDATED)'!$A$2:$N$19,12,FALSE)</f>
        <v>404</v>
      </c>
      <c r="AD179" s="13">
        <f>VLOOKUP(Table24[[#This Row],[3_Elephant_ID]],'[1]Attributes(OUTDATED)'!$A$2:$N$19,13,FALSE)</f>
        <v>0.91700000000000004</v>
      </c>
      <c r="AE179" s="13">
        <f>VLOOKUP(Table24[[#This Row],[3_Elephant_ID]],'[1]Attributes(OUTDATED)'!$A$2:$N$19,14,FALSE)</f>
        <v>0.91664628583929353</v>
      </c>
      <c r="AF179" s="13">
        <v>0</v>
      </c>
      <c r="AG179" s="13">
        <v>0</v>
      </c>
      <c r="AH179" s="13">
        <v>0</v>
      </c>
      <c r="AI179" s="13">
        <v>0</v>
      </c>
      <c r="AJ179" s="13">
        <f>VLOOKUP(Table24[[#This Row],[3_Elephant_ID]],'[1]Attributes(OUTDATED)'!$A$2:$P$19,16,FALSE)</f>
        <v>1</v>
      </c>
      <c r="AK179" s="13">
        <f>VLOOKUP(Table24[[#This Row],[3_Elephant_ID]],'[1]Attributes(OUTDATED)'!$A$2:$S$19,17,FALSE)</f>
        <v>14</v>
      </c>
      <c r="AL179" s="13">
        <f>VLOOKUP(Table24[[#This Row],[3_Elephant_ID]],'[1]Attributes(OUTDATED)'!$A$2:$S$19,18,FALSE)</f>
        <v>17</v>
      </c>
    </row>
    <row r="180" spans="1:38" ht="28" x14ac:dyDescent="0.15">
      <c r="A180" s="3">
        <v>94</v>
      </c>
      <c r="B180" s="6">
        <v>1307231509</v>
      </c>
      <c r="C180" s="7">
        <v>13</v>
      </c>
      <c r="D180" s="7">
        <v>7</v>
      </c>
      <c r="E180" s="7">
        <v>2023</v>
      </c>
      <c r="F180" s="5">
        <v>45120</v>
      </c>
      <c r="G180" s="6" t="s">
        <v>15</v>
      </c>
      <c r="H180" s="17">
        <v>0.23160877513711156</v>
      </c>
      <c r="I180" s="3" t="str">
        <f>VLOOKUP(G180,'[1]Attributes(OUTDATED)'!$A$2:$C$19,2,FALSE)</f>
        <v>M</v>
      </c>
      <c r="J180" s="3" t="str">
        <f>VLOOKUP(G180,'[1]Attributes(OUTDATED)'!$A$2:$C$19,3,FALSE)</f>
        <v>J</v>
      </c>
      <c r="K180" s="3">
        <f>VLOOKUP(G180,'[1]Attributes(OUTDATED)'!$A$2:$H$19,8,FALSE)</f>
        <v>828</v>
      </c>
      <c r="L180" s="3" t="str">
        <f>J180&amp;I180</f>
        <v>JM</v>
      </c>
      <c r="M180" s="11">
        <v>45118</v>
      </c>
      <c r="N180" s="13">
        <v>11.4</v>
      </c>
      <c r="O180" s="13">
        <v>3.9</v>
      </c>
      <c r="P180" s="13">
        <v>-1.6</v>
      </c>
      <c r="Q180" s="13">
        <f>Table24[[#This Row],[2_Temp_H]]-Table24[[#This Row],[2_Temp_L]]</f>
        <v>13</v>
      </c>
      <c r="R180" s="13">
        <v>8.1999999999999993</v>
      </c>
      <c r="S180" s="13">
        <v>2.2000000000000002</v>
      </c>
      <c r="T180" s="13">
        <v>1029.8</v>
      </c>
      <c r="U180" s="13">
        <v>1027.0899999999999</v>
      </c>
      <c r="V180" s="13">
        <v>0.25</v>
      </c>
      <c r="W180" s="13" t="s">
        <v>147</v>
      </c>
      <c r="X180" s="16" t="s">
        <v>171</v>
      </c>
      <c r="Y180" s="13" t="s">
        <v>137</v>
      </c>
      <c r="Z180" s="13" t="s">
        <v>144</v>
      </c>
      <c r="AA180" s="13" t="s">
        <v>146</v>
      </c>
      <c r="AB180" s="13" t="s">
        <v>137</v>
      </c>
      <c r="AC180" s="13">
        <f>VLOOKUP(Table24[[#This Row],[3_Elephant_ID]],'[1]Attributes(OUTDATED)'!$A$2:$N$19,12,FALSE)</f>
        <v>219</v>
      </c>
      <c r="AD180" s="13">
        <f>VLOOKUP(Table24[[#This Row],[3_Elephant_ID]],'[1]Attributes(OUTDATED)'!$A$2:$N$19,13,FALSE)</f>
        <v>0.32300000000000001</v>
      </c>
      <c r="AE180" s="13">
        <f>VLOOKUP(Table24[[#This Row],[3_Elephant_ID]],'[1]Attributes(OUTDATED)'!$A$2:$N$19,14,FALSE)</f>
        <v>0.32257531484312868</v>
      </c>
      <c r="AF180" s="13">
        <v>0</v>
      </c>
      <c r="AG180" s="13">
        <v>0</v>
      </c>
      <c r="AH180" s="13">
        <v>0</v>
      </c>
      <c r="AI180" s="13">
        <v>0</v>
      </c>
      <c r="AJ180" s="13">
        <f>VLOOKUP(Table24[[#This Row],[3_Elephant_ID]],'[1]Attributes(OUTDATED)'!$A$2:$P$19,16,FALSE)</f>
        <v>2</v>
      </c>
      <c r="AK180" s="13">
        <f>VLOOKUP(Table24[[#This Row],[3_Elephant_ID]],'[1]Attributes(OUTDATED)'!$A$2:$S$19,17,FALSE)</f>
        <v>1</v>
      </c>
      <c r="AL180" s="13">
        <f>VLOOKUP(Table24[[#This Row],[3_Elephant_ID]],'[1]Attributes(OUTDATED)'!$A$2:$S$19,18,FALSE)</f>
        <v>6</v>
      </c>
    </row>
    <row r="181" spans="1:38" ht="28" x14ac:dyDescent="0.15">
      <c r="A181" s="3">
        <v>89</v>
      </c>
      <c r="B181" s="6">
        <v>1407231151</v>
      </c>
      <c r="C181" s="7">
        <v>14</v>
      </c>
      <c r="D181" s="7">
        <v>7</v>
      </c>
      <c r="E181" s="7">
        <v>2023</v>
      </c>
      <c r="F181" s="5">
        <v>45121</v>
      </c>
      <c r="G181" s="6" t="s">
        <v>31</v>
      </c>
      <c r="H181" s="17">
        <v>0.25235621521335805</v>
      </c>
      <c r="I181" s="3" t="str">
        <f>VLOOKUP(G181,'[1]Attributes(OUTDATED)'!$A$2:$C$19,2,FALSE)</f>
        <v>F</v>
      </c>
      <c r="J181" s="3" t="str">
        <f>VLOOKUP(G181,'[1]Attributes(OUTDATED)'!$A$2:$C$19,3,FALSE)</f>
        <v>J</v>
      </c>
      <c r="K181" s="3">
        <f>VLOOKUP(G181,'[1]Attributes(OUTDATED)'!$A$2:$H$19,8,FALSE)</f>
        <v>765</v>
      </c>
      <c r="L181" s="3" t="str">
        <f>J181&amp;I181</f>
        <v>JF</v>
      </c>
      <c r="M181" s="11">
        <v>45119</v>
      </c>
      <c r="N181" s="13">
        <v>20.5</v>
      </c>
      <c r="O181" s="13">
        <v>8.6</v>
      </c>
      <c r="P181" s="13">
        <v>0.9</v>
      </c>
      <c r="Q181" s="13">
        <f>Table24[[#This Row],[2_Temp_H]]-Table24[[#This Row],[2_Temp_L]]</f>
        <v>19.600000000000001</v>
      </c>
      <c r="R181" s="13">
        <v>15</v>
      </c>
      <c r="S181" s="13">
        <v>3.8</v>
      </c>
      <c r="T181" s="13">
        <v>1027.0899999999999</v>
      </c>
      <c r="U181" s="13">
        <v>1023.03</v>
      </c>
      <c r="V181" s="13">
        <v>0</v>
      </c>
      <c r="W181" s="13" t="s">
        <v>147</v>
      </c>
      <c r="X181" s="16" t="s">
        <v>171</v>
      </c>
      <c r="Y181" s="13" t="s">
        <v>137</v>
      </c>
      <c r="Z181" s="13" t="s">
        <v>144</v>
      </c>
      <c r="AA181" s="13" t="s">
        <v>146</v>
      </c>
      <c r="AB181" s="13" t="s">
        <v>137</v>
      </c>
      <c r="AC181" s="13">
        <f>VLOOKUP(Table24[[#This Row],[3_Elephant_ID]],'[1]Attributes(OUTDATED)'!$A$2:$N$19,12,FALSE)</f>
        <v>258</v>
      </c>
      <c r="AD181" s="13">
        <f>VLOOKUP(Table24[[#This Row],[3_Elephant_ID]],'[1]Attributes(OUTDATED)'!$A$2:$N$19,13,FALSE)</f>
        <v>0.25700000000000001</v>
      </c>
      <c r="AE181" s="13">
        <f>VLOOKUP(Table24[[#This Row],[3_Elephant_ID]],'[1]Attributes(OUTDATED)'!$A$2:$N$19,14,FALSE)</f>
        <v>0.25665547185998128</v>
      </c>
      <c r="AF181" s="13">
        <v>1</v>
      </c>
      <c r="AG181" s="13">
        <v>0</v>
      </c>
      <c r="AH181" s="13">
        <v>0</v>
      </c>
      <c r="AI181" s="13">
        <v>0</v>
      </c>
      <c r="AJ181" s="13">
        <f>VLOOKUP(Table24[[#This Row],[3_Elephant_ID]],'[1]Attributes(OUTDATED)'!$A$2:$P$19,16,FALSE)</f>
        <v>2</v>
      </c>
      <c r="AK181" s="13">
        <f>VLOOKUP(Table24[[#This Row],[3_Elephant_ID]],'[1]Attributes(OUTDATED)'!$A$2:$S$19,17,FALSE)</f>
        <v>1</v>
      </c>
      <c r="AL181" s="13">
        <f>VLOOKUP(Table24[[#This Row],[3_Elephant_ID]],'[1]Attributes(OUTDATED)'!$A$2:$S$19,18,FALSE)</f>
        <v>10</v>
      </c>
    </row>
    <row r="182" spans="1:38" ht="28" x14ac:dyDescent="0.15">
      <c r="A182" s="3">
        <v>93</v>
      </c>
      <c r="B182" s="6">
        <v>1407231118</v>
      </c>
      <c r="C182" s="7">
        <v>14</v>
      </c>
      <c r="D182" s="7">
        <v>7</v>
      </c>
      <c r="E182" s="7">
        <v>2023</v>
      </c>
      <c r="F182" s="5">
        <v>45121</v>
      </c>
      <c r="G182" s="6" t="s">
        <v>4</v>
      </c>
      <c r="H182" s="17">
        <v>0.21771897810218971</v>
      </c>
      <c r="I182" s="3" t="str">
        <f>VLOOKUP(G182,'[1]Attributes(OUTDATED)'!$A$2:$C$19,2,FALSE)</f>
        <v>M</v>
      </c>
      <c r="J182" s="3" t="str">
        <f>VLOOKUP(G182,'[1]Attributes(OUTDATED)'!$A$2:$C$19,3,FALSE)</f>
        <v>J</v>
      </c>
      <c r="K182" s="3">
        <f>VLOOKUP(G182,'[1]Attributes(OUTDATED)'!$A$2:$H$19,8,FALSE)</f>
        <v>1055</v>
      </c>
      <c r="L182" s="3" t="str">
        <f>J182&amp;I182</f>
        <v>JM</v>
      </c>
      <c r="M182" s="11">
        <v>45119</v>
      </c>
      <c r="N182" s="13">
        <v>20.5</v>
      </c>
      <c r="O182" s="13">
        <v>8.6</v>
      </c>
      <c r="P182" s="13">
        <v>0.9</v>
      </c>
      <c r="Q182" s="13">
        <f>Table24[[#This Row],[2_Temp_H]]-Table24[[#This Row],[2_Temp_L]]</f>
        <v>19.600000000000001</v>
      </c>
      <c r="R182" s="13">
        <v>15</v>
      </c>
      <c r="S182" s="13">
        <v>3.8</v>
      </c>
      <c r="T182" s="13">
        <v>1027.0899999999999</v>
      </c>
      <c r="U182" s="13">
        <v>1023.03</v>
      </c>
      <c r="V182" s="13">
        <v>0</v>
      </c>
      <c r="W182" s="13" t="s">
        <v>147</v>
      </c>
      <c r="X182" s="16" t="s">
        <v>171</v>
      </c>
      <c r="Y182" s="13" t="s">
        <v>137</v>
      </c>
      <c r="Z182" s="13" t="s">
        <v>144</v>
      </c>
      <c r="AA182" s="13" t="s">
        <v>146</v>
      </c>
      <c r="AB182" s="13" t="s">
        <v>137</v>
      </c>
      <c r="AC182" s="13">
        <f>VLOOKUP(Table24[[#This Row],[3_Elephant_ID]],'[1]Attributes(OUTDATED)'!$A$2:$N$19,12,FALSE)</f>
        <v>181</v>
      </c>
      <c r="AD182" s="13">
        <f>VLOOKUP(Table24[[#This Row],[3_Elephant_ID]],'[1]Attributes(OUTDATED)'!$A$2:$N$19,13,FALSE)</f>
        <v>7.3999999999999996E-2</v>
      </c>
      <c r="AE182" s="13">
        <f>VLOOKUP(Table24[[#This Row],[3_Elephant_ID]],'[1]Attributes(OUTDATED)'!$A$2:$N$19,14,FALSE)</f>
        <v>7.3914663535330896E-2</v>
      </c>
      <c r="AF182" s="13">
        <v>1</v>
      </c>
      <c r="AG182" s="13">
        <v>0</v>
      </c>
      <c r="AH182" s="13">
        <v>0</v>
      </c>
      <c r="AI182" s="13">
        <v>0</v>
      </c>
      <c r="AJ182" s="13">
        <f>VLOOKUP(Table24[[#This Row],[3_Elephant_ID]],'[1]Attributes(OUTDATED)'!$A$2:$P$19,16,FALSE)</f>
        <v>1</v>
      </c>
      <c r="AK182" s="13">
        <f>VLOOKUP(Table24[[#This Row],[3_Elephant_ID]],'[1]Attributes(OUTDATED)'!$A$2:$S$19,17,FALSE)</f>
        <v>7</v>
      </c>
      <c r="AL182" s="13">
        <f>VLOOKUP(Table24[[#This Row],[3_Elephant_ID]],'[1]Attributes(OUTDATED)'!$A$2:$S$19,18,FALSE)</f>
        <v>9</v>
      </c>
    </row>
    <row r="183" spans="1:38" ht="28" x14ac:dyDescent="0.15">
      <c r="A183" s="3">
        <v>92</v>
      </c>
      <c r="B183" s="6">
        <v>1407231133</v>
      </c>
      <c r="C183" s="7">
        <v>14</v>
      </c>
      <c r="D183" s="7">
        <v>7</v>
      </c>
      <c r="E183" s="7">
        <v>2023</v>
      </c>
      <c r="F183" s="5">
        <v>45121</v>
      </c>
      <c r="G183" s="6" t="s">
        <v>11</v>
      </c>
      <c r="H183" s="17">
        <v>0.24855468750000001</v>
      </c>
      <c r="I183" s="3" t="str">
        <f>VLOOKUP(G183,'[1]Attributes(OUTDATED)'!$A$2:$C$19,2,FALSE)</f>
        <v>M</v>
      </c>
      <c r="J183" s="3" t="str">
        <f>VLOOKUP(G183,'[1]Attributes(OUTDATED)'!$A$2:$C$19,3,FALSE)</f>
        <v>A</v>
      </c>
      <c r="K183" s="3">
        <f>VLOOKUP(G183,'[1]Attributes(OUTDATED)'!$A$2:$H$19,8,FALSE)</f>
        <v>1223</v>
      </c>
      <c r="L183" s="3" t="str">
        <f>J183&amp;I183</f>
        <v>AM</v>
      </c>
      <c r="M183" s="11">
        <v>45119</v>
      </c>
      <c r="N183" s="13">
        <v>20.5</v>
      </c>
      <c r="O183" s="13">
        <v>8.6</v>
      </c>
      <c r="P183" s="13">
        <v>0.9</v>
      </c>
      <c r="Q183" s="13">
        <f>Table24[[#This Row],[2_Temp_H]]-Table24[[#This Row],[2_Temp_L]]</f>
        <v>19.600000000000001</v>
      </c>
      <c r="R183" s="13">
        <v>15</v>
      </c>
      <c r="S183" s="13">
        <v>3.8</v>
      </c>
      <c r="T183" s="13">
        <v>1027.0899999999999</v>
      </c>
      <c r="U183" s="13">
        <v>1023.03</v>
      </c>
      <c r="V183" s="13">
        <v>0</v>
      </c>
      <c r="W183" s="13" t="s">
        <v>147</v>
      </c>
      <c r="X183" s="16" t="s">
        <v>171</v>
      </c>
      <c r="Y183" s="13" t="s">
        <v>137</v>
      </c>
      <c r="Z183" s="13" t="s">
        <v>144</v>
      </c>
      <c r="AA183" s="13" t="s">
        <v>146</v>
      </c>
      <c r="AB183" s="13" t="s">
        <v>137</v>
      </c>
      <c r="AC183" s="13">
        <f>VLOOKUP(Table24[[#This Row],[3_Elephant_ID]],'[1]Attributes(OUTDATED)'!$A$2:$N$19,12,FALSE)</f>
        <v>404</v>
      </c>
      <c r="AD183" s="13">
        <f>VLOOKUP(Table24[[#This Row],[3_Elephant_ID]],'[1]Attributes(OUTDATED)'!$A$2:$N$19,13,FALSE)</f>
        <v>0.91700000000000004</v>
      </c>
      <c r="AE183" s="13">
        <f>VLOOKUP(Table24[[#This Row],[3_Elephant_ID]],'[1]Attributes(OUTDATED)'!$A$2:$N$19,14,FALSE)</f>
        <v>0.91664628583929353</v>
      </c>
      <c r="AF183" s="13">
        <v>1</v>
      </c>
      <c r="AG183" s="13">
        <v>0</v>
      </c>
      <c r="AH183" s="13">
        <v>0</v>
      </c>
      <c r="AI183" s="13">
        <v>0</v>
      </c>
      <c r="AJ183" s="13">
        <f>VLOOKUP(Table24[[#This Row],[3_Elephant_ID]],'[1]Attributes(OUTDATED)'!$A$2:$P$19,16,FALSE)</f>
        <v>1</v>
      </c>
      <c r="AK183" s="13">
        <f>VLOOKUP(Table24[[#This Row],[3_Elephant_ID]],'[1]Attributes(OUTDATED)'!$A$2:$S$19,17,FALSE)</f>
        <v>14</v>
      </c>
      <c r="AL183" s="13">
        <f>VLOOKUP(Table24[[#This Row],[3_Elephant_ID]],'[1]Attributes(OUTDATED)'!$A$2:$S$19,18,FALSE)</f>
        <v>17</v>
      </c>
    </row>
    <row r="184" spans="1:38" ht="28" x14ac:dyDescent="0.15">
      <c r="A184" s="3">
        <v>90</v>
      </c>
      <c r="B184" s="6">
        <v>1407231150</v>
      </c>
      <c r="C184" s="7">
        <v>14</v>
      </c>
      <c r="D184" s="7">
        <v>7</v>
      </c>
      <c r="E184" s="7">
        <v>2023</v>
      </c>
      <c r="F184" s="5">
        <v>45121</v>
      </c>
      <c r="G184" s="6" t="s">
        <v>6</v>
      </c>
      <c r="H184" s="17">
        <v>0.33177449168207024</v>
      </c>
      <c r="I184" s="3" t="str">
        <f>VLOOKUP(G184,'[1]Attributes(OUTDATED)'!$A$2:$C$19,2,FALSE)</f>
        <v>F</v>
      </c>
      <c r="J184" s="3" t="str">
        <f>VLOOKUP(G184,'[1]Attributes(OUTDATED)'!$A$2:$C$19,3,FALSE)</f>
        <v>A</v>
      </c>
      <c r="K184" s="3">
        <f>VLOOKUP(G184,'[1]Attributes(OUTDATED)'!$A$2:$H$19,8,FALSE)</f>
        <v>1168</v>
      </c>
      <c r="L184" s="3" t="str">
        <f>J184&amp;I184</f>
        <v>AF</v>
      </c>
      <c r="M184" s="11">
        <v>45119</v>
      </c>
      <c r="N184" s="13">
        <v>20.5</v>
      </c>
      <c r="O184" s="13">
        <v>8.6</v>
      </c>
      <c r="P184" s="13">
        <v>0.9</v>
      </c>
      <c r="Q184" s="13">
        <f>Table24[[#This Row],[2_Temp_H]]-Table24[[#This Row],[2_Temp_L]]</f>
        <v>19.600000000000001</v>
      </c>
      <c r="R184" s="13">
        <v>15</v>
      </c>
      <c r="S184" s="13">
        <v>3.8</v>
      </c>
      <c r="T184" s="13">
        <v>1027.0899999999999</v>
      </c>
      <c r="U184" s="13">
        <v>1023.03</v>
      </c>
      <c r="V184" s="13">
        <v>0</v>
      </c>
      <c r="W184" s="13" t="s">
        <v>147</v>
      </c>
      <c r="X184" s="16" t="s">
        <v>171</v>
      </c>
      <c r="Y184" s="13" t="s">
        <v>137</v>
      </c>
      <c r="Z184" s="13" t="s">
        <v>144</v>
      </c>
      <c r="AA184" s="13" t="s">
        <v>146</v>
      </c>
      <c r="AB184" s="13" t="s">
        <v>137</v>
      </c>
      <c r="AC184" s="13">
        <f>VLOOKUP(Table24[[#This Row],[3_Elephant_ID]],'[1]Attributes(OUTDATED)'!$A$2:$N$19,12,FALSE)</f>
        <v>286</v>
      </c>
      <c r="AD184" s="13">
        <f>VLOOKUP(Table24[[#This Row],[3_Elephant_ID]],'[1]Attributes(OUTDATED)'!$A$2:$N$19,13,FALSE)</f>
        <v>0.26800000000000002</v>
      </c>
      <c r="AE184" s="13">
        <f>VLOOKUP(Table24[[#This Row],[3_Elephant_ID]],'[1]Attributes(OUTDATED)'!$A$2:$N$19,14,FALSE)</f>
        <v>0.26721028245328138</v>
      </c>
      <c r="AF184" s="13">
        <v>1</v>
      </c>
      <c r="AG184" s="13">
        <v>0</v>
      </c>
      <c r="AH184" s="13">
        <v>0</v>
      </c>
      <c r="AI184" s="13">
        <v>0</v>
      </c>
      <c r="AJ184" s="13">
        <f>VLOOKUP(Table24[[#This Row],[3_Elephant_ID]],'[1]Attributes(OUTDATED)'!$A$2:$P$19,16,FALSE)</f>
        <v>2</v>
      </c>
      <c r="AK184" s="13">
        <f>VLOOKUP(Table24[[#This Row],[3_Elephant_ID]],'[1]Attributes(OUTDATED)'!$A$2:$S$19,17,FALSE)</f>
        <v>12</v>
      </c>
      <c r="AL184" s="13">
        <f>VLOOKUP(Table24[[#This Row],[3_Elephant_ID]],'[1]Attributes(OUTDATED)'!$A$2:$S$19,18,FALSE)</f>
        <v>5</v>
      </c>
    </row>
    <row r="185" spans="1:38" ht="28" x14ac:dyDescent="0.15">
      <c r="A185" s="3">
        <v>91</v>
      </c>
      <c r="B185" s="6">
        <v>1407231141</v>
      </c>
      <c r="C185" s="7">
        <v>14</v>
      </c>
      <c r="D185" s="7">
        <v>7</v>
      </c>
      <c r="E185" s="7">
        <v>2023</v>
      </c>
      <c r="F185" s="5">
        <v>45121</v>
      </c>
      <c r="G185" s="6" t="s">
        <v>13</v>
      </c>
      <c r="H185" s="17">
        <v>0.13701492537313434</v>
      </c>
      <c r="I185" s="3" t="str">
        <f>VLOOKUP(G185,'[1]Attributes(OUTDATED)'!$A$2:$C$19,2,FALSE)</f>
        <v>F</v>
      </c>
      <c r="J185" s="3" t="str">
        <f>VLOOKUP(G185,'[1]Attributes(OUTDATED)'!$A$2:$C$19,3,FALSE)</f>
        <v>A</v>
      </c>
      <c r="K185" s="3">
        <f>VLOOKUP(G185,'[1]Attributes(OUTDATED)'!$A$2:$H$19,8,FALSE)</f>
        <v>963</v>
      </c>
      <c r="L185" s="3" t="str">
        <f>J185&amp;I185</f>
        <v>AF</v>
      </c>
      <c r="M185" s="11">
        <v>45119</v>
      </c>
      <c r="N185" s="13">
        <v>20.5</v>
      </c>
      <c r="O185" s="13">
        <v>8.6</v>
      </c>
      <c r="P185" s="13">
        <v>0.9</v>
      </c>
      <c r="Q185" s="13">
        <f>Table24[[#This Row],[2_Temp_H]]-Table24[[#This Row],[2_Temp_L]]</f>
        <v>19.600000000000001</v>
      </c>
      <c r="R185" s="13">
        <v>15</v>
      </c>
      <c r="S185" s="13">
        <v>3.8</v>
      </c>
      <c r="T185" s="13">
        <v>1027.0899999999999</v>
      </c>
      <c r="U185" s="13">
        <v>1023.03</v>
      </c>
      <c r="V185" s="13">
        <v>0</v>
      </c>
      <c r="W185" s="13" t="s">
        <v>147</v>
      </c>
      <c r="X185" s="16" t="s">
        <v>171</v>
      </c>
      <c r="Y185" s="13" t="s">
        <v>137</v>
      </c>
      <c r="Z185" s="13" t="s">
        <v>144</v>
      </c>
      <c r="AA185" s="13" t="s">
        <v>146</v>
      </c>
      <c r="AB185" s="13" t="s">
        <v>137</v>
      </c>
      <c r="AC185" s="13">
        <f>VLOOKUP(Table24[[#This Row],[3_Elephant_ID]],'[1]Attributes(OUTDATED)'!$A$2:$N$19,12,FALSE)</f>
        <v>289</v>
      </c>
      <c r="AD185" s="13">
        <f>VLOOKUP(Table24[[#This Row],[3_Elephant_ID]],'[1]Attributes(OUTDATED)'!$A$2:$N$19,13,FALSE)</f>
        <v>0.32400000000000001</v>
      </c>
      <c r="AE185" s="13">
        <f>VLOOKUP(Table24[[#This Row],[3_Elephant_ID]],'[1]Attributes(OUTDATED)'!$A$2:$N$19,14,FALSE)</f>
        <v>0.32380809109629533</v>
      </c>
      <c r="AF185" s="13">
        <v>1</v>
      </c>
      <c r="AG185" s="13">
        <v>1</v>
      </c>
      <c r="AH185" s="13">
        <v>0</v>
      </c>
      <c r="AI185" s="13">
        <v>1</v>
      </c>
      <c r="AJ185" s="13">
        <f>VLOOKUP(Table24[[#This Row],[3_Elephant_ID]],'[1]Attributes(OUTDATED)'!$A$2:$P$19,16,FALSE)</f>
        <v>2</v>
      </c>
      <c r="AK185" s="13">
        <f>VLOOKUP(Table24[[#This Row],[3_Elephant_ID]],'[1]Attributes(OUTDATED)'!$A$2:$S$19,17,FALSE)</f>
        <v>9</v>
      </c>
      <c r="AL185" s="13">
        <f>VLOOKUP(Table24[[#This Row],[3_Elephant_ID]],'[1]Attributes(OUTDATED)'!$A$2:$S$19,18,FALSE)</f>
        <v>9</v>
      </c>
    </row>
    <row r="186" spans="1:38" ht="28" x14ac:dyDescent="0.15">
      <c r="A186" s="3">
        <v>81</v>
      </c>
      <c r="B186" s="6">
        <v>1707231113</v>
      </c>
      <c r="C186" s="7">
        <v>17</v>
      </c>
      <c r="D186" s="7">
        <v>7</v>
      </c>
      <c r="E186" s="7">
        <v>2023</v>
      </c>
      <c r="F186" s="5">
        <v>45124</v>
      </c>
      <c r="G186" s="6" t="s">
        <v>17</v>
      </c>
      <c r="H186" s="17">
        <v>0.15077777777777779</v>
      </c>
      <c r="I186" s="3" t="str">
        <f>VLOOKUP(G186,'[1]Attributes(OUTDATED)'!$A$2:$C$19,2,FALSE)</f>
        <v>M</v>
      </c>
      <c r="J186" s="3" t="str">
        <f>VLOOKUP(G186,'[1]Attributes(OUTDATED)'!$A$2:$C$19,3,FALSE)</f>
        <v>J</v>
      </c>
      <c r="K186" s="3">
        <f>VLOOKUP(G186,'[1]Attributes(OUTDATED)'!$A$2:$H$19,8,FALSE)</f>
        <v>699</v>
      </c>
      <c r="L186" s="3" t="str">
        <f>J186&amp;I186</f>
        <v>JM</v>
      </c>
      <c r="M186" s="11">
        <v>45122</v>
      </c>
      <c r="N186" s="13">
        <v>19.600000000000001</v>
      </c>
      <c r="O186" s="13">
        <v>14.7</v>
      </c>
      <c r="P186" s="13">
        <v>7.5</v>
      </c>
      <c r="Q186" s="13">
        <f>Table24[[#This Row],[2_Temp_H]]-Table24[[#This Row],[2_Temp_L]]</f>
        <v>12.100000000000001</v>
      </c>
      <c r="R186" s="13">
        <v>29.8</v>
      </c>
      <c r="S186" s="13">
        <v>9.4</v>
      </c>
      <c r="T186" s="13">
        <v>1014.9</v>
      </c>
      <c r="U186" s="13">
        <v>1010.84</v>
      </c>
      <c r="V186" s="13">
        <v>0</v>
      </c>
      <c r="W186" s="13" t="s">
        <v>147</v>
      </c>
      <c r="X186" s="13" t="s">
        <v>139</v>
      </c>
      <c r="Y186" s="13" t="s">
        <v>26</v>
      </c>
      <c r="Z186" s="13" t="s">
        <v>144</v>
      </c>
      <c r="AA186" s="13" t="s">
        <v>146</v>
      </c>
      <c r="AB186" s="13" t="s">
        <v>137</v>
      </c>
      <c r="AC186" s="13">
        <f>VLOOKUP(Table24[[#This Row],[3_Elephant_ID]],'[1]Attributes(OUTDATED)'!$A$2:$N$19,12,FALSE)</f>
        <v>343</v>
      </c>
      <c r="AD186" s="13">
        <f>VLOOKUP(Table24[[#This Row],[3_Elephant_ID]],'[1]Attributes(OUTDATED)'!$A$2:$N$19,13,FALSE)</f>
        <v>0.81</v>
      </c>
      <c r="AE186" s="13">
        <f>VLOOKUP(Table24[[#This Row],[3_Elephant_ID]],'[1]Attributes(OUTDATED)'!$A$2:$N$19,14,FALSE)</f>
        <v>0.80966774571167055</v>
      </c>
      <c r="AF186" s="13">
        <v>0</v>
      </c>
      <c r="AG186" s="13">
        <v>0</v>
      </c>
      <c r="AH186" s="13">
        <v>0</v>
      </c>
      <c r="AI186" s="13">
        <v>0</v>
      </c>
      <c r="AJ186" s="13">
        <f>VLOOKUP(Table24[[#This Row],[3_Elephant_ID]],'[1]Attributes(OUTDATED)'!$A$2:$P$19,16,FALSE)</f>
        <v>1</v>
      </c>
      <c r="AK186" s="13">
        <f>VLOOKUP(Table24[[#This Row],[3_Elephant_ID]],'[1]Attributes(OUTDATED)'!$A$2:$S$19,17,FALSE)</f>
        <v>0</v>
      </c>
      <c r="AL186" s="13">
        <f>VLOOKUP(Table24[[#This Row],[3_Elephant_ID]],'[1]Attributes(OUTDATED)'!$A$2:$S$19,18,FALSE)</f>
        <v>8</v>
      </c>
    </row>
    <row r="187" spans="1:38" ht="28" x14ac:dyDescent="0.15">
      <c r="A187" s="3">
        <v>84</v>
      </c>
      <c r="B187" s="6">
        <v>1707231236</v>
      </c>
      <c r="C187" s="7">
        <v>17</v>
      </c>
      <c r="D187" s="7">
        <v>7</v>
      </c>
      <c r="E187" s="7">
        <v>2023</v>
      </c>
      <c r="F187" s="5">
        <v>45124</v>
      </c>
      <c r="G187" s="6" t="s">
        <v>31</v>
      </c>
      <c r="H187" s="17">
        <v>0.18648956356736246</v>
      </c>
      <c r="I187" s="3" t="str">
        <f>VLOOKUP(G187,'[1]Attributes(OUTDATED)'!$A$2:$C$19,2,FALSE)</f>
        <v>F</v>
      </c>
      <c r="J187" s="3" t="str">
        <f>VLOOKUP(G187,'[1]Attributes(OUTDATED)'!$A$2:$C$19,3,FALSE)</f>
        <v>J</v>
      </c>
      <c r="K187" s="3">
        <f>VLOOKUP(G187,'[1]Attributes(OUTDATED)'!$A$2:$H$19,8,FALSE)</f>
        <v>765</v>
      </c>
      <c r="L187" s="3" t="str">
        <f>J187&amp;I187</f>
        <v>JF</v>
      </c>
      <c r="M187" s="11">
        <v>45122</v>
      </c>
      <c r="N187" s="13">
        <v>19.600000000000001</v>
      </c>
      <c r="O187" s="13">
        <v>14.7</v>
      </c>
      <c r="P187" s="13">
        <v>7.5</v>
      </c>
      <c r="Q187" s="13">
        <f>Table24[[#This Row],[2_Temp_H]]-Table24[[#This Row],[2_Temp_L]]</f>
        <v>12.100000000000001</v>
      </c>
      <c r="R187" s="13">
        <v>29.8</v>
      </c>
      <c r="S187" s="13">
        <v>9.4</v>
      </c>
      <c r="T187" s="13">
        <v>1014.9</v>
      </c>
      <c r="U187" s="13">
        <v>1010.84</v>
      </c>
      <c r="V187" s="13">
        <v>0</v>
      </c>
      <c r="W187" s="13" t="s">
        <v>147</v>
      </c>
      <c r="X187" s="13" t="s">
        <v>139</v>
      </c>
      <c r="Y187" s="13" t="s">
        <v>26</v>
      </c>
      <c r="Z187" s="13" t="s">
        <v>144</v>
      </c>
      <c r="AA187" s="13" t="s">
        <v>146</v>
      </c>
      <c r="AB187" s="13" t="s">
        <v>137</v>
      </c>
      <c r="AC187" s="13">
        <f>VLOOKUP(Table24[[#This Row],[3_Elephant_ID]],'[1]Attributes(OUTDATED)'!$A$2:$N$19,12,FALSE)</f>
        <v>258</v>
      </c>
      <c r="AD187" s="13">
        <f>VLOOKUP(Table24[[#This Row],[3_Elephant_ID]],'[1]Attributes(OUTDATED)'!$A$2:$N$19,13,FALSE)</f>
        <v>0.25700000000000001</v>
      </c>
      <c r="AE187" s="13">
        <f>VLOOKUP(Table24[[#This Row],[3_Elephant_ID]],'[1]Attributes(OUTDATED)'!$A$2:$N$19,14,FALSE)</f>
        <v>0.25665547185998128</v>
      </c>
      <c r="AF187" s="13">
        <v>0</v>
      </c>
      <c r="AG187" s="13">
        <v>0</v>
      </c>
      <c r="AH187" s="13">
        <v>0</v>
      </c>
      <c r="AI187" s="13">
        <v>0</v>
      </c>
      <c r="AJ187" s="13">
        <f>VLOOKUP(Table24[[#This Row],[3_Elephant_ID]],'[1]Attributes(OUTDATED)'!$A$2:$P$19,16,FALSE)</f>
        <v>2</v>
      </c>
      <c r="AK187" s="13">
        <f>VLOOKUP(Table24[[#This Row],[3_Elephant_ID]],'[1]Attributes(OUTDATED)'!$A$2:$S$19,17,FALSE)</f>
        <v>1</v>
      </c>
      <c r="AL187" s="13">
        <f>VLOOKUP(Table24[[#This Row],[3_Elephant_ID]],'[1]Attributes(OUTDATED)'!$A$2:$S$19,18,FALSE)</f>
        <v>10</v>
      </c>
    </row>
    <row r="188" spans="1:38" ht="28" x14ac:dyDescent="0.15">
      <c r="A188" s="3">
        <v>88</v>
      </c>
      <c r="B188" s="6">
        <v>1707231151</v>
      </c>
      <c r="C188" s="7">
        <v>17</v>
      </c>
      <c r="D188" s="7">
        <v>7</v>
      </c>
      <c r="E188" s="7">
        <v>2023</v>
      </c>
      <c r="F188" s="5">
        <v>45124</v>
      </c>
      <c r="G188" s="6" t="s">
        <v>11</v>
      </c>
      <c r="H188" s="17">
        <v>0.23169847328244272</v>
      </c>
      <c r="I188" s="3" t="str">
        <f>VLOOKUP(G188,'[1]Attributes(OUTDATED)'!$A$2:$C$19,2,FALSE)</f>
        <v>M</v>
      </c>
      <c r="J188" s="3" t="str">
        <f>VLOOKUP(G188,'[1]Attributes(OUTDATED)'!$A$2:$C$19,3,FALSE)</f>
        <v>A</v>
      </c>
      <c r="K188" s="3">
        <f>VLOOKUP(G188,'[1]Attributes(OUTDATED)'!$A$2:$H$19,8,FALSE)</f>
        <v>1223</v>
      </c>
      <c r="L188" s="3" t="str">
        <f>J188&amp;I188</f>
        <v>AM</v>
      </c>
      <c r="M188" s="11">
        <v>45122</v>
      </c>
      <c r="N188" s="13">
        <v>19.600000000000001</v>
      </c>
      <c r="O188" s="13">
        <v>14.7</v>
      </c>
      <c r="P188" s="13">
        <v>7.5</v>
      </c>
      <c r="Q188" s="13">
        <f>Table24[[#This Row],[2_Temp_H]]-Table24[[#This Row],[2_Temp_L]]</f>
        <v>12.100000000000001</v>
      </c>
      <c r="R188" s="13">
        <v>29.8</v>
      </c>
      <c r="S188" s="13">
        <v>9.4</v>
      </c>
      <c r="T188" s="13">
        <v>1014.9</v>
      </c>
      <c r="U188" s="13">
        <v>1010.84</v>
      </c>
      <c r="V188" s="13">
        <v>0</v>
      </c>
      <c r="W188" s="13" t="s">
        <v>147</v>
      </c>
      <c r="X188" s="13" t="s">
        <v>139</v>
      </c>
      <c r="Y188" s="13" t="s">
        <v>26</v>
      </c>
      <c r="Z188" s="13" t="s">
        <v>144</v>
      </c>
      <c r="AA188" s="13" t="s">
        <v>146</v>
      </c>
      <c r="AB188" s="13" t="s">
        <v>137</v>
      </c>
      <c r="AC188" s="13">
        <f>VLOOKUP(Table24[[#This Row],[3_Elephant_ID]],'[1]Attributes(OUTDATED)'!$A$2:$N$19,12,FALSE)</f>
        <v>404</v>
      </c>
      <c r="AD188" s="13">
        <f>VLOOKUP(Table24[[#This Row],[3_Elephant_ID]],'[1]Attributes(OUTDATED)'!$A$2:$N$19,13,FALSE)</f>
        <v>0.91700000000000004</v>
      </c>
      <c r="AE188" s="13">
        <f>VLOOKUP(Table24[[#This Row],[3_Elephant_ID]],'[1]Attributes(OUTDATED)'!$A$2:$N$19,14,FALSE)</f>
        <v>0.91664628583929353</v>
      </c>
      <c r="AF188" s="13">
        <v>0</v>
      </c>
      <c r="AG188" s="13">
        <v>0</v>
      </c>
      <c r="AH188" s="13">
        <v>0</v>
      </c>
      <c r="AI188" s="13">
        <v>0</v>
      </c>
      <c r="AJ188" s="13">
        <f>VLOOKUP(Table24[[#This Row],[3_Elephant_ID]],'[1]Attributes(OUTDATED)'!$A$2:$P$19,16,FALSE)</f>
        <v>1</v>
      </c>
      <c r="AK188" s="13">
        <f>VLOOKUP(Table24[[#This Row],[3_Elephant_ID]],'[1]Attributes(OUTDATED)'!$A$2:$S$19,17,FALSE)</f>
        <v>14</v>
      </c>
      <c r="AL188" s="13">
        <f>VLOOKUP(Table24[[#This Row],[3_Elephant_ID]],'[1]Attributes(OUTDATED)'!$A$2:$S$19,18,FALSE)</f>
        <v>17</v>
      </c>
    </row>
    <row r="189" spans="1:38" ht="28" x14ac:dyDescent="0.15">
      <c r="A189" s="3">
        <v>82</v>
      </c>
      <c r="B189" s="6">
        <v>1707231143</v>
      </c>
      <c r="C189" s="7">
        <v>17</v>
      </c>
      <c r="D189" s="7">
        <v>7</v>
      </c>
      <c r="E189" s="7">
        <v>2023</v>
      </c>
      <c r="F189" s="5">
        <v>45124</v>
      </c>
      <c r="G189" s="6" t="s">
        <v>8</v>
      </c>
      <c r="H189" s="17">
        <v>0.33381404174573059</v>
      </c>
      <c r="I189" s="3" t="str">
        <f>VLOOKUP(G189,'[1]Attributes(OUTDATED)'!$A$2:$C$19,2,FALSE)</f>
        <v>F</v>
      </c>
      <c r="J189" s="3" t="str">
        <f>VLOOKUP(G189,'[1]Attributes(OUTDATED)'!$A$2:$C$19,3,FALSE)</f>
        <v>A</v>
      </c>
      <c r="K189" s="3">
        <f>VLOOKUP(G189,'[1]Attributes(OUTDATED)'!$A$2:$H$19,8,FALSE)</f>
        <v>1096</v>
      </c>
      <c r="L189" s="3" t="str">
        <f>J189&amp;I189</f>
        <v>AF</v>
      </c>
      <c r="M189" s="11">
        <v>45122</v>
      </c>
      <c r="N189" s="13">
        <v>19.600000000000001</v>
      </c>
      <c r="O189" s="13">
        <v>14.7</v>
      </c>
      <c r="P189" s="13">
        <v>7.5</v>
      </c>
      <c r="Q189" s="13">
        <f>Table24[[#This Row],[2_Temp_H]]-Table24[[#This Row],[2_Temp_L]]</f>
        <v>12.100000000000001</v>
      </c>
      <c r="R189" s="13">
        <v>29.8</v>
      </c>
      <c r="S189" s="13">
        <v>9.4</v>
      </c>
      <c r="T189" s="13">
        <v>1014.9</v>
      </c>
      <c r="U189" s="13">
        <v>1010.84</v>
      </c>
      <c r="V189" s="13">
        <v>0</v>
      </c>
      <c r="W189" s="13" t="s">
        <v>147</v>
      </c>
      <c r="X189" s="13" t="s">
        <v>139</v>
      </c>
      <c r="Y189" s="13" t="s">
        <v>26</v>
      </c>
      <c r="Z189" s="13" t="s">
        <v>144</v>
      </c>
      <c r="AA189" s="13" t="s">
        <v>146</v>
      </c>
      <c r="AB189" s="13" t="s">
        <v>137</v>
      </c>
      <c r="AC189" s="13">
        <f>VLOOKUP(Table24[[#This Row],[3_Elephant_ID]],'[1]Attributes(OUTDATED)'!$A$2:$N$19,12,FALSE)</f>
        <v>346</v>
      </c>
      <c r="AD189" s="13">
        <f>VLOOKUP(Table24[[#This Row],[3_Elephant_ID]],'[1]Attributes(OUTDATED)'!$A$2:$N$19,13,FALSE)</f>
        <v>0.28999999999999998</v>
      </c>
      <c r="AE189" s="13">
        <f>VLOOKUP(Table24[[#This Row],[3_Elephant_ID]],'[1]Attributes(OUTDATED)'!$A$2:$N$19,14,FALSE)</f>
        <v>0.28929989906834258</v>
      </c>
      <c r="AF189" s="13">
        <v>0</v>
      </c>
      <c r="AG189" s="13">
        <v>0</v>
      </c>
      <c r="AH189" s="13">
        <v>0</v>
      </c>
      <c r="AI189" s="13">
        <v>0</v>
      </c>
      <c r="AJ189" s="13">
        <f>VLOOKUP(Table24[[#This Row],[3_Elephant_ID]],'[1]Attributes(OUTDATED)'!$A$2:$P$19,16,FALSE)</f>
        <v>1</v>
      </c>
      <c r="AK189" s="13">
        <f>VLOOKUP(Table24[[#This Row],[3_Elephant_ID]],'[1]Attributes(OUTDATED)'!$A$2:$S$19,17,FALSE)</f>
        <v>11</v>
      </c>
      <c r="AL189" s="13">
        <f>VLOOKUP(Table24[[#This Row],[3_Elephant_ID]],'[1]Attributes(OUTDATED)'!$A$2:$S$19,18,FALSE)</f>
        <v>7</v>
      </c>
    </row>
    <row r="190" spans="1:38" ht="28" x14ac:dyDescent="0.15">
      <c r="A190" s="3">
        <v>87</v>
      </c>
      <c r="B190" s="6">
        <v>1707231226</v>
      </c>
      <c r="C190" s="7">
        <v>17</v>
      </c>
      <c r="D190" s="7">
        <v>7</v>
      </c>
      <c r="E190" s="7">
        <v>2023</v>
      </c>
      <c r="F190" s="5">
        <v>45124</v>
      </c>
      <c r="G190" s="6" t="s">
        <v>9</v>
      </c>
      <c r="H190" s="17">
        <v>0.33332061068702284</v>
      </c>
      <c r="I190" s="3" t="str">
        <f>VLOOKUP(G190,'[1]Attributes(OUTDATED)'!$A$2:$C$19,2,FALSE)</f>
        <v>F</v>
      </c>
      <c r="J190" s="3" t="str">
        <f>VLOOKUP(G190,'[1]Attributes(OUTDATED)'!$A$2:$C$19,3,FALSE)</f>
        <v>J</v>
      </c>
      <c r="K190" s="3">
        <f>VLOOKUP(G190,'[1]Attributes(OUTDATED)'!$A$2:$H$19,8,FALSE)</f>
        <v>820</v>
      </c>
      <c r="L190" s="3" t="str">
        <f>J190&amp;I190</f>
        <v>JF</v>
      </c>
      <c r="M190" s="11">
        <v>45122</v>
      </c>
      <c r="N190" s="13">
        <v>19.600000000000001</v>
      </c>
      <c r="O190" s="13">
        <v>14.7</v>
      </c>
      <c r="P190" s="13">
        <v>7.5</v>
      </c>
      <c r="Q190" s="13">
        <f>Table24[[#This Row],[2_Temp_H]]-Table24[[#This Row],[2_Temp_L]]</f>
        <v>12.100000000000001</v>
      </c>
      <c r="R190" s="13">
        <v>29.8</v>
      </c>
      <c r="S190" s="13">
        <v>9.4</v>
      </c>
      <c r="T190" s="13">
        <v>1014.9</v>
      </c>
      <c r="U190" s="13">
        <v>1010.84</v>
      </c>
      <c r="V190" s="13">
        <v>0</v>
      </c>
      <c r="W190" s="13" t="s">
        <v>147</v>
      </c>
      <c r="X190" s="13" t="s">
        <v>139</v>
      </c>
      <c r="Y190" s="13" t="s">
        <v>26</v>
      </c>
      <c r="Z190" s="13" t="s">
        <v>144</v>
      </c>
      <c r="AA190" s="13" t="s">
        <v>146</v>
      </c>
      <c r="AB190" s="13" t="s">
        <v>137</v>
      </c>
      <c r="AC190" s="13">
        <f>VLOOKUP(Table24[[#This Row],[3_Elephant_ID]],'[1]Attributes(OUTDATED)'!$A$2:$N$19,12,FALSE)</f>
        <v>305</v>
      </c>
      <c r="AD190" s="13">
        <f>VLOOKUP(Table24[[#This Row],[3_Elephant_ID]],'[1]Attributes(OUTDATED)'!$A$2:$N$19,13,FALSE)</f>
        <v>0.17499999999999999</v>
      </c>
      <c r="AE190" s="13">
        <f>VLOOKUP(Table24[[#This Row],[3_Elephant_ID]],'[1]Attributes(OUTDATED)'!$A$2:$N$19,14,FALSE)</f>
        <v>0.17467336145108631</v>
      </c>
      <c r="AF190" s="13">
        <v>0</v>
      </c>
      <c r="AG190" s="13">
        <v>0</v>
      </c>
      <c r="AH190" s="13">
        <v>0</v>
      </c>
      <c r="AI190" s="13">
        <v>0</v>
      </c>
      <c r="AJ190" s="13">
        <f>VLOOKUP(Table24[[#This Row],[3_Elephant_ID]],'[1]Attributes(OUTDATED)'!$A$2:$P$19,16,FALSE)</f>
        <v>2</v>
      </c>
      <c r="AK190" s="13">
        <f>VLOOKUP(Table24[[#This Row],[3_Elephant_ID]],'[1]Attributes(OUTDATED)'!$A$2:$S$19,17,FALSE)</f>
        <v>0</v>
      </c>
      <c r="AL190" s="13">
        <f>VLOOKUP(Table24[[#This Row],[3_Elephant_ID]],'[1]Attributes(OUTDATED)'!$A$2:$S$19,18,FALSE)</f>
        <v>4</v>
      </c>
    </row>
    <row r="191" spans="1:38" ht="28" x14ac:dyDescent="0.15">
      <c r="A191" s="3">
        <v>80</v>
      </c>
      <c r="B191" s="6">
        <v>1707231053</v>
      </c>
      <c r="C191" s="7">
        <v>17</v>
      </c>
      <c r="D191" s="7">
        <v>7</v>
      </c>
      <c r="E191" s="7">
        <v>2023</v>
      </c>
      <c r="F191" s="5">
        <v>45124</v>
      </c>
      <c r="G191" s="6" t="s">
        <v>12</v>
      </c>
      <c r="H191" s="17">
        <v>0.32922794117647058</v>
      </c>
      <c r="I191" s="3" t="str">
        <f>VLOOKUP(G191,'[1]Attributes(OUTDATED)'!$A$2:$C$19,2,FALSE)</f>
        <v>M</v>
      </c>
      <c r="J191" s="3" t="str">
        <f>VLOOKUP(G191,'[1]Attributes(OUTDATED)'!$A$2:$C$19,3,FALSE)</f>
        <v>A</v>
      </c>
      <c r="K191" s="3">
        <f>VLOOKUP(G191,'[1]Attributes(OUTDATED)'!$A$2:$H$19,8,FALSE)</f>
        <v>1509</v>
      </c>
      <c r="L191" s="3" t="str">
        <f>J191&amp;I191</f>
        <v>AM</v>
      </c>
      <c r="M191" s="11">
        <v>45122</v>
      </c>
      <c r="N191" s="13">
        <v>19.600000000000001</v>
      </c>
      <c r="O191" s="13">
        <v>14.7</v>
      </c>
      <c r="P191" s="13">
        <v>7.5</v>
      </c>
      <c r="Q191" s="13">
        <f>Table24[[#This Row],[2_Temp_H]]-Table24[[#This Row],[2_Temp_L]]</f>
        <v>12.100000000000001</v>
      </c>
      <c r="R191" s="13">
        <v>29.8</v>
      </c>
      <c r="S191" s="13">
        <v>9.4</v>
      </c>
      <c r="T191" s="13">
        <v>1014.9</v>
      </c>
      <c r="U191" s="13">
        <v>1010.84</v>
      </c>
      <c r="V191" s="13">
        <v>0</v>
      </c>
      <c r="W191" s="13" t="s">
        <v>147</v>
      </c>
      <c r="X191" s="13" t="s">
        <v>139</v>
      </c>
      <c r="Y191" s="13" t="s">
        <v>26</v>
      </c>
      <c r="Z191" s="13" t="s">
        <v>144</v>
      </c>
      <c r="AA191" s="13" t="s">
        <v>146</v>
      </c>
      <c r="AB191" s="13" t="s">
        <v>137</v>
      </c>
      <c r="AC191" s="13">
        <f>VLOOKUP(Table24[[#This Row],[3_Elephant_ID]],'[1]Attributes(OUTDATED)'!$A$2:$N$19,12,FALSE)</f>
        <v>450</v>
      </c>
      <c r="AD191" s="13">
        <f>VLOOKUP(Table24[[#This Row],[3_Elephant_ID]],'[1]Attributes(OUTDATED)'!$A$2:$N$19,13,FALSE)</f>
        <v>0.375</v>
      </c>
      <c r="AE191" s="13">
        <f>VLOOKUP(Table24[[#This Row],[3_Elephant_ID]],'[1]Attributes(OUTDATED)'!$A$2:$N$19,14,FALSE)</f>
        <v>0.37414375430996583</v>
      </c>
      <c r="AF191" s="13">
        <v>0</v>
      </c>
      <c r="AG191" s="13">
        <v>0</v>
      </c>
      <c r="AH191" s="13">
        <v>0</v>
      </c>
      <c r="AI191" s="13">
        <v>0</v>
      </c>
      <c r="AJ191" s="13">
        <f>VLOOKUP(Table24[[#This Row],[3_Elephant_ID]],'[1]Attributes(OUTDATED)'!$A$2:$P$19,16,FALSE)</f>
        <v>1</v>
      </c>
      <c r="AK191" s="13">
        <f>VLOOKUP(Table24[[#This Row],[3_Elephant_ID]],'[1]Attributes(OUTDATED)'!$A$2:$S$19,17,FALSE)</f>
        <v>48</v>
      </c>
      <c r="AL191" s="13">
        <f>VLOOKUP(Table24[[#This Row],[3_Elephant_ID]],'[1]Attributes(OUTDATED)'!$A$2:$S$19,18,FALSE)</f>
        <v>3</v>
      </c>
    </row>
    <row r="192" spans="1:38" ht="28" x14ac:dyDescent="0.15">
      <c r="A192" s="3">
        <v>86</v>
      </c>
      <c r="B192" s="6">
        <v>1707231217</v>
      </c>
      <c r="C192" s="7">
        <v>17</v>
      </c>
      <c r="D192" s="7">
        <v>7</v>
      </c>
      <c r="E192" s="7">
        <v>2023</v>
      </c>
      <c r="F192" s="5">
        <v>45124</v>
      </c>
      <c r="G192" s="6" t="s">
        <v>6</v>
      </c>
      <c r="H192" s="17">
        <v>0.28635338345864664</v>
      </c>
      <c r="I192" s="3" t="str">
        <f>VLOOKUP(G192,'[1]Attributes(OUTDATED)'!$A$2:$C$19,2,FALSE)</f>
        <v>F</v>
      </c>
      <c r="J192" s="3" t="str">
        <f>VLOOKUP(G192,'[1]Attributes(OUTDATED)'!$A$2:$C$19,3,FALSE)</f>
        <v>A</v>
      </c>
      <c r="K192" s="3">
        <f>VLOOKUP(G192,'[1]Attributes(OUTDATED)'!$A$2:$H$19,8,FALSE)</f>
        <v>1168</v>
      </c>
      <c r="L192" s="3" t="str">
        <f>J192&amp;I192</f>
        <v>AF</v>
      </c>
      <c r="M192" s="11">
        <v>45122</v>
      </c>
      <c r="N192" s="13">
        <v>19.600000000000001</v>
      </c>
      <c r="O192" s="13">
        <v>14.7</v>
      </c>
      <c r="P192" s="13">
        <v>7.5</v>
      </c>
      <c r="Q192" s="13">
        <f>Table24[[#This Row],[2_Temp_H]]-Table24[[#This Row],[2_Temp_L]]</f>
        <v>12.100000000000001</v>
      </c>
      <c r="R192" s="13">
        <v>29.8</v>
      </c>
      <c r="S192" s="13">
        <v>9.4</v>
      </c>
      <c r="T192" s="13">
        <v>1014.9</v>
      </c>
      <c r="U192" s="13">
        <v>1010.84</v>
      </c>
      <c r="V192" s="13">
        <v>0</v>
      </c>
      <c r="W192" s="13" t="s">
        <v>147</v>
      </c>
      <c r="X192" s="13" t="s">
        <v>139</v>
      </c>
      <c r="Y192" s="13" t="s">
        <v>26</v>
      </c>
      <c r="Z192" s="13" t="s">
        <v>144</v>
      </c>
      <c r="AA192" s="13" t="s">
        <v>146</v>
      </c>
      <c r="AB192" s="13" t="s">
        <v>137</v>
      </c>
      <c r="AC192" s="13">
        <f>VLOOKUP(Table24[[#This Row],[3_Elephant_ID]],'[1]Attributes(OUTDATED)'!$A$2:$N$19,12,FALSE)</f>
        <v>286</v>
      </c>
      <c r="AD192" s="13">
        <f>VLOOKUP(Table24[[#This Row],[3_Elephant_ID]],'[1]Attributes(OUTDATED)'!$A$2:$N$19,13,FALSE)</f>
        <v>0.26800000000000002</v>
      </c>
      <c r="AE192" s="13">
        <f>VLOOKUP(Table24[[#This Row],[3_Elephant_ID]],'[1]Attributes(OUTDATED)'!$A$2:$N$19,14,FALSE)</f>
        <v>0.26721028245328138</v>
      </c>
      <c r="AF192" s="13">
        <v>0</v>
      </c>
      <c r="AG192" s="13">
        <v>0</v>
      </c>
      <c r="AH192" s="13">
        <v>0</v>
      </c>
      <c r="AI192" s="13">
        <v>0</v>
      </c>
      <c r="AJ192" s="13">
        <f>VLOOKUP(Table24[[#This Row],[3_Elephant_ID]],'[1]Attributes(OUTDATED)'!$A$2:$P$19,16,FALSE)</f>
        <v>2</v>
      </c>
      <c r="AK192" s="13">
        <f>VLOOKUP(Table24[[#This Row],[3_Elephant_ID]],'[1]Attributes(OUTDATED)'!$A$2:$S$19,17,FALSE)</f>
        <v>12</v>
      </c>
      <c r="AL192" s="13">
        <f>VLOOKUP(Table24[[#This Row],[3_Elephant_ID]],'[1]Attributes(OUTDATED)'!$A$2:$S$19,18,FALSE)</f>
        <v>5</v>
      </c>
    </row>
    <row r="193" spans="1:38" ht="28" x14ac:dyDescent="0.15">
      <c r="A193" s="3">
        <v>85</v>
      </c>
      <c r="B193" s="6">
        <v>1707231235</v>
      </c>
      <c r="C193" s="7">
        <v>17</v>
      </c>
      <c r="D193" s="7">
        <v>7</v>
      </c>
      <c r="E193" s="7">
        <v>2023</v>
      </c>
      <c r="F193" s="5">
        <v>45124</v>
      </c>
      <c r="G193" s="6" t="s">
        <v>13</v>
      </c>
      <c r="H193" s="17">
        <v>0.23491428571428571</v>
      </c>
      <c r="I193" s="3" t="str">
        <f>VLOOKUP(G193,'[1]Attributes(OUTDATED)'!$A$2:$C$19,2,FALSE)</f>
        <v>F</v>
      </c>
      <c r="J193" s="3" t="str">
        <f>VLOOKUP(G193,'[1]Attributes(OUTDATED)'!$A$2:$C$19,3,FALSE)</f>
        <v>A</v>
      </c>
      <c r="K193" s="3">
        <f>VLOOKUP(G193,'[1]Attributes(OUTDATED)'!$A$2:$H$19,8,FALSE)</f>
        <v>963</v>
      </c>
      <c r="L193" s="3" t="str">
        <f>J193&amp;I193</f>
        <v>AF</v>
      </c>
      <c r="M193" s="11">
        <v>45122</v>
      </c>
      <c r="N193" s="13">
        <v>19.600000000000001</v>
      </c>
      <c r="O193" s="13">
        <v>14.7</v>
      </c>
      <c r="P193" s="13">
        <v>7.5</v>
      </c>
      <c r="Q193" s="13">
        <f>Table24[[#This Row],[2_Temp_H]]-Table24[[#This Row],[2_Temp_L]]</f>
        <v>12.100000000000001</v>
      </c>
      <c r="R193" s="13">
        <v>29.8</v>
      </c>
      <c r="S193" s="13">
        <v>9.4</v>
      </c>
      <c r="T193" s="13">
        <v>1014.9</v>
      </c>
      <c r="U193" s="13">
        <v>1010.84</v>
      </c>
      <c r="V193" s="13">
        <v>0</v>
      </c>
      <c r="W193" s="13" t="s">
        <v>147</v>
      </c>
      <c r="X193" s="13" t="s">
        <v>139</v>
      </c>
      <c r="Y193" s="13" t="s">
        <v>26</v>
      </c>
      <c r="Z193" s="13" t="s">
        <v>144</v>
      </c>
      <c r="AA193" s="13" t="s">
        <v>146</v>
      </c>
      <c r="AB193" s="13" t="s">
        <v>137</v>
      </c>
      <c r="AC193" s="13">
        <f>VLOOKUP(Table24[[#This Row],[3_Elephant_ID]],'[1]Attributes(OUTDATED)'!$A$2:$N$19,12,FALSE)</f>
        <v>289</v>
      </c>
      <c r="AD193" s="13">
        <f>VLOOKUP(Table24[[#This Row],[3_Elephant_ID]],'[1]Attributes(OUTDATED)'!$A$2:$N$19,13,FALSE)</f>
        <v>0.32400000000000001</v>
      </c>
      <c r="AE193" s="13">
        <f>VLOOKUP(Table24[[#This Row],[3_Elephant_ID]],'[1]Attributes(OUTDATED)'!$A$2:$N$19,14,FALSE)</f>
        <v>0.32380809109629533</v>
      </c>
      <c r="AF193" s="13">
        <v>0</v>
      </c>
      <c r="AG193" s="13">
        <v>0</v>
      </c>
      <c r="AH193" s="13">
        <v>0</v>
      </c>
      <c r="AI193" s="13">
        <v>0</v>
      </c>
      <c r="AJ193" s="13">
        <f>VLOOKUP(Table24[[#This Row],[3_Elephant_ID]],'[1]Attributes(OUTDATED)'!$A$2:$P$19,16,FALSE)</f>
        <v>2</v>
      </c>
      <c r="AK193" s="13">
        <f>VLOOKUP(Table24[[#This Row],[3_Elephant_ID]],'[1]Attributes(OUTDATED)'!$A$2:$S$19,17,FALSE)</f>
        <v>9</v>
      </c>
      <c r="AL193" s="13">
        <f>VLOOKUP(Table24[[#This Row],[3_Elephant_ID]],'[1]Attributes(OUTDATED)'!$A$2:$S$19,18,FALSE)</f>
        <v>9</v>
      </c>
    </row>
    <row r="194" spans="1:38" ht="28" x14ac:dyDescent="0.15">
      <c r="A194" s="3">
        <v>83</v>
      </c>
      <c r="B194" s="6">
        <v>1707231152</v>
      </c>
      <c r="C194" s="7">
        <v>17</v>
      </c>
      <c r="D194" s="7">
        <v>7</v>
      </c>
      <c r="E194" s="7">
        <v>2023</v>
      </c>
      <c r="F194" s="5">
        <v>45124</v>
      </c>
      <c r="G194" s="6" t="s">
        <v>15</v>
      </c>
      <c r="H194" s="17">
        <v>0.25896810506566603</v>
      </c>
      <c r="I194" s="3" t="str">
        <f>VLOOKUP(G194,'[1]Attributes(OUTDATED)'!$A$2:$C$19,2,FALSE)</f>
        <v>M</v>
      </c>
      <c r="J194" s="3" t="str">
        <f>VLOOKUP(G194,'[1]Attributes(OUTDATED)'!$A$2:$C$19,3,FALSE)</f>
        <v>J</v>
      </c>
      <c r="K194" s="3">
        <f>VLOOKUP(G194,'[1]Attributes(OUTDATED)'!$A$2:$H$19,8,FALSE)</f>
        <v>828</v>
      </c>
      <c r="L194" s="3" t="str">
        <f>J194&amp;I194</f>
        <v>JM</v>
      </c>
      <c r="M194" s="11">
        <v>45122</v>
      </c>
      <c r="N194" s="13">
        <v>19.600000000000001</v>
      </c>
      <c r="O194" s="13">
        <v>14.7</v>
      </c>
      <c r="P194" s="13">
        <v>7.5</v>
      </c>
      <c r="Q194" s="13">
        <f>Table24[[#This Row],[2_Temp_H]]-Table24[[#This Row],[2_Temp_L]]</f>
        <v>12.100000000000001</v>
      </c>
      <c r="R194" s="13">
        <v>29.8</v>
      </c>
      <c r="S194" s="13">
        <v>9.4</v>
      </c>
      <c r="T194" s="13">
        <v>1014.9</v>
      </c>
      <c r="U194" s="13">
        <v>1010.84</v>
      </c>
      <c r="V194" s="13">
        <v>0</v>
      </c>
      <c r="W194" s="13" t="s">
        <v>147</v>
      </c>
      <c r="X194" s="13" t="s">
        <v>139</v>
      </c>
      <c r="Y194" s="13" t="s">
        <v>26</v>
      </c>
      <c r="Z194" s="13" t="s">
        <v>144</v>
      </c>
      <c r="AA194" s="13" t="s">
        <v>146</v>
      </c>
      <c r="AB194" s="13" t="s">
        <v>137</v>
      </c>
      <c r="AC194" s="13">
        <f>VLOOKUP(Table24[[#This Row],[3_Elephant_ID]],'[1]Attributes(OUTDATED)'!$A$2:$N$19,12,FALSE)</f>
        <v>219</v>
      </c>
      <c r="AD194" s="13">
        <f>VLOOKUP(Table24[[#This Row],[3_Elephant_ID]],'[1]Attributes(OUTDATED)'!$A$2:$N$19,13,FALSE)</f>
        <v>0.32300000000000001</v>
      </c>
      <c r="AE194" s="13">
        <f>VLOOKUP(Table24[[#This Row],[3_Elephant_ID]],'[1]Attributes(OUTDATED)'!$A$2:$N$19,14,FALSE)</f>
        <v>0.32257531484312868</v>
      </c>
      <c r="AF194" s="13">
        <v>0</v>
      </c>
      <c r="AG194" s="13">
        <v>0</v>
      </c>
      <c r="AH194" s="13">
        <v>0</v>
      </c>
      <c r="AI194" s="13">
        <v>0</v>
      </c>
      <c r="AJ194" s="13">
        <f>VLOOKUP(Table24[[#This Row],[3_Elephant_ID]],'[1]Attributes(OUTDATED)'!$A$2:$P$19,16,FALSE)</f>
        <v>2</v>
      </c>
      <c r="AK194" s="13">
        <f>VLOOKUP(Table24[[#This Row],[3_Elephant_ID]],'[1]Attributes(OUTDATED)'!$A$2:$S$19,17,FALSE)</f>
        <v>1</v>
      </c>
      <c r="AL194" s="13">
        <f>VLOOKUP(Table24[[#This Row],[3_Elephant_ID]],'[1]Attributes(OUTDATED)'!$A$2:$S$19,18,FALSE)</f>
        <v>6</v>
      </c>
    </row>
    <row r="195" spans="1:38" ht="28" x14ac:dyDescent="0.15">
      <c r="A195" s="3">
        <v>79</v>
      </c>
      <c r="B195" s="6">
        <v>2007231139</v>
      </c>
      <c r="C195" s="7">
        <v>20</v>
      </c>
      <c r="D195" s="7">
        <v>7</v>
      </c>
      <c r="E195" s="7">
        <v>2023</v>
      </c>
      <c r="F195" s="5">
        <v>45127</v>
      </c>
      <c r="G195" s="6" t="s">
        <v>4</v>
      </c>
      <c r="H195" s="17">
        <v>0.2911111111111111</v>
      </c>
      <c r="I195" s="3" t="str">
        <f>VLOOKUP(G195,'[1]Attributes(OUTDATED)'!$A$2:$C$19,2,FALSE)</f>
        <v>M</v>
      </c>
      <c r="J195" s="3" t="str">
        <f>VLOOKUP(G195,'[1]Attributes(OUTDATED)'!$A$2:$C$19,3,FALSE)</f>
        <v>J</v>
      </c>
      <c r="K195" s="3">
        <f>VLOOKUP(G195,'[1]Attributes(OUTDATED)'!$A$2:$H$19,8,FALSE)</f>
        <v>1055</v>
      </c>
      <c r="L195" s="3" t="str">
        <f>J195&amp;I195</f>
        <v>JM</v>
      </c>
      <c r="M195" s="11">
        <v>45125</v>
      </c>
      <c r="N195" s="13">
        <v>24.1</v>
      </c>
      <c r="O195" s="13">
        <v>18.8</v>
      </c>
      <c r="P195" s="13">
        <v>11.2</v>
      </c>
      <c r="Q195" s="13">
        <f>Table24[[#This Row],[2_Temp_H]]-Table24[[#This Row],[2_Temp_L]]</f>
        <v>12.900000000000002</v>
      </c>
      <c r="R195" s="13">
        <v>55</v>
      </c>
      <c r="S195" s="13">
        <v>12.3</v>
      </c>
      <c r="T195" s="13">
        <v>1015.92</v>
      </c>
      <c r="U195" s="13">
        <v>1009.82</v>
      </c>
      <c r="V195" s="13">
        <v>0</v>
      </c>
      <c r="W195" s="13" t="s">
        <v>147</v>
      </c>
      <c r="X195" s="13" t="s">
        <v>139</v>
      </c>
      <c r="Y195" s="13" t="s">
        <v>26</v>
      </c>
      <c r="Z195" s="13" t="s">
        <v>144</v>
      </c>
      <c r="AA195" s="13" t="s">
        <v>146</v>
      </c>
      <c r="AB195" s="13" t="s">
        <v>137</v>
      </c>
      <c r="AC195" s="13">
        <f>VLOOKUP(Table24[[#This Row],[3_Elephant_ID]],'[1]Attributes(OUTDATED)'!$A$2:$N$19,12,FALSE)</f>
        <v>181</v>
      </c>
      <c r="AD195" s="13">
        <f>VLOOKUP(Table24[[#This Row],[3_Elephant_ID]],'[1]Attributes(OUTDATED)'!$A$2:$N$19,13,FALSE)</f>
        <v>7.3999999999999996E-2</v>
      </c>
      <c r="AE195" s="13">
        <f>VLOOKUP(Table24[[#This Row],[3_Elephant_ID]],'[1]Attributes(OUTDATED)'!$A$2:$N$19,14,FALSE)</f>
        <v>7.3914663535330896E-2</v>
      </c>
      <c r="AF195" s="13">
        <v>0</v>
      </c>
      <c r="AG195" s="13">
        <v>0</v>
      </c>
      <c r="AH195" s="13">
        <v>0</v>
      </c>
      <c r="AI195" s="13">
        <v>0</v>
      </c>
      <c r="AJ195" s="13">
        <f>VLOOKUP(Table24[[#This Row],[3_Elephant_ID]],'[1]Attributes(OUTDATED)'!$A$2:$P$19,16,FALSE)</f>
        <v>1</v>
      </c>
      <c r="AK195" s="13">
        <f>VLOOKUP(Table24[[#This Row],[3_Elephant_ID]],'[1]Attributes(OUTDATED)'!$A$2:$S$19,17,FALSE)</f>
        <v>7</v>
      </c>
      <c r="AL195" s="13">
        <f>VLOOKUP(Table24[[#This Row],[3_Elephant_ID]],'[1]Attributes(OUTDATED)'!$A$2:$S$19,18,FALSE)</f>
        <v>9</v>
      </c>
    </row>
    <row r="196" spans="1:38" ht="28" x14ac:dyDescent="0.15">
      <c r="A196" s="3">
        <v>197</v>
      </c>
      <c r="B196" s="6">
        <v>2207231213</v>
      </c>
      <c r="C196" s="7">
        <v>22</v>
      </c>
      <c r="D196" s="7">
        <v>7</v>
      </c>
      <c r="E196" s="7">
        <v>2023</v>
      </c>
      <c r="F196" s="5">
        <v>45129</v>
      </c>
      <c r="G196" s="6" t="s">
        <v>14</v>
      </c>
      <c r="H196" s="17">
        <v>0.47691011235955061</v>
      </c>
      <c r="I196" s="3" t="str">
        <f>VLOOKUP(G196,'[1]Attributes(OUTDATED)'!$A$2:$C$19,2,FALSE)</f>
        <v>F</v>
      </c>
      <c r="J196" s="3" t="str">
        <f>VLOOKUP(G196,'[1]Attributes(OUTDATED)'!$A$2:$C$19,3,FALSE)</f>
        <v>J</v>
      </c>
      <c r="K196" s="3">
        <f>VLOOKUP(G196,'[1]Attributes(OUTDATED)'!$A$2:$H$19,8,FALSE)</f>
        <v>879</v>
      </c>
      <c r="L196" s="3" t="str">
        <f>J196&amp;I196</f>
        <v>JF</v>
      </c>
      <c r="M196" s="11">
        <v>45127</v>
      </c>
      <c r="N196" s="13">
        <v>8.9</v>
      </c>
      <c r="O196" s="13">
        <v>4.5</v>
      </c>
      <c r="P196" s="13">
        <v>2.4</v>
      </c>
      <c r="Q196" s="13">
        <f>Table24[[#This Row],[2_Temp_H]]-Table24[[#This Row],[2_Temp_L]]</f>
        <v>6.5</v>
      </c>
      <c r="R196" s="13">
        <v>24.5</v>
      </c>
      <c r="S196" s="13">
        <v>4.0999999999999996</v>
      </c>
      <c r="T196" s="13">
        <v>1026.08</v>
      </c>
      <c r="U196" s="13">
        <v>1024.04</v>
      </c>
      <c r="V196" s="13">
        <v>0.25</v>
      </c>
      <c r="W196" s="13" t="s">
        <v>147</v>
      </c>
      <c r="X196" s="16" t="s">
        <v>171</v>
      </c>
      <c r="Y196" s="13" t="s">
        <v>137</v>
      </c>
      <c r="Z196" s="13" t="s">
        <v>144</v>
      </c>
      <c r="AA196" s="13" t="s">
        <v>146</v>
      </c>
      <c r="AB196" s="13" t="s">
        <v>137</v>
      </c>
      <c r="AC196" s="13">
        <f>VLOOKUP(Table24[[#This Row],[3_Elephant_ID]],'[1]Attributes(OUTDATED)'!$A$2:$N$19,12,FALSE)</f>
        <v>269</v>
      </c>
      <c r="AD196" s="13">
        <f>VLOOKUP(Table24[[#This Row],[3_Elephant_ID]],'[1]Attributes(OUTDATED)'!$A$2:$N$19,13,FALSE)</f>
        <v>0.65800000000000003</v>
      </c>
      <c r="AE196" s="13">
        <f>VLOOKUP(Table24[[#This Row],[3_Elephant_ID]],'[1]Attributes(OUTDATED)'!$A$2:$N$19,14,FALSE)</f>
        <v>0.65767064449315993</v>
      </c>
      <c r="AF196" s="13">
        <v>1</v>
      </c>
      <c r="AG196" s="13">
        <v>0</v>
      </c>
      <c r="AH196" s="13">
        <v>0</v>
      </c>
      <c r="AI196" s="13">
        <v>0</v>
      </c>
      <c r="AJ196" s="13">
        <f>VLOOKUP(Table24[[#This Row],[3_Elephant_ID]],'[1]Attributes(OUTDATED)'!$A$2:$P$19,16,FALSE)</f>
        <v>1</v>
      </c>
      <c r="AK196" s="13">
        <f>VLOOKUP(Table24[[#This Row],[3_Elephant_ID]],'[1]Attributes(OUTDATED)'!$A$2:$S$19,17,FALSE)</f>
        <v>3</v>
      </c>
      <c r="AL196" s="13">
        <f>VLOOKUP(Table24[[#This Row],[3_Elephant_ID]],'[1]Attributes(OUTDATED)'!$A$2:$S$19,18,FALSE)</f>
        <v>9</v>
      </c>
    </row>
    <row r="197" spans="1:38" ht="28" x14ac:dyDescent="0.15">
      <c r="A197" s="3">
        <v>199</v>
      </c>
      <c r="B197" s="6">
        <v>2207231215</v>
      </c>
      <c r="C197" s="7">
        <v>22</v>
      </c>
      <c r="D197" s="7">
        <v>7</v>
      </c>
      <c r="E197" s="7">
        <v>2023</v>
      </c>
      <c r="F197" s="5">
        <v>45129</v>
      </c>
      <c r="G197" s="6" t="s">
        <v>5</v>
      </c>
      <c r="H197" s="17">
        <v>0.30938247011952191</v>
      </c>
      <c r="I197" s="3" t="str">
        <f>VLOOKUP(G197,'[1]Attributes(OUTDATED)'!$A$2:$C$19,2,FALSE)</f>
        <v>M</v>
      </c>
      <c r="J197" s="3" t="str">
        <f>VLOOKUP(G197,'[1]Attributes(OUTDATED)'!$A$2:$C$19,3,FALSE)</f>
        <v>J</v>
      </c>
      <c r="K197" s="3">
        <f>VLOOKUP(G197,'[1]Attributes(OUTDATED)'!$A$2:$H$19,8,FALSE)</f>
        <v>940</v>
      </c>
      <c r="L197" s="3" t="str">
        <f>J197&amp;I197</f>
        <v>JM</v>
      </c>
      <c r="M197" s="11">
        <v>45127</v>
      </c>
      <c r="N197" s="13">
        <v>8.9</v>
      </c>
      <c r="O197" s="13">
        <v>4.5</v>
      </c>
      <c r="P197" s="13">
        <v>2.4</v>
      </c>
      <c r="Q197" s="13">
        <f>Table24[[#This Row],[2_Temp_H]]-Table24[[#This Row],[2_Temp_L]]</f>
        <v>6.5</v>
      </c>
      <c r="R197" s="13">
        <v>24.5</v>
      </c>
      <c r="S197" s="13">
        <v>4.0999999999999996</v>
      </c>
      <c r="T197" s="13">
        <v>1026.08</v>
      </c>
      <c r="U197" s="13">
        <v>1024.04</v>
      </c>
      <c r="V197" s="13">
        <v>0.25</v>
      </c>
      <c r="W197" s="13" t="s">
        <v>147</v>
      </c>
      <c r="X197" s="16" t="s">
        <v>171</v>
      </c>
      <c r="Y197" s="13" t="s">
        <v>137</v>
      </c>
      <c r="Z197" s="13" t="s">
        <v>144</v>
      </c>
      <c r="AA197" s="13" t="s">
        <v>146</v>
      </c>
      <c r="AB197" s="13" t="s">
        <v>137</v>
      </c>
      <c r="AC197" s="13">
        <f>VLOOKUP(Table24[[#This Row],[3_Elephant_ID]],'[1]Attributes(OUTDATED)'!$A$2:$N$19,12,FALSE)</f>
        <v>361</v>
      </c>
      <c r="AD197" s="13">
        <f>VLOOKUP(Table24[[#This Row],[3_Elephant_ID]],'[1]Attributes(OUTDATED)'!$A$2:$N$19,13,FALSE)</f>
        <v>0.40600000000000003</v>
      </c>
      <c r="AE197" s="13">
        <f>VLOOKUP(Table24[[#This Row],[3_Elephant_ID]],'[1]Attributes(OUTDATED)'!$A$2:$N$19,14,FALSE)</f>
        <v>0.40590323220736402</v>
      </c>
      <c r="AF197" s="13">
        <v>1</v>
      </c>
      <c r="AG197" s="13">
        <v>0</v>
      </c>
      <c r="AH197" s="13">
        <v>0</v>
      </c>
      <c r="AI197" s="13">
        <v>0</v>
      </c>
      <c r="AJ197" s="13">
        <f>VLOOKUP(Table24[[#This Row],[3_Elephant_ID]],'[1]Attributes(OUTDATED)'!$A$2:$P$19,16,FALSE)</f>
        <v>1</v>
      </c>
      <c r="AK197" s="13">
        <f>VLOOKUP(Table24[[#This Row],[3_Elephant_ID]],'[1]Attributes(OUTDATED)'!$A$2:$S$19,17,FALSE)</f>
        <v>2</v>
      </c>
      <c r="AL197" s="13">
        <f>VLOOKUP(Table24[[#This Row],[3_Elephant_ID]],'[1]Attributes(OUTDATED)'!$A$2:$S$19,18,FALSE)</f>
        <v>7</v>
      </c>
    </row>
    <row r="198" spans="1:38" ht="28" x14ac:dyDescent="0.15">
      <c r="A198" s="3">
        <v>195</v>
      </c>
      <c r="B198" s="6">
        <v>2207231337</v>
      </c>
      <c r="C198" s="7">
        <v>22</v>
      </c>
      <c r="D198" s="7">
        <v>7</v>
      </c>
      <c r="E198" s="7">
        <v>2023</v>
      </c>
      <c r="F198" s="5">
        <v>45129</v>
      </c>
      <c r="G198" s="6" t="s">
        <v>12</v>
      </c>
      <c r="H198" s="17">
        <v>0.36956848030018763</v>
      </c>
      <c r="I198" s="3" t="str">
        <f>VLOOKUP(G198,'[1]Attributes(OUTDATED)'!$A$2:$C$19,2,FALSE)</f>
        <v>M</v>
      </c>
      <c r="J198" s="3" t="str">
        <f>VLOOKUP(G198,'[1]Attributes(OUTDATED)'!$A$2:$C$19,3,FALSE)</f>
        <v>A</v>
      </c>
      <c r="K198" s="3">
        <f>VLOOKUP(G198,'[1]Attributes(OUTDATED)'!$A$2:$H$19,8,FALSE)</f>
        <v>1509</v>
      </c>
      <c r="L198" s="3" t="str">
        <f>J198&amp;I198</f>
        <v>AM</v>
      </c>
      <c r="M198" s="11">
        <v>45127</v>
      </c>
      <c r="N198" s="13">
        <v>8.9</v>
      </c>
      <c r="O198" s="13">
        <v>4.5</v>
      </c>
      <c r="P198" s="13">
        <v>2.4</v>
      </c>
      <c r="Q198" s="13">
        <f>Table24[[#This Row],[2_Temp_H]]-Table24[[#This Row],[2_Temp_L]]</f>
        <v>6.5</v>
      </c>
      <c r="R198" s="13">
        <v>24.5</v>
      </c>
      <c r="S198" s="13">
        <v>4.0999999999999996</v>
      </c>
      <c r="T198" s="13">
        <v>1026.08</v>
      </c>
      <c r="U198" s="13">
        <v>1024.04</v>
      </c>
      <c r="V198" s="13">
        <v>0.25</v>
      </c>
      <c r="W198" s="13" t="s">
        <v>147</v>
      </c>
      <c r="X198" s="16" t="s">
        <v>171</v>
      </c>
      <c r="Y198" s="13" t="s">
        <v>137</v>
      </c>
      <c r="Z198" s="13" t="s">
        <v>144</v>
      </c>
      <c r="AA198" s="13" t="s">
        <v>146</v>
      </c>
      <c r="AB198" s="13" t="s">
        <v>137</v>
      </c>
      <c r="AC198" s="13">
        <f>VLOOKUP(Table24[[#This Row],[3_Elephant_ID]],'[1]Attributes(OUTDATED)'!$A$2:$N$19,12,FALSE)</f>
        <v>450</v>
      </c>
      <c r="AD198" s="13">
        <f>VLOOKUP(Table24[[#This Row],[3_Elephant_ID]],'[1]Attributes(OUTDATED)'!$A$2:$N$19,13,FALSE)</f>
        <v>0.375</v>
      </c>
      <c r="AE198" s="13">
        <f>VLOOKUP(Table24[[#This Row],[3_Elephant_ID]],'[1]Attributes(OUTDATED)'!$A$2:$N$19,14,FALSE)</f>
        <v>0.37414375430996583</v>
      </c>
      <c r="AF198" s="13">
        <v>1</v>
      </c>
      <c r="AG198" s="13">
        <v>0</v>
      </c>
      <c r="AH198" s="13">
        <v>0</v>
      </c>
      <c r="AI198" s="13">
        <v>0</v>
      </c>
      <c r="AJ198" s="13">
        <f>VLOOKUP(Table24[[#This Row],[3_Elephant_ID]],'[1]Attributes(OUTDATED)'!$A$2:$P$19,16,FALSE)</f>
        <v>1</v>
      </c>
      <c r="AK198" s="13">
        <f>VLOOKUP(Table24[[#This Row],[3_Elephant_ID]],'[1]Attributes(OUTDATED)'!$A$2:$S$19,17,FALSE)</f>
        <v>48</v>
      </c>
      <c r="AL198" s="13">
        <f>VLOOKUP(Table24[[#This Row],[3_Elephant_ID]],'[1]Attributes(OUTDATED)'!$A$2:$S$19,18,FALSE)</f>
        <v>3</v>
      </c>
    </row>
    <row r="199" spans="1:38" ht="28" x14ac:dyDescent="0.15">
      <c r="A199" s="3">
        <v>196</v>
      </c>
      <c r="B199" s="6">
        <v>2207231309</v>
      </c>
      <c r="C199" s="7">
        <v>22</v>
      </c>
      <c r="D199" s="7">
        <v>7</v>
      </c>
      <c r="E199" s="7">
        <v>2023</v>
      </c>
      <c r="F199" s="5">
        <v>45129</v>
      </c>
      <c r="G199" s="6" t="s">
        <v>10</v>
      </c>
      <c r="H199" s="17">
        <v>0.36618525896414333</v>
      </c>
      <c r="I199" s="3" t="str">
        <f>VLOOKUP(G199,'[1]Attributes(OUTDATED)'!$A$2:$C$19,2,FALSE)</f>
        <v>F</v>
      </c>
      <c r="J199" s="3" t="str">
        <f>VLOOKUP(G199,'[1]Attributes(OUTDATED)'!$A$2:$C$19,3,FALSE)</f>
        <v>A</v>
      </c>
      <c r="K199" s="3">
        <f>VLOOKUP(G199,'[1]Attributes(OUTDATED)'!$A$2:$H$19,8,FALSE)</f>
        <v>1146</v>
      </c>
      <c r="L199" s="3" t="str">
        <f>J199&amp;I199</f>
        <v>AF</v>
      </c>
      <c r="M199" s="11">
        <v>45127</v>
      </c>
      <c r="N199" s="13">
        <v>8.9</v>
      </c>
      <c r="O199" s="13">
        <v>4.5</v>
      </c>
      <c r="P199" s="13">
        <v>2.4</v>
      </c>
      <c r="Q199" s="13">
        <f>Table24[[#This Row],[2_Temp_H]]-Table24[[#This Row],[2_Temp_L]]</f>
        <v>6.5</v>
      </c>
      <c r="R199" s="13">
        <v>24.5</v>
      </c>
      <c r="S199" s="13">
        <v>4.0999999999999996</v>
      </c>
      <c r="T199" s="13">
        <v>1026.08</v>
      </c>
      <c r="U199" s="13">
        <v>1024.04</v>
      </c>
      <c r="V199" s="13">
        <v>0.25</v>
      </c>
      <c r="W199" s="13" t="s">
        <v>147</v>
      </c>
      <c r="X199" s="16" t="s">
        <v>171</v>
      </c>
      <c r="Y199" s="13" t="s">
        <v>137</v>
      </c>
      <c r="Z199" s="13" t="s">
        <v>144</v>
      </c>
      <c r="AA199" s="13" t="s">
        <v>146</v>
      </c>
      <c r="AB199" s="13" t="s">
        <v>137</v>
      </c>
      <c r="AC199" s="13">
        <f>VLOOKUP(Table24[[#This Row],[3_Elephant_ID]],'[1]Attributes(OUTDATED)'!$A$2:$N$19,12,FALSE)</f>
        <v>424</v>
      </c>
      <c r="AD199" s="13">
        <f>VLOOKUP(Table24[[#This Row],[3_Elephant_ID]],'[1]Attributes(OUTDATED)'!$A$2:$N$19,13,FALSE)</f>
        <v>0.10299999999999999</v>
      </c>
      <c r="AE199" s="13">
        <f>VLOOKUP(Table24[[#This Row],[3_Elephant_ID]],'[1]Attributes(OUTDATED)'!$A$2:$N$19,14,FALSE)</f>
        <v>0.10282190709599449</v>
      </c>
      <c r="AF199" s="13">
        <v>1</v>
      </c>
      <c r="AG199" s="13">
        <v>0</v>
      </c>
      <c r="AH199" s="13">
        <v>0</v>
      </c>
      <c r="AI199" s="13">
        <v>0</v>
      </c>
      <c r="AJ199" s="13">
        <f>VLOOKUP(Table24[[#This Row],[3_Elephant_ID]],'[1]Attributes(OUTDATED)'!$A$2:$P$19,16,FALSE)</f>
        <v>1</v>
      </c>
      <c r="AK199" s="13">
        <f>VLOOKUP(Table24[[#This Row],[3_Elephant_ID]],'[1]Attributes(OUTDATED)'!$A$2:$S$19,17,FALSE)</f>
        <v>9</v>
      </c>
      <c r="AL199" s="13">
        <f>VLOOKUP(Table24[[#This Row],[3_Elephant_ID]],'[1]Attributes(OUTDATED)'!$A$2:$S$19,18,FALSE)</f>
        <v>8</v>
      </c>
    </row>
    <row r="200" spans="1:38" ht="28" x14ac:dyDescent="0.15">
      <c r="A200" s="3">
        <v>198</v>
      </c>
      <c r="B200" s="6">
        <v>2207231206</v>
      </c>
      <c r="C200" s="7">
        <v>22</v>
      </c>
      <c r="D200" s="7">
        <v>7</v>
      </c>
      <c r="E200" s="7">
        <v>2023</v>
      </c>
      <c r="F200" s="5">
        <v>45129</v>
      </c>
      <c r="G200" s="6" t="s">
        <v>2</v>
      </c>
      <c r="H200" s="17">
        <v>0.20557377049180325</v>
      </c>
      <c r="I200" s="3" t="str">
        <f>VLOOKUP(G200,'[1]Attributes(OUTDATED)'!$A$2:$C$19,2,FALSE)</f>
        <v>F</v>
      </c>
      <c r="J200" s="3" t="str">
        <f>VLOOKUP(G200,'[1]Attributes(OUTDATED)'!$A$2:$C$19,3,FALSE)</f>
        <v>A</v>
      </c>
      <c r="K200" s="3">
        <f>VLOOKUP(G200,'[1]Attributes(OUTDATED)'!$A$2:$H$19,8,FALSE)</f>
        <v>892</v>
      </c>
      <c r="L200" s="3" t="str">
        <f>J200&amp;I200</f>
        <v>AF</v>
      </c>
      <c r="M200" s="11">
        <v>45127</v>
      </c>
      <c r="N200" s="13">
        <v>8.9</v>
      </c>
      <c r="O200" s="13">
        <v>4.5</v>
      </c>
      <c r="P200" s="13">
        <v>2.4</v>
      </c>
      <c r="Q200" s="13">
        <f>Table24[[#This Row],[2_Temp_H]]-Table24[[#This Row],[2_Temp_L]]</f>
        <v>6.5</v>
      </c>
      <c r="R200" s="13">
        <v>24.5</v>
      </c>
      <c r="S200" s="13">
        <v>4.0999999999999996</v>
      </c>
      <c r="T200" s="13">
        <v>1026.08</v>
      </c>
      <c r="U200" s="13">
        <v>1024.04</v>
      </c>
      <c r="V200" s="13">
        <v>0.25</v>
      </c>
      <c r="W200" s="13" t="s">
        <v>147</v>
      </c>
      <c r="X200" s="16" t="s">
        <v>171</v>
      </c>
      <c r="Y200" s="13" t="s">
        <v>137</v>
      </c>
      <c r="Z200" s="13" t="s">
        <v>144</v>
      </c>
      <c r="AA200" s="13" t="s">
        <v>146</v>
      </c>
      <c r="AB200" s="13" t="s">
        <v>137</v>
      </c>
      <c r="AC200" s="13">
        <f>VLOOKUP(Table24[[#This Row],[3_Elephant_ID]],'[1]Attributes(OUTDATED)'!$A$2:$N$19,12,FALSE)</f>
        <v>378</v>
      </c>
      <c r="AD200" s="13">
        <f>VLOOKUP(Table24[[#This Row],[3_Elephant_ID]],'[1]Attributes(OUTDATED)'!$A$2:$N$19,13,FALSE)</f>
        <v>8.6999999999999994E-2</v>
      </c>
      <c r="AE200" s="13">
        <f>VLOOKUP(Table24[[#This Row],[3_Elephant_ID]],'[1]Attributes(OUTDATED)'!$A$2:$N$19,14,FALSE)</f>
        <v>8.6599138783086713E-2</v>
      </c>
      <c r="AF200" s="13">
        <v>1</v>
      </c>
      <c r="AG200" s="13">
        <v>0</v>
      </c>
      <c r="AH200" s="13">
        <v>0</v>
      </c>
      <c r="AI200" s="13">
        <v>0</v>
      </c>
      <c r="AJ200" s="13">
        <f>VLOOKUP(Table24[[#This Row],[3_Elephant_ID]],'[1]Attributes(OUTDATED)'!$A$2:$P$19,16,FALSE)</f>
        <v>1</v>
      </c>
      <c r="AK200" s="13">
        <f>VLOOKUP(Table24[[#This Row],[3_Elephant_ID]],'[1]Attributes(OUTDATED)'!$A$2:$S$19,17,FALSE)</f>
        <v>4</v>
      </c>
      <c r="AL200" s="13">
        <f>VLOOKUP(Table24[[#This Row],[3_Elephant_ID]],'[1]Attributes(OUTDATED)'!$A$2:$S$19,18,FALSE)</f>
        <v>20</v>
      </c>
    </row>
    <row r="201" spans="1:38" ht="28" x14ac:dyDescent="0.15">
      <c r="A201" s="3">
        <v>229</v>
      </c>
      <c r="B201" s="6">
        <v>2307231604</v>
      </c>
      <c r="C201" s="7">
        <v>23</v>
      </c>
      <c r="D201" s="7">
        <v>7</v>
      </c>
      <c r="E201" s="7">
        <v>2023</v>
      </c>
      <c r="F201" s="5">
        <v>45130</v>
      </c>
      <c r="G201" s="6" t="s">
        <v>3</v>
      </c>
      <c r="H201" s="17">
        <v>0.37360146252285198</v>
      </c>
      <c r="I201" s="3" t="str">
        <f>VLOOKUP(G201,'[1]Attributes(OUTDATED)'!$A$2:$C$19,2,FALSE)</f>
        <v>M</v>
      </c>
      <c r="J201" s="3" t="str">
        <f>VLOOKUP(G201,'[1]Attributes(OUTDATED)'!$A$2:$C$19,3,FALSE)</f>
        <v>J</v>
      </c>
      <c r="K201" s="3">
        <f>VLOOKUP(G201,'[1]Attributes(OUTDATED)'!$A$2:$H$19,8,FALSE)</f>
        <v>1031</v>
      </c>
      <c r="L201" s="3" t="str">
        <f>J201&amp;I201</f>
        <v>JM</v>
      </c>
      <c r="M201" s="11">
        <v>45128</v>
      </c>
      <c r="N201" s="13">
        <v>13.3</v>
      </c>
      <c r="O201" s="13">
        <v>12.1</v>
      </c>
      <c r="P201" s="13">
        <v>9.9</v>
      </c>
      <c r="Q201" s="13">
        <f>Table24[[#This Row],[2_Temp_H]]-Table24[[#This Row],[2_Temp_L]]</f>
        <v>3.4000000000000004</v>
      </c>
      <c r="R201" s="13">
        <v>38.1</v>
      </c>
      <c r="S201" s="13">
        <v>19</v>
      </c>
      <c r="T201" s="13">
        <v>1019.98</v>
      </c>
      <c r="U201" s="13">
        <v>1013.88</v>
      </c>
      <c r="V201" s="13">
        <v>1.02</v>
      </c>
      <c r="W201" s="13" t="s">
        <v>147</v>
      </c>
      <c r="X201" s="16" t="s">
        <v>171</v>
      </c>
      <c r="Y201" s="13" t="s">
        <v>137</v>
      </c>
      <c r="Z201" s="13" t="s">
        <v>144</v>
      </c>
      <c r="AA201" s="13" t="s">
        <v>146</v>
      </c>
      <c r="AB201" s="13" t="s">
        <v>137</v>
      </c>
      <c r="AC201" s="13">
        <f>VLOOKUP(Table24[[#This Row],[3_Elephant_ID]],'[1]Attributes(OUTDATED)'!$A$2:$N$19,12,FALSE)</f>
        <v>234</v>
      </c>
      <c r="AD201" s="13">
        <f>VLOOKUP(Table24[[#This Row],[3_Elephant_ID]],'[1]Attributes(OUTDATED)'!$A$2:$N$19,13,FALSE)</f>
        <v>0.16500000000000001</v>
      </c>
      <c r="AE201" s="13">
        <f>VLOOKUP(Table24[[#This Row],[3_Elephant_ID]],'[1]Attributes(OUTDATED)'!$A$2:$N$19,14,FALSE)</f>
        <v>0.16420161303383449</v>
      </c>
      <c r="AF201" s="13">
        <v>0</v>
      </c>
      <c r="AG201" s="13">
        <v>0</v>
      </c>
      <c r="AH201" s="13">
        <v>0</v>
      </c>
      <c r="AI201" s="13">
        <v>0</v>
      </c>
      <c r="AJ201" s="13">
        <f>VLOOKUP(Table24[[#This Row],[3_Elephant_ID]],'[1]Attributes(OUTDATED)'!$A$2:$P$19,16,FALSE)</f>
        <v>1</v>
      </c>
      <c r="AK201" s="13">
        <f>VLOOKUP(Table24[[#This Row],[3_Elephant_ID]],'[1]Attributes(OUTDATED)'!$A$2:$S$19,17,FALSE)</f>
        <v>9</v>
      </c>
      <c r="AL201" s="13">
        <f>VLOOKUP(Table24[[#This Row],[3_Elephant_ID]],'[1]Attributes(OUTDATED)'!$A$2:$S$19,18,FALSE)</f>
        <v>9</v>
      </c>
    </row>
    <row r="202" spans="1:38" ht="28" x14ac:dyDescent="0.15">
      <c r="A202" s="3">
        <v>235</v>
      </c>
      <c r="B202" s="6">
        <v>2307231246</v>
      </c>
      <c r="C202" s="7">
        <v>23</v>
      </c>
      <c r="D202" s="7">
        <v>7</v>
      </c>
      <c r="E202" s="7">
        <v>2023</v>
      </c>
      <c r="F202" s="5">
        <v>45130</v>
      </c>
      <c r="G202" s="6" t="s">
        <v>5</v>
      </c>
      <c r="H202" s="17">
        <v>0.2556448598130841</v>
      </c>
      <c r="I202" s="3" t="str">
        <f>VLOOKUP(G202,'[1]Attributes(OUTDATED)'!$A$2:$C$19,2,FALSE)</f>
        <v>M</v>
      </c>
      <c r="J202" s="3" t="str">
        <f>VLOOKUP(G202,'[1]Attributes(OUTDATED)'!$A$2:$C$19,3,FALSE)</f>
        <v>J</v>
      </c>
      <c r="K202" s="3">
        <f>VLOOKUP(G202,'[1]Attributes(OUTDATED)'!$A$2:$H$19,8,FALSE)</f>
        <v>940</v>
      </c>
      <c r="L202" s="3" t="str">
        <f>J202&amp;I202</f>
        <v>JM</v>
      </c>
      <c r="M202" s="11">
        <v>45128</v>
      </c>
      <c r="N202" s="13">
        <v>13.3</v>
      </c>
      <c r="O202" s="13">
        <v>12.1</v>
      </c>
      <c r="P202" s="13">
        <v>9.9</v>
      </c>
      <c r="Q202" s="13">
        <f>Table24[[#This Row],[2_Temp_H]]-Table24[[#This Row],[2_Temp_L]]</f>
        <v>3.4000000000000004</v>
      </c>
      <c r="R202" s="13">
        <v>38.1</v>
      </c>
      <c r="S202" s="13">
        <v>19</v>
      </c>
      <c r="T202" s="13">
        <v>1019.98</v>
      </c>
      <c r="U202" s="13">
        <v>1013.88</v>
      </c>
      <c r="V202" s="13">
        <v>1.02</v>
      </c>
      <c r="W202" s="13" t="s">
        <v>147</v>
      </c>
      <c r="X202" s="16" t="s">
        <v>171</v>
      </c>
      <c r="Y202" s="13" t="s">
        <v>137</v>
      </c>
      <c r="Z202" s="13" t="s">
        <v>144</v>
      </c>
      <c r="AA202" s="13" t="s">
        <v>146</v>
      </c>
      <c r="AB202" s="13" t="s">
        <v>137</v>
      </c>
      <c r="AC202" s="13">
        <f>VLOOKUP(Table24[[#This Row],[3_Elephant_ID]],'[1]Attributes(OUTDATED)'!$A$2:$N$19,12,FALSE)</f>
        <v>361</v>
      </c>
      <c r="AD202" s="13">
        <f>VLOOKUP(Table24[[#This Row],[3_Elephant_ID]],'[1]Attributes(OUTDATED)'!$A$2:$N$19,13,FALSE)</f>
        <v>0.40600000000000003</v>
      </c>
      <c r="AE202" s="13">
        <f>VLOOKUP(Table24[[#This Row],[3_Elephant_ID]],'[1]Attributes(OUTDATED)'!$A$2:$N$19,14,FALSE)</f>
        <v>0.40590323220736402</v>
      </c>
      <c r="AF202" s="13">
        <v>0</v>
      </c>
      <c r="AG202" s="13">
        <v>0</v>
      </c>
      <c r="AH202" s="13">
        <v>0</v>
      </c>
      <c r="AI202" s="13">
        <v>0</v>
      </c>
      <c r="AJ202" s="13">
        <f>VLOOKUP(Table24[[#This Row],[3_Elephant_ID]],'[1]Attributes(OUTDATED)'!$A$2:$P$19,16,FALSE)</f>
        <v>1</v>
      </c>
      <c r="AK202" s="13">
        <f>VLOOKUP(Table24[[#This Row],[3_Elephant_ID]],'[1]Attributes(OUTDATED)'!$A$2:$S$19,17,FALSE)</f>
        <v>2</v>
      </c>
      <c r="AL202" s="13">
        <f>VLOOKUP(Table24[[#This Row],[3_Elephant_ID]],'[1]Attributes(OUTDATED)'!$A$2:$S$19,18,FALSE)</f>
        <v>7</v>
      </c>
    </row>
    <row r="203" spans="1:38" ht="28" x14ac:dyDescent="0.15">
      <c r="A203" s="3">
        <v>231</v>
      </c>
      <c r="B203" s="6">
        <v>2307231505</v>
      </c>
      <c r="C203" s="7">
        <v>23</v>
      </c>
      <c r="D203" s="7">
        <v>7</v>
      </c>
      <c r="E203" s="7">
        <v>2023</v>
      </c>
      <c r="F203" s="5">
        <v>45130</v>
      </c>
      <c r="G203" s="6" t="s">
        <v>8</v>
      </c>
      <c r="H203" s="17">
        <v>0.38803738317757008</v>
      </c>
      <c r="I203" s="3" t="str">
        <f>VLOOKUP(G203,'[1]Attributes(OUTDATED)'!$A$2:$C$19,2,FALSE)</f>
        <v>F</v>
      </c>
      <c r="J203" s="3" t="str">
        <f>VLOOKUP(G203,'[1]Attributes(OUTDATED)'!$A$2:$C$19,3,FALSE)</f>
        <v>A</v>
      </c>
      <c r="K203" s="3">
        <f>VLOOKUP(G203,'[1]Attributes(OUTDATED)'!$A$2:$H$19,8,FALSE)</f>
        <v>1096</v>
      </c>
      <c r="L203" s="3" t="str">
        <f>J203&amp;I203</f>
        <v>AF</v>
      </c>
      <c r="M203" s="11">
        <v>45128</v>
      </c>
      <c r="N203" s="13">
        <v>13.3</v>
      </c>
      <c r="O203" s="13">
        <v>12.1</v>
      </c>
      <c r="P203" s="13">
        <v>9.9</v>
      </c>
      <c r="Q203" s="13">
        <f>Table24[[#This Row],[2_Temp_H]]-Table24[[#This Row],[2_Temp_L]]</f>
        <v>3.4000000000000004</v>
      </c>
      <c r="R203" s="13">
        <v>38.1</v>
      </c>
      <c r="S203" s="13">
        <v>19</v>
      </c>
      <c r="T203" s="13">
        <v>1019.98</v>
      </c>
      <c r="U203" s="13">
        <v>1013.88</v>
      </c>
      <c r="V203" s="13">
        <v>1.02</v>
      </c>
      <c r="W203" s="13" t="s">
        <v>147</v>
      </c>
      <c r="X203" s="16" t="s">
        <v>171</v>
      </c>
      <c r="Y203" s="13" t="s">
        <v>137</v>
      </c>
      <c r="Z203" s="13" t="s">
        <v>144</v>
      </c>
      <c r="AA203" s="13" t="s">
        <v>146</v>
      </c>
      <c r="AB203" s="13" t="s">
        <v>137</v>
      </c>
      <c r="AC203" s="13">
        <f>VLOOKUP(Table24[[#This Row],[3_Elephant_ID]],'[1]Attributes(OUTDATED)'!$A$2:$N$19,12,FALSE)</f>
        <v>346</v>
      </c>
      <c r="AD203" s="13">
        <f>VLOOKUP(Table24[[#This Row],[3_Elephant_ID]],'[1]Attributes(OUTDATED)'!$A$2:$N$19,13,FALSE)</f>
        <v>0.28999999999999998</v>
      </c>
      <c r="AE203" s="13">
        <f>VLOOKUP(Table24[[#This Row],[3_Elephant_ID]],'[1]Attributes(OUTDATED)'!$A$2:$N$19,14,FALSE)</f>
        <v>0.28929989906834258</v>
      </c>
      <c r="AF203" s="13">
        <v>0</v>
      </c>
      <c r="AG203" s="13">
        <v>0</v>
      </c>
      <c r="AH203" s="13">
        <v>0</v>
      </c>
      <c r="AI203" s="13">
        <v>0</v>
      </c>
      <c r="AJ203" s="13">
        <f>VLOOKUP(Table24[[#This Row],[3_Elephant_ID]],'[1]Attributes(OUTDATED)'!$A$2:$P$19,16,FALSE)</f>
        <v>1</v>
      </c>
      <c r="AK203" s="13">
        <f>VLOOKUP(Table24[[#This Row],[3_Elephant_ID]],'[1]Attributes(OUTDATED)'!$A$2:$S$19,17,FALSE)</f>
        <v>11</v>
      </c>
      <c r="AL203" s="13">
        <f>VLOOKUP(Table24[[#This Row],[3_Elephant_ID]],'[1]Attributes(OUTDATED)'!$A$2:$S$19,18,FALSE)</f>
        <v>7</v>
      </c>
    </row>
    <row r="204" spans="1:38" ht="28" x14ac:dyDescent="0.15">
      <c r="A204" s="3">
        <v>236</v>
      </c>
      <c r="B204" s="6">
        <v>2307231242</v>
      </c>
      <c r="C204" s="7">
        <v>23</v>
      </c>
      <c r="D204" s="7">
        <v>7</v>
      </c>
      <c r="E204" s="7">
        <v>2023</v>
      </c>
      <c r="F204" s="5">
        <v>45130</v>
      </c>
      <c r="G204" s="6" t="s">
        <v>9</v>
      </c>
      <c r="H204" s="17">
        <v>0.37279999999999991</v>
      </c>
      <c r="I204" s="3" t="str">
        <f>VLOOKUP(G204,'[1]Attributes(OUTDATED)'!$A$2:$C$19,2,FALSE)</f>
        <v>F</v>
      </c>
      <c r="J204" s="3" t="str">
        <f>VLOOKUP(G204,'[1]Attributes(OUTDATED)'!$A$2:$C$19,3,FALSE)</f>
        <v>J</v>
      </c>
      <c r="K204" s="3">
        <f>VLOOKUP(G204,'[1]Attributes(OUTDATED)'!$A$2:$H$19,8,FALSE)</f>
        <v>820</v>
      </c>
      <c r="L204" s="3" t="str">
        <f>J204&amp;I204</f>
        <v>JF</v>
      </c>
      <c r="M204" s="11">
        <v>45128</v>
      </c>
      <c r="N204" s="13">
        <v>13.3</v>
      </c>
      <c r="O204" s="13">
        <v>12.1</v>
      </c>
      <c r="P204" s="13">
        <v>9.9</v>
      </c>
      <c r="Q204" s="13">
        <f>Table24[[#This Row],[2_Temp_H]]-Table24[[#This Row],[2_Temp_L]]</f>
        <v>3.4000000000000004</v>
      </c>
      <c r="R204" s="13">
        <v>38.1</v>
      </c>
      <c r="S204" s="13">
        <v>19</v>
      </c>
      <c r="T204" s="13">
        <v>1019.98</v>
      </c>
      <c r="U204" s="13">
        <v>1013.88</v>
      </c>
      <c r="V204" s="13">
        <v>1.02</v>
      </c>
      <c r="W204" s="13" t="s">
        <v>147</v>
      </c>
      <c r="X204" s="16" t="s">
        <v>171</v>
      </c>
      <c r="Y204" s="13" t="s">
        <v>137</v>
      </c>
      <c r="Z204" s="13" t="s">
        <v>144</v>
      </c>
      <c r="AA204" s="13" t="s">
        <v>146</v>
      </c>
      <c r="AB204" s="13" t="s">
        <v>137</v>
      </c>
      <c r="AC204" s="13">
        <f>VLOOKUP(Table24[[#This Row],[3_Elephant_ID]],'[1]Attributes(OUTDATED)'!$A$2:$N$19,12,FALSE)</f>
        <v>305</v>
      </c>
      <c r="AD204" s="13">
        <f>VLOOKUP(Table24[[#This Row],[3_Elephant_ID]],'[1]Attributes(OUTDATED)'!$A$2:$N$19,13,FALSE)</f>
        <v>0.17499999999999999</v>
      </c>
      <c r="AE204" s="13">
        <f>VLOOKUP(Table24[[#This Row],[3_Elephant_ID]],'[1]Attributes(OUTDATED)'!$A$2:$N$19,14,FALSE)</f>
        <v>0.17467336145108631</v>
      </c>
      <c r="AF204" s="13">
        <v>0</v>
      </c>
      <c r="AG204" s="13">
        <v>0</v>
      </c>
      <c r="AH204" s="13">
        <v>0</v>
      </c>
      <c r="AI204" s="13">
        <v>0</v>
      </c>
      <c r="AJ204" s="13">
        <f>VLOOKUP(Table24[[#This Row],[3_Elephant_ID]],'[1]Attributes(OUTDATED)'!$A$2:$P$19,16,FALSE)</f>
        <v>2</v>
      </c>
      <c r="AK204" s="13">
        <f>VLOOKUP(Table24[[#This Row],[3_Elephant_ID]],'[1]Attributes(OUTDATED)'!$A$2:$S$19,17,FALSE)</f>
        <v>0</v>
      </c>
      <c r="AL204" s="13">
        <f>VLOOKUP(Table24[[#This Row],[3_Elephant_ID]],'[1]Attributes(OUTDATED)'!$A$2:$S$19,18,FALSE)</f>
        <v>4</v>
      </c>
    </row>
    <row r="205" spans="1:38" ht="28" x14ac:dyDescent="0.15">
      <c r="A205" s="3">
        <v>233</v>
      </c>
      <c r="B205" s="6">
        <v>2307231356</v>
      </c>
      <c r="C205" s="7">
        <v>23</v>
      </c>
      <c r="D205" s="7">
        <v>7</v>
      </c>
      <c r="E205" s="7">
        <v>2023</v>
      </c>
      <c r="F205" s="5">
        <v>45130</v>
      </c>
      <c r="G205" s="6" t="s">
        <v>12</v>
      </c>
      <c r="H205" s="17">
        <v>0.33857142857142858</v>
      </c>
      <c r="I205" s="3" t="str">
        <f>VLOOKUP(G205,'[1]Attributes(OUTDATED)'!$A$2:$C$19,2,FALSE)</f>
        <v>M</v>
      </c>
      <c r="J205" s="3" t="str">
        <f>VLOOKUP(G205,'[1]Attributes(OUTDATED)'!$A$2:$C$19,3,FALSE)</f>
        <v>A</v>
      </c>
      <c r="K205" s="3">
        <f>VLOOKUP(G205,'[1]Attributes(OUTDATED)'!$A$2:$H$19,8,FALSE)</f>
        <v>1509</v>
      </c>
      <c r="L205" s="3" t="str">
        <f>J205&amp;I205</f>
        <v>AM</v>
      </c>
      <c r="M205" s="11">
        <v>45128</v>
      </c>
      <c r="N205" s="13">
        <v>13.3</v>
      </c>
      <c r="O205" s="13">
        <v>12.1</v>
      </c>
      <c r="P205" s="13">
        <v>9.9</v>
      </c>
      <c r="Q205" s="13">
        <f>Table24[[#This Row],[2_Temp_H]]-Table24[[#This Row],[2_Temp_L]]</f>
        <v>3.4000000000000004</v>
      </c>
      <c r="R205" s="13">
        <v>38.1</v>
      </c>
      <c r="S205" s="13">
        <v>19</v>
      </c>
      <c r="T205" s="13">
        <v>1019.98</v>
      </c>
      <c r="U205" s="13">
        <v>1013.88</v>
      </c>
      <c r="V205" s="13">
        <v>1.02</v>
      </c>
      <c r="W205" s="13" t="s">
        <v>147</v>
      </c>
      <c r="X205" s="16" t="s">
        <v>171</v>
      </c>
      <c r="Y205" s="13" t="s">
        <v>137</v>
      </c>
      <c r="Z205" s="13" t="s">
        <v>144</v>
      </c>
      <c r="AA205" s="13" t="s">
        <v>146</v>
      </c>
      <c r="AB205" s="13" t="s">
        <v>137</v>
      </c>
      <c r="AC205" s="13">
        <f>VLOOKUP(Table24[[#This Row],[3_Elephant_ID]],'[1]Attributes(OUTDATED)'!$A$2:$N$19,12,FALSE)</f>
        <v>450</v>
      </c>
      <c r="AD205" s="13">
        <f>VLOOKUP(Table24[[#This Row],[3_Elephant_ID]],'[1]Attributes(OUTDATED)'!$A$2:$N$19,13,FALSE)</f>
        <v>0.375</v>
      </c>
      <c r="AE205" s="13">
        <f>VLOOKUP(Table24[[#This Row],[3_Elephant_ID]],'[1]Attributes(OUTDATED)'!$A$2:$N$19,14,FALSE)</f>
        <v>0.37414375430996583</v>
      </c>
      <c r="AF205" s="13">
        <v>0</v>
      </c>
      <c r="AG205" s="13">
        <v>0</v>
      </c>
      <c r="AH205" s="13">
        <v>0</v>
      </c>
      <c r="AI205" s="13">
        <v>0</v>
      </c>
      <c r="AJ205" s="13">
        <f>VLOOKUP(Table24[[#This Row],[3_Elephant_ID]],'[1]Attributes(OUTDATED)'!$A$2:$P$19,16,FALSE)</f>
        <v>1</v>
      </c>
      <c r="AK205" s="13">
        <f>VLOOKUP(Table24[[#This Row],[3_Elephant_ID]],'[1]Attributes(OUTDATED)'!$A$2:$S$19,17,FALSE)</f>
        <v>48</v>
      </c>
      <c r="AL205" s="13">
        <f>VLOOKUP(Table24[[#This Row],[3_Elephant_ID]],'[1]Attributes(OUTDATED)'!$A$2:$S$19,18,FALSE)</f>
        <v>3</v>
      </c>
    </row>
    <row r="206" spans="1:38" ht="28" x14ac:dyDescent="0.15">
      <c r="A206" s="3">
        <v>232</v>
      </c>
      <c r="B206" s="6">
        <v>2307231456</v>
      </c>
      <c r="C206" s="7">
        <v>23</v>
      </c>
      <c r="D206" s="7">
        <v>7</v>
      </c>
      <c r="E206" s="7">
        <v>2023</v>
      </c>
      <c r="F206" s="5">
        <v>45130</v>
      </c>
      <c r="G206" s="6" t="s">
        <v>10</v>
      </c>
      <c r="H206" s="17">
        <v>0.48543893129770987</v>
      </c>
      <c r="I206" s="3" t="str">
        <f>VLOOKUP(G206,'[1]Attributes(OUTDATED)'!$A$2:$C$19,2,FALSE)</f>
        <v>F</v>
      </c>
      <c r="J206" s="3" t="str">
        <f>VLOOKUP(G206,'[1]Attributes(OUTDATED)'!$A$2:$C$19,3,FALSE)</f>
        <v>A</v>
      </c>
      <c r="K206" s="3">
        <f>VLOOKUP(G206,'[1]Attributes(OUTDATED)'!$A$2:$H$19,8,FALSE)</f>
        <v>1146</v>
      </c>
      <c r="L206" s="3" t="str">
        <f>J206&amp;I206</f>
        <v>AF</v>
      </c>
      <c r="M206" s="11">
        <v>45128</v>
      </c>
      <c r="N206" s="13">
        <v>13.3</v>
      </c>
      <c r="O206" s="13">
        <v>12.1</v>
      </c>
      <c r="P206" s="13">
        <v>9.9</v>
      </c>
      <c r="Q206" s="13">
        <f>Table24[[#This Row],[2_Temp_H]]-Table24[[#This Row],[2_Temp_L]]</f>
        <v>3.4000000000000004</v>
      </c>
      <c r="R206" s="13">
        <v>38.1</v>
      </c>
      <c r="S206" s="13">
        <v>19</v>
      </c>
      <c r="T206" s="13">
        <v>1019.98</v>
      </c>
      <c r="U206" s="13">
        <v>1013.88</v>
      </c>
      <c r="V206" s="13">
        <v>1.02</v>
      </c>
      <c r="W206" s="13" t="s">
        <v>147</v>
      </c>
      <c r="X206" s="16" t="s">
        <v>171</v>
      </c>
      <c r="Y206" s="13" t="s">
        <v>137</v>
      </c>
      <c r="Z206" s="13" t="s">
        <v>144</v>
      </c>
      <c r="AA206" s="13" t="s">
        <v>146</v>
      </c>
      <c r="AB206" s="13" t="s">
        <v>137</v>
      </c>
      <c r="AC206" s="13">
        <f>VLOOKUP(Table24[[#This Row],[3_Elephant_ID]],'[1]Attributes(OUTDATED)'!$A$2:$N$19,12,FALSE)</f>
        <v>424</v>
      </c>
      <c r="AD206" s="13">
        <f>VLOOKUP(Table24[[#This Row],[3_Elephant_ID]],'[1]Attributes(OUTDATED)'!$A$2:$N$19,13,FALSE)</f>
        <v>0.10299999999999999</v>
      </c>
      <c r="AE206" s="13">
        <f>VLOOKUP(Table24[[#This Row],[3_Elephant_ID]],'[1]Attributes(OUTDATED)'!$A$2:$N$19,14,FALSE)</f>
        <v>0.10282190709599449</v>
      </c>
      <c r="AF206" s="13">
        <v>0</v>
      </c>
      <c r="AG206" s="13">
        <v>0</v>
      </c>
      <c r="AH206" s="13">
        <v>0</v>
      </c>
      <c r="AI206" s="13">
        <v>0</v>
      </c>
      <c r="AJ206" s="13">
        <f>VLOOKUP(Table24[[#This Row],[3_Elephant_ID]],'[1]Attributes(OUTDATED)'!$A$2:$P$19,16,FALSE)</f>
        <v>1</v>
      </c>
      <c r="AK206" s="13">
        <f>VLOOKUP(Table24[[#This Row],[3_Elephant_ID]],'[1]Attributes(OUTDATED)'!$A$2:$S$19,17,FALSE)</f>
        <v>9</v>
      </c>
      <c r="AL206" s="13">
        <f>VLOOKUP(Table24[[#This Row],[3_Elephant_ID]],'[1]Attributes(OUTDATED)'!$A$2:$S$19,18,FALSE)</f>
        <v>8</v>
      </c>
    </row>
    <row r="207" spans="1:38" ht="28" x14ac:dyDescent="0.15">
      <c r="A207" s="3">
        <v>230</v>
      </c>
      <c r="B207" s="6">
        <v>2307231529</v>
      </c>
      <c r="C207" s="7">
        <v>23</v>
      </c>
      <c r="D207" s="7">
        <v>7</v>
      </c>
      <c r="E207" s="7">
        <v>2023</v>
      </c>
      <c r="F207" s="5">
        <v>45130</v>
      </c>
      <c r="G207" s="6" t="s">
        <v>7</v>
      </c>
      <c r="H207" s="17">
        <v>0.22595009596928983</v>
      </c>
      <c r="I207" s="3" t="str">
        <f>VLOOKUP(G207,'[1]Attributes(OUTDATED)'!$A$2:$C$19,2,FALSE)</f>
        <v>F</v>
      </c>
      <c r="J207" s="3" t="str">
        <f>VLOOKUP(G207,'[1]Attributes(OUTDATED)'!$A$2:$C$19,3,FALSE)</f>
        <v>J</v>
      </c>
      <c r="K207" s="3">
        <f>VLOOKUP(G207,'[1]Attributes(OUTDATED)'!$A$2:$H$19,8,FALSE)</f>
        <v>711</v>
      </c>
      <c r="L207" s="3" t="str">
        <f>J207&amp;I207</f>
        <v>JF</v>
      </c>
      <c r="M207" s="11">
        <v>45128</v>
      </c>
      <c r="N207" s="13">
        <v>13.3</v>
      </c>
      <c r="O207" s="13">
        <v>12.1</v>
      </c>
      <c r="P207" s="13">
        <v>9.9</v>
      </c>
      <c r="Q207" s="13">
        <f>Table24[[#This Row],[2_Temp_H]]-Table24[[#This Row],[2_Temp_L]]</f>
        <v>3.4000000000000004</v>
      </c>
      <c r="R207" s="13">
        <v>38.1</v>
      </c>
      <c r="S207" s="13">
        <v>19</v>
      </c>
      <c r="T207" s="13">
        <v>1019.98</v>
      </c>
      <c r="U207" s="13">
        <v>1013.88</v>
      </c>
      <c r="V207" s="13">
        <v>1.02</v>
      </c>
      <c r="W207" s="13" t="s">
        <v>147</v>
      </c>
      <c r="X207" s="16" t="s">
        <v>171</v>
      </c>
      <c r="Y207" s="13" t="s">
        <v>137</v>
      </c>
      <c r="Z207" s="13" t="s">
        <v>144</v>
      </c>
      <c r="AA207" s="13" t="s">
        <v>146</v>
      </c>
      <c r="AB207" s="13" t="s">
        <v>137</v>
      </c>
      <c r="AC207" s="13">
        <f>VLOOKUP(Table24[[#This Row],[3_Elephant_ID]],'[1]Attributes(OUTDATED)'!$A$2:$N$19,12,FALSE)</f>
        <v>398</v>
      </c>
      <c r="AD207" s="13">
        <f>VLOOKUP(Table24[[#This Row],[3_Elephant_ID]],'[1]Attributes(OUTDATED)'!$A$2:$N$19,13,FALSE)</f>
        <v>0.47899999999999998</v>
      </c>
      <c r="AE207" s="13">
        <f>VLOOKUP(Table24[[#This Row],[3_Elephant_ID]],'[1]Attributes(OUTDATED)'!$A$2:$N$19,14,FALSE)</f>
        <v>0.47820662037086947</v>
      </c>
      <c r="AF207" s="13">
        <v>0</v>
      </c>
      <c r="AG207" s="13">
        <v>0</v>
      </c>
      <c r="AH207" s="13">
        <v>0</v>
      </c>
      <c r="AI207" s="13">
        <v>0</v>
      </c>
      <c r="AJ207" s="13">
        <f>VLOOKUP(Table24[[#This Row],[3_Elephant_ID]],'[1]Attributes(OUTDATED)'!$A$2:$P$19,16,FALSE)</f>
        <v>1</v>
      </c>
      <c r="AK207" s="13">
        <f>VLOOKUP(Table24[[#This Row],[3_Elephant_ID]],'[1]Attributes(OUTDATED)'!$A$2:$S$19,17,FALSE)</f>
        <v>0</v>
      </c>
      <c r="AL207" s="13">
        <f>VLOOKUP(Table24[[#This Row],[3_Elephant_ID]],'[1]Attributes(OUTDATED)'!$A$2:$S$19,18,FALSE)</f>
        <v>12</v>
      </c>
    </row>
    <row r="208" spans="1:38" ht="28" x14ac:dyDescent="0.15">
      <c r="A208" s="3">
        <v>234</v>
      </c>
      <c r="B208" s="6">
        <v>2307231351</v>
      </c>
      <c r="C208" s="7">
        <v>23</v>
      </c>
      <c r="D208" s="7">
        <v>7</v>
      </c>
      <c r="E208" s="7">
        <v>2023</v>
      </c>
      <c r="F208" s="5">
        <v>45130</v>
      </c>
      <c r="G208" s="6" t="s">
        <v>7</v>
      </c>
      <c r="H208" s="17">
        <v>0.3192222222222223</v>
      </c>
      <c r="I208" s="3" t="str">
        <f>VLOOKUP(G208,'[1]Attributes(OUTDATED)'!$A$2:$C$19,2,FALSE)</f>
        <v>F</v>
      </c>
      <c r="J208" s="3" t="str">
        <f>VLOOKUP(G208,'[1]Attributes(OUTDATED)'!$A$2:$C$19,3,FALSE)</f>
        <v>J</v>
      </c>
      <c r="K208" s="3">
        <f>VLOOKUP(G208,'[1]Attributes(OUTDATED)'!$A$2:$H$19,8,FALSE)</f>
        <v>711</v>
      </c>
      <c r="L208" s="3" t="str">
        <f>J208&amp;I208</f>
        <v>JF</v>
      </c>
      <c r="M208" s="11">
        <v>45128</v>
      </c>
      <c r="N208" s="13">
        <v>13.3</v>
      </c>
      <c r="O208" s="13">
        <v>12.1</v>
      </c>
      <c r="P208" s="13">
        <v>9.9</v>
      </c>
      <c r="Q208" s="13">
        <f>Table24[[#This Row],[2_Temp_H]]-Table24[[#This Row],[2_Temp_L]]</f>
        <v>3.4000000000000004</v>
      </c>
      <c r="R208" s="13">
        <v>38.1</v>
      </c>
      <c r="S208" s="13">
        <v>19</v>
      </c>
      <c r="T208" s="13">
        <v>1019.98</v>
      </c>
      <c r="U208" s="13">
        <v>1013.88</v>
      </c>
      <c r="V208" s="13">
        <v>1.02</v>
      </c>
      <c r="W208" s="13" t="s">
        <v>147</v>
      </c>
      <c r="X208" s="16" t="s">
        <v>171</v>
      </c>
      <c r="Y208" s="13" t="s">
        <v>137</v>
      </c>
      <c r="Z208" s="13" t="s">
        <v>144</v>
      </c>
      <c r="AA208" s="13" t="s">
        <v>146</v>
      </c>
      <c r="AB208" s="13" t="s">
        <v>137</v>
      </c>
      <c r="AC208" s="13">
        <f>VLOOKUP(Table24[[#This Row],[3_Elephant_ID]],'[1]Attributes(OUTDATED)'!$A$2:$N$19,12,FALSE)</f>
        <v>398</v>
      </c>
      <c r="AD208" s="13">
        <f>VLOOKUP(Table24[[#This Row],[3_Elephant_ID]],'[1]Attributes(OUTDATED)'!$A$2:$N$19,13,FALSE)</f>
        <v>0.47899999999999998</v>
      </c>
      <c r="AE208" s="13">
        <f>VLOOKUP(Table24[[#This Row],[3_Elephant_ID]],'[1]Attributes(OUTDATED)'!$A$2:$N$19,14,FALSE)</f>
        <v>0.47820662037086947</v>
      </c>
      <c r="AF208" s="13">
        <v>0</v>
      </c>
      <c r="AG208" s="13">
        <v>0</v>
      </c>
      <c r="AH208" s="13">
        <v>0</v>
      </c>
      <c r="AI208" s="13">
        <v>0</v>
      </c>
      <c r="AJ208" s="13">
        <f>VLOOKUP(Table24[[#This Row],[3_Elephant_ID]],'[1]Attributes(OUTDATED)'!$A$2:$P$19,16,FALSE)</f>
        <v>1</v>
      </c>
      <c r="AK208" s="13">
        <f>VLOOKUP(Table24[[#This Row],[3_Elephant_ID]],'[1]Attributes(OUTDATED)'!$A$2:$S$19,17,FALSE)</f>
        <v>0</v>
      </c>
      <c r="AL208" s="13">
        <f>VLOOKUP(Table24[[#This Row],[3_Elephant_ID]],'[1]Attributes(OUTDATED)'!$A$2:$S$19,18,FALSE)</f>
        <v>12</v>
      </c>
    </row>
    <row r="209" spans="1:38" ht="28" x14ac:dyDescent="0.15">
      <c r="A209" s="3">
        <v>224</v>
      </c>
      <c r="B209" s="6">
        <v>2407231640</v>
      </c>
      <c r="C209" s="7">
        <v>24</v>
      </c>
      <c r="D209" s="7">
        <v>7</v>
      </c>
      <c r="E209" s="7">
        <v>2023</v>
      </c>
      <c r="F209" s="5">
        <v>45131</v>
      </c>
      <c r="G209" s="6" t="s">
        <v>11</v>
      </c>
      <c r="H209" s="17">
        <v>0.32822550831792974</v>
      </c>
      <c r="I209" s="3" t="str">
        <f>VLOOKUP(G209,'[1]Attributes(OUTDATED)'!$A$2:$C$19,2,FALSE)</f>
        <v>M</v>
      </c>
      <c r="J209" s="3" t="str">
        <f>VLOOKUP(G209,'[1]Attributes(OUTDATED)'!$A$2:$C$19,3,FALSE)</f>
        <v>A</v>
      </c>
      <c r="K209" s="3">
        <f>VLOOKUP(G209,'[1]Attributes(OUTDATED)'!$A$2:$H$19,8,FALSE)</f>
        <v>1223</v>
      </c>
      <c r="L209" s="3" t="str">
        <f>J209&amp;I209</f>
        <v>AM</v>
      </c>
      <c r="M209" s="11">
        <v>45129</v>
      </c>
      <c r="N209" s="13">
        <v>19.7</v>
      </c>
      <c r="O209" s="13">
        <v>16</v>
      </c>
      <c r="P209" s="13">
        <v>9.6999999999999993</v>
      </c>
      <c r="Q209" s="13">
        <f>Table24[[#This Row],[2_Temp_H]]-Table24[[#This Row],[2_Temp_L]]</f>
        <v>10</v>
      </c>
      <c r="R209" s="13">
        <v>37</v>
      </c>
      <c r="S209" s="13">
        <v>13.2</v>
      </c>
      <c r="T209" s="13">
        <v>1013.88</v>
      </c>
      <c r="U209" s="13">
        <v>1009.82</v>
      </c>
      <c r="V209" s="13">
        <v>0</v>
      </c>
      <c r="W209" s="13" t="s">
        <v>147</v>
      </c>
      <c r="X209" s="16" t="s">
        <v>171</v>
      </c>
      <c r="Y209" s="13" t="s">
        <v>137</v>
      </c>
      <c r="Z209" s="13" t="s">
        <v>144</v>
      </c>
      <c r="AA209" s="13" t="s">
        <v>146</v>
      </c>
      <c r="AB209" s="13" t="s">
        <v>137</v>
      </c>
      <c r="AC209" s="13">
        <f>VLOOKUP(Table24[[#This Row],[3_Elephant_ID]],'[1]Attributes(OUTDATED)'!$A$2:$N$19,12,FALSE)</f>
        <v>404</v>
      </c>
      <c r="AD209" s="13">
        <f>VLOOKUP(Table24[[#This Row],[3_Elephant_ID]],'[1]Attributes(OUTDATED)'!$A$2:$N$19,13,FALSE)</f>
        <v>0.91700000000000004</v>
      </c>
      <c r="AE209" s="13">
        <f>VLOOKUP(Table24[[#This Row],[3_Elephant_ID]],'[1]Attributes(OUTDATED)'!$A$2:$N$19,14,FALSE)</f>
        <v>0.91664628583929353</v>
      </c>
      <c r="AF209" s="13">
        <v>0</v>
      </c>
      <c r="AG209" s="13">
        <v>0</v>
      </c>
      <c r="AH209" s="13">
        <v>0</v>
      </c>
      <c r="AI209" s="13">
        <v>0</v>
      </c>
      <c r="AJ209" s="13">
        <f>VLOOKUP(Table24[[#This Row],[3_Elephant_ID]],'[1]Attributes(OUTDATED)'!$A$2:$P$19,16,FALSE)</f>
        <v>1</v>
      </c>
      <c r="AK209" s="13">
        <f>VLOOKUP(Table24[[#This Row],[3_Elephant_ID]],'[1]Attributes(OUTDATED)'!$A$2:$S$19,17,FALSE)</f>
        <v>14</v>
      </c>
      <c r="AL209" s="13">
        <f>VLOOKUP(Table24[[#This Row],[3_Elephant_ID]],'[1]Attributes(OUTDATED)'!$A$2:$S$19,18,FALSE)</f>
        <v>17</v>
      </c>
    </row>
    <row r="210" spans="1:38" ht="28" x14ac:dyDescent="0.15">
      <c r="A210" s="3">
        <v>225</v>
      </c>
      <c r="B210" s="6">
        <v>2407231618</v>
      </c>
      <c r="C210" s="7">
        <v>24</v>
      </c>
      <c r="D210" s="7">
        <v>7</v>
      </c>
      <c r="E210" s="7">
        <v>2023</v>
      </c>
      <c r="F210" s="5">
        <v>45131</v>
      </c>
      <c r="G210" s="6" t="s">
        <v>8</v>
      </c>
      <c r="H210" s="17">
        <v>0.29240150093808631</v>
      </c>
      <c r="I210" s="3" t="str">
        <f>VLOOKUP(G210,'[1]Attributes(OUTDATED)'!$A$2:$C$19,2,FALSE)</f>
        <v>F</v>
      </c>
      <c r="J210" s="3" t="str">
        <f>VLOOKUP(G210,'[1]Attributes(OUTDATED)'!$A$2:$C$19,3,FALSE)</f>
        <v>A</v>
      </c>
      <c r="K210" s="3">
        <f>VLOOKUP(G210,'[1]Attributes(OUTDATED)'!$A$2:$H$19,8,FALSE)</f>
        <v>1096</v>
      </c>
      <c r="L210" s="3" t="str">
        <f>J210&amp;I210</f>
        <v>AF</v>
      </c>
      <c r="M210" s="11">
        <v>45129</v>
      </c>
      <c r="N210" s="13">
        <v>19.7</v>
      </c>
      <c r="O210" s="13">
        <v>16</v>
      </c>
      <c r="P210" s="13">
        <v>9.6999999999999993</v>
      </c>
      <c r="Q210" s="13">
        <f>Table24[[#This Row],[2_Temp_H]]-Table24[[#This Row],[2_Temp_L]]</f>
        <v>10</v>
      </c>
      <c r="R210" s="13">
        <v>37</v>
      </c>
      <c r="S210" s="13">
        <v>13.2</v>
      </c>
      <c r="T210" s="13">
        <v>1013.88</v>
      </c>
      <c r="U210" s="13">
        <v>1009.82</v>
      </c>
      <c r="V210" s="13">
        <v>0</v>
      </c>
      <c r="W210" s="13" t="s">
        <v>147</v>
      </c>
      <c r="X210" s="16" t="s">
        <v>171</v>
      </c>
      <c r="Y210" s="13" t="s">
        <v>137</v>
      </c>
      <c r="Z210" s="13" t="s">
        <v>144</v>
      </c>
      <c r="AA210" s="13" t="s">
        <v>146</v>
      </c>
      <c r="AB210" s="13" t="s">
        <v>137</v>
      </c>
      <c r="AC210" s="13">
        <f>VLOOKUP(Table24[[#This Row],[3_Elephant_ID]],'[1]Attributes(OUTDATED)'!$A$2:$N$19,12,FALSE)</f>
        <v>346</v>
      </c>
      <c r="AD210" s="13">
        <f>VLOOKUP(Table24[[#This Row],[3_Elephant_ID]],'[1]Attributes(OUTDATED)'!$A$2:$N$19,13,FALSE)</f>
        <v>0.28999999999999998</v>
      </c>
      <c r="AE210" s="13">
        <f>VLOOKUP(Table24[[#This Row],[3_Elephant_ID]],'[1]Attributes(OUTDATED)'!$A$2:$N$19,14,FALSE)</f>
        <v>0.28929989906834258</v>
      </c>
      <c r="AF210" s="13">
        <v>0</v>
      </c>
      <c r="AG210" s="13">
        <v>0</v>
      </c>
      <c r="AH210" s="13">
        <v>0</v>
      </c>
      <c r="AI210" s="13">
        <v>0</v>
      </c>
      <c r="AJ210" s="13">
        <f>VLOOKUP(Table24[[#This Row],[3_Elephant_ID]],'[1]Attributes(OUTDATED)'!$A$2:$P$19,16,FALSE)</f>
        <v>1</v>
      </c>
      <c r="AK210" s="13">
        <f>VLOOKUP(Table24[[#This Row],[3_Elephant_ID]],'[1]Attributes(OUTDATED)'!$A$2:$S$19,17,FALSE)</f>
        <v>11</v>
      </c>
      <c r="AL210" s="13">
        <f>VLOOKUP(Table24[[#This Row],[3_Elephant_ID]],'[1]Attributes(OUTDATED)'!$A$2:$S$19,18,FALSE)</f>
        <v>7</v>
      </c>
    </row>
    <row r="211" spans="1:38" ht="28" x14ac:dyDescent="0.15">
      <c r="A211" s="3">
        <v>226</v>
      </c>
      <c r="B211" s="6">
        <v>2407231615</v>
      </c>
      <c r="C211" s="7">
        <v>24</v>
      </c>
      <c r="D211" s="7">
        <v>7</v>
      </c>
      <c r="E211" s="7">
        <v>2023</v>
      </c>
      <c r="F211" s="5">
        <v>45131</v>
      </c>
      <c r="G211" s="6" t="s">
        <v>12</v>
      </c>
      <c r="H211" s="17">
        <v>0.20823182711198429</v>
      </c>
      <c r="I211" s="3" t="str">
        <f>VLOOKUP(G211,'[1]Attributes(OUTDATED)'!$A$2:$C$19,2,FALSE)</f>
        <v>M</v>
      </c>
      <c r="J211" s="3" t="str">
        <f>VLOOKUP(G211,'[1]Attributes(OUTDATED)'!$A$2:$C$19,3,FALSE)</f>
        <v>A</v>
      </c>
      <c r="K211" s="3">
        <f>VLOOKUP(G211,'[1]Attributes(OUTDATED)'!$A$2:$H$19,8,FALSE)</f>
        <v>1509</v>
      </c>
      <c r="L211" s="3" t="str">
        <f>J211&amp;I211</f>
        <v>AM</v>
      </c>
      <c r="M211" s="11">
        <v>45129</v>
      </c>
      <c r="N211" s="13">
        <v>19.7</v>
      </c>
      <c r="O211" s="13">
        <v>16</v>
      </c>
      <c r="P211" s="13">
        <v>9.6999999999999993</v>
      </c>
      <c r="Q211" s="13">
        <f>Table24[[#This Row],[2_Temp_H]]-Table24[[#This Row],[2_Temp_L]]</f>
        <v>10</v>
      </c>
      <c r="R211" s="13">
        <v>37</v>
      </c>
      <c r="S211" s="13">
        <v>13.2</v>
      </c>
      <c r="T211" s="13">
        <v>1013.88</v>
      </c>
      <c r="U211" s="13">
        <v>1009.82</v>
      </c>
      <c r="V211" s="13">
        <v>0</v>
      </c>
      <c r="W211" s="13" t="s">
        <v>147</v>
      </c>
      <c r="X211" s="16" t="s">
        <v>171</v>
      </c>
      <c r="Y211" s="13" t="s">
        <v>137</v>
      </c>
      <c r="Z211" s="13" t="s">
        <v>144</v>
      </c>
      <c r="AA211" s="13" t="s">
        <v>146</v>
      </c>
      <c r="AB211" s="13" t="s">
        <v>137</v>
      </c>
      <c r="AC211" s="13">
        <f>VLOOKUP(Table24[[#This Row],[3_Elephant_ID]],'[1]Attributes(OUTDATED)'!$A$2:$N$19,12,FALSE)</f>
        <v>450</v>
      </c>
      <c r="AD211" s="13">
        <f>VLOOKUP(Table24[[#This Row],[3_Elephant_ID]],'[1]Attributes(OUTDATED)'!$A$2:$N$19,13,FALSE)</f>
        <v>0.375</v>
      </c>
      <c r="AE211" s="13">
        <f>VLOOKUP(Table24[[#This Row],[3_Elephant_ID]],'[1]Attributes(OUTDATED)'!$A$2:$N$19,14,FALSE)</f>
        <v>0.37414375430996583</v>
      </c>
      <c r="AF211" s="13">
        <v>0</v>
      </c>
      <c r="AG211" s="13">
        <v>0</v>
      </c>
      <c r="AH211" s="13">
        <v>0</v>
      </c>
      <c r="AI211" s="13">
        <v>0</v>
      </c>
      <c r="AJ211" s="13">
        <f>VLOOKUP(Table24[[#This Row],[3_Elephant_ID]],'[1]Attributes(OUTDATED)'!$A$2:$P$19,16,FALSE)</f>
        <v>1</v>
      </c>
      <c r="AK211" s="13">
        <f>VLOOKUP(Table24[[#This Row],[3_Elephant_ID]],'[1]Attributes(OUTDATED)'!$A$2:$S$19,17,FALSE)</f>
        <v>48</v>
      </c>
      <c r="AL211" s="13">
        <f>VLOOKUP(Table24[[#This Row],[3_Elephant_ID]],'[1]Attributes(OUTDATED)'!$A$2:$S$19,18,FALSE)</f>
        <v>3</v>
      </c>
    </row>
    <row r="212" spans="1:38" ht="28" x14ac:dyDescent="0.15">
      <c r="A212" s="3">
        <v>228</v>
      </c>
      <c r="B212" s="6">
        <v>2407231514</v>
      </c>
      <c r="C212" s="7">
        <v>24</v>
      </c>
      <c r="D212" s="7">
        <v>7</v>
      </c>
      <c r="E212" s="7">
        <v>2023</v>
      </c>
      <c r="F212" s="5">
        <v>45131</v>
      </c>
      <c r="G212" s="6" t="s">
        <v>1</v>
      </c>
      <c r="H212" s="17">
        <v>0.26601869158878505</v>
      </c>
      <c r="I212" s="3" t="str">
        <f>VLOOKUP(G212,'[1]Attributes(OUTDATED)'!$A$2:$C$19,2,FALSE)</f>
        <v>F</v>
      </c>
      <c r="J212" s="3" t="str">
        <f>VLOOKUP(G212,'[1]Attributes(OUTDATED)'!$A$2:$C$19,3,FALSE)</f>
        <v>A</v>
      </c>
      <c r="K212" s="3">
        <f>VLOOKUP(G212,'[1]Attributes(OUTDATED)'!$A$2:$H$19,8,FALSE)</f>
        <v>929</v>
      </c>
      <c r="L212" s="3" t="str">
        <f>J212&amp;I212</f>
        <v>AF</v>
      </c>
      <c r="M212" s="11">
        <v>45129</v>
      </c>
      <c r="N212" s="13">
        <v>19.7</v>
      </c>
      <c r="O212" s="13">
        <v>16</v>
      </c>
      <c r="P212" s="13">
        <v>9.6999999999999993</v>
      </c>
      <c r="Q212" s="13">
        <f>Table24[[#This Row],[2_Temp_H]]-Table24[[#This Row],[2_Temp_L]]</f>
        <v>10</v>
      </c>
      <c r="R212" s="13">
        <v>37</v>
      </c>
      <c r="S212" s="13">
        <v>13.2</v>
      </c>
      <c r="T212" s="13">
        <v>1013.88</v>
      </c>
      <c r="U212" s="13">
        <v>1009.82</v>
      </c>
      <c r="V212" s="13">
        <v>0</v>
      </c>
      <c r="W212" s="13" t="s">
        <v>147</v>
      </c>
      <c r="X212" s="16" t="s">
        <v>171</v>
      </c>
      <c r="Y212" s="13" t="s">
        <v>137</v>
      </c>
      <c r="Z212" s="13" t="s">
        <v>144</v>
      </c>
      <c r="AA212" s="13" t="s">
        <v>146</v>
      </c>
      <c r="AB212" s="13" t="s">
        <v>137</v>
      </c>
      <c r="AC212" s="13">
        <f>VLOOKUP(Table24[[#This Row],[3_Elephant_ID]],'[1]Attributes(OUTDATED)'!$A$2:$N$19,12,FALSE)</f>
        <v>321</v>
      </c>
      <c r="AD212" s="13">
        <f>VLOOKUP(Table24[[#This Row],[3_Elephant_ID]],'[1]Attributes(OUTDATED)'!$A$2:$N$19,13,FALSE)</f>
        <v>0.17599999999999999</v>
      </c>
      <c r="AE212" s="13">
        <f>VLOOKUP(Table24[[#This Row],[3_Elephant_ID]],'[1]Attributes(OUTDATED)'!$A$2:$N$19,14,FALSE)</f>
        <v>0.17530262753188491</v>
      </c>
      <c r="AF212" s="13">
        <v>0</v>
      </c>
      <c r="AG212" s="13">
        <v>0</v>
      </c>
      <c r="AH212" s="13">
        <v>0</v>
      </c>
      <c r="AI212" s="13">
        <v>0</v>
      </c>
      <c r="AJ212" s="13">
        <f>VLOOKUP(Table24[[#This Row],[3_Elephant_ID]],'[1]Attributes(OUTDATED)'!$A$2:$P$19,16,FALSE)</f>
        <v>1</v>
      </c>
      <c r="AK212" s="13">
        <f>VLOOKUP(Table24[[#This Row],[3_Elephant_ID]],'[1]Attributes(OUTDATED)'!$A$2:$S$19,17,FALSE)</f>
        <v>6</v>
      </c>
      <c r="AL212" s="13">
        <f>VLOOKUP(Table24[[#This Row],[3_Elephant_ID]],'[1]Attributes(OUTDATED)'!$A$2:$S$19,18,FALSE)</f>
        <v>8</v>
      </c>
    </row>
    <row r="213" spans="1:38" ht="28" x14ac:dyDescent="0.15">
      <c r="A213" s="3">
        <v>227</v>
      </c>
      <c r="B213" s="6">
        <v>2407231524</v>
      </c>
      <c r="C213" s="7">
        <v>24</v>
      </c>
      <c r="D213" s="7">
        <v>7</v>
      </c>
      <c r="E213" s="7">
        <v>2023</v>
      </c>
      <c r="F213" s="5">
        <v>45131</v>
      </c>
      <c r="G213" s="6" t="s">
        <v>13</v>
      </c>
      <c r="H213" s="17">
        <v>0.2570689655172414</v>
      </c>
      <c r="I213" s="3" t="str">
        <f>VLOOKUP(G213,'[1]Attributes(OUTDATED)'!$A$2:$C$19,2,FALSE)</f>
        <v>F</v>
      </c>
      <c r="J213" s="3" t="str">
        <f>VLOOKUP(G213,'[1]Attributes(OUTDATED)'!$A$2:$C$19,3,FALSE)</f>
        <v>A</v>
      </c>
      <c r="K213" s="3">
        <f>VLOOKUP(G213,'[1]Attributes(OUTDATED)'!$A$2:$H$19,8,FALSE)</f>
        <v>963</v>
      </c>
      <c r="L213" s="3" t="str">
        <f>J213&amp;I213</f>
        <v>AF</v>
      </c>
      <c r="M213" s="11">
        <v>45129</v>
      </c>
      <c r="N213" s="13">
        <v>19.7</v>
      </c>
      <c r="O213" s="13">
        <v>16</v>
      </c>
      <c r="P213" s="13">
        <v>9.6999999999999993</v>
      </c>
      <c r="Q213" s="13">
        <f>Table24[[#This Row],[2_Temp_H]]-Table24[[#This Row],[2_Temp_L]]</f>
        <v>10</v>
      </c>
      <c r="R213" s="13">
        <v>37</v>
      </c>
      <c r="S213" s="13">
        <v>13.2</v>
      </c>
      <c r="T213" s="13">
        <v>1013.88</v>
      </c>
      <c r="U213" s="13">
        <v>1009.82</v>
      </c>
      <c r="V213" s="13">
        <v>0</v>
      </c>
      <c r="W213" s="13" t="s">
        <v>147</v>
      </c>
      <c r="X213" s="16" t="s">
        <v>171</v>
      </c>
      <c r="Y213" s="13" t="s">
        <v>137</v>
      </c>
      <c r="Z213" s="13" t="s">
        <v>144</v>
      </c>
      <c r="AA213" s="13" t="s">
        <v>146</v>
      </c>
      <c r="AB213" s="13" t="s">
        <v>137</v>
      </c>
      <c r="AC213" s="13">
        <f>VLOOKUP(Table24[[#This Row],[3_Elephant_ID]],'[1]Attributes(OUTDATED)'!$A$2:$N$19,12,FALSE)</f>
        <v>289</v>
      </c>
      <c r="AD213" s="13">
        <f>VLOOKUP(Table24[[#This Row],[3_Elephant_ID]],'[1]Attributes(OUTDATED)'!$A$2:$N$19,13,FALSE)</f>
        <v>0.32400000000000001</v>
      </c>
      <c r="AE213" s="13">
        <f>VLOOKUP(Table24[[#This Row],[3_Elephant_ID]],'[1]Attributes(OUTDATED)'!$A$2:$N$19,14,FALSE)</f>
        <v>0.32380809109629533</v>
      </c>
      <c r="AF213" s="13">
        <v>0</v>
      </c>
      <c r="AG213" s="13">
        <v>0</v>
      </c>
      <c r="AH213" s="13">
        <v>0</v>
      </c>
      <c r="AI213" s="13">
        <v>0</v>
      </c>
      <c r="AJ213" s="13">
        <f>VLOOKUP(Table24[[#This Row],[3_Elephant_ID]],'[1]Attributes(OUTDATED)'!$A$2:$P$19,16,FALSE)</f>
        <v>2</v>
      </c>
      <c r="AK213" s="13">
        <f>VLOOKUP(Table24[[#This Row],[3_Elephant_ID]],'[1]Attributes(OUTDATED)'!$A$2:$S$19,17,FALSE)</f>
        <v>9</v>
      </c>
      <c r="AL213" s="13">
        <f>VLOOKUP(Table24[[#This Row],[3_Elephant_ID]],'[1]Attributes(OUTDATED)'!$A$2:$S$19,18,FALSE)</f>
        <v>9</v>
      </c>
    </row>
    <row r="214" spans="1:38" ht="28" x14ac:dyDescent="0.15">
      <c r="A214" s="3">
        <v>223</v>
      </c>
      <c r="B214" s="6">
        <v>2507231146</v>
      </c>
      <c r="C214" s="7">
        <v>25</v>
      </c>
      <c r="D214" s="7">
        <v>7</v>
      </c>
      <c r="E214" s="7">
        <v>2023</v>
      </c>
      <c r="F214" s="5">
        <v>45132</v>
      </c>
      <c r="G214" s="6" t="s">
        <v>2</v>
      </c>
      <c r="H214" s="17">
        <v>0.14407749077490778</v>
      </c>
      <c r="I214" s="3" t="str">
        <f>VLOOKUP(G214,'[1]Attributes(OUTDATED)'!$A$2:$C$19,2,FALSE)</f>
        <v>F</v>
      </c>
      <c r="J214" s="3" t="str">
        <f>VLOOKUP(G214,'[1]Attributes(OUTDATED)'!$A$2:$C$19,3,FALSE)</f>
        <v>A</v>
      </c>
      <c r="K214" s="3">
        <f>VLOOKUP(G214,'[1]Attributes(OUTDATED)'!$A$2:$H$19,8,FALSE)</f>
        <v>892</v>
      </c>
      <c r="L214" s="3" t="str">
        <f>J214&amp;I214</f>
        <v>AF</v>
      </c>
      <c r="M214" s="11">
        <v>45130</v>
      </c>
      <c r="N214" s="13">
        <v>15.2</v>
      </c>
      <c r="O214" s="13">
        <v>8.4</v>
      </c>
      <c r="P214" s="13">
        <v>1.5</v>
      </c>
      <c r="Q214" s="13">
        <f>Table24[[#This Row],[2_Temp_H]]-Table24[[#This Row],[2_Temp_L]]</f>
        <v>13.7</v>
      </c>
      <c r="R214" s="13">
        <v>30.6</v>
      </c>
      <c r="S214" s="13">
        <v>4.7</v>
      </c>
      <c r="T214" s="13">
        <v>1015.92</v>
      </c>
      <c r="U214" s="13">
        <v>1011.85</v>
      </c>
      <c r="V214" s="13">
        <v>0</v>
      </c>
      <c r="W214" s="13" t="s">
        <v>147</v>
      </c>
      <c r="X214" s="16" t="s">
        <v>171</v>
      </c>
      <c r="Y214" s="13" t="s">
        <v>137</v>
      </c>
      <c r="Z214" s="13" t="s">
        <v>144</v>
      </c>
      <c r="AA214" s="13" t="s">
        <v>146</v>
      </c>
      <c r="AB214" s="13" t="s">
        <v>137</v>
      </c>
      <c r="AC214" s="13">
        <f>VLOOKUP(Table24[[#This Row],[3_Elephant_ID]],'[1]Attributes(OUTDATED)'!$A$2:$N$19,12,FALSE)</f>
        <v>378</v>
      </c>
      <c r="AD214" s="13">
        <f>VLOOKUP(Table24[[#This Row],[3_Elephant_ID]],'[1]Attributes(OUTDATED)'!$A$2:$N$19,13,FALSE)</f>
        <v>8.6999999999999994E-2</v>
      </c>
      <c r="AE214" s="13">
        <f>VLOOKUP(Table24[[#This Row],[3_Elephant_ID]],'[1]Attributes(OUTDATED)'!$A$2:$N$19,14,FALSE)</f>
        <v>8.6599138783086713E-2</v>
      </c>
      <c r="AF214" s="13">
        <v>2</v>
      </c>
      <c r="AG214" s="13">
        <v>0</v>
      </c>
      <c r="AH214" s="13">
        <v>0</v>
      </c>
      <c r="AI214" s="13">
        <v>0</v>
      </c>
      <c r="AJ214" s="13">
        <f>VLOOKUP(Table24[[#This Row],[3_Elephant_ID]],'[1]Attributes(OUTDATED)'!$A$2:$P$19,16,FALSE)</f>
        <v>1</v>
      </c>
      <c r="AK214" s="13">
        <f>VLOOKUP(Table24[[#This Row],[3_Elephant_ID]],'[1]Attributes(OUTDATED)'!$A$2:$S$19,17,FALSE)</f>
        <v>4</v>
      </c>
      <c r="AL214" s="13">
        <f>VLOOKUP(Table24[[#This Row],[3_Elephant_ID]],'[1]Attributes(OUTDATED)'!$A$2:$S$19,18,FALSE)</f>
        <v>20</v>
      </c>
    </row>
    <row r="215" spans="1:38" ht="28" x14ac:dyDescent="0.15">
      <c r="A215" s="3">
        <v>222</v>
      </c>
      <c r="B215" s="6">
        <v>2507231215</v>
      </c>
      <c r="C215" s="7">
        <v>25</v>
      </c>
      <c r="D215" s="7">
        <v>7</v>
      </c>
      <c r="E215" s="7">
        <v>2023</v>
      </c>
      <c r="F215" s="5">
        <v>45132</v>
      </c>
      <c r="G215" s="6" t="s">
        <v>16</v>
      </c>
      <c r="H215" s="17">
        <v>0.33748613678373385</v>
      </c>
      <c r="I215" s="3" t="str">
        <f>VLOOKUP(G215,'[1]Attributes(OUTDATED)'!$A$2:$C$19,2,FALSE)</f>
        <v>F</v>
      </c>
      <c r="J215" s="3" t="str">
        <f>VLOOKUP(G215,'[1]Attributes(OUTDATED)'!$A$2:$C$19,3,FALSE)</f>
        <v>A</v>
      </c>
      <c r="K215" s="3">
        <f>VLOOKUP(G215,'[1]Attributes(OUTDATED)'!$A$2:$H$19,8,FALSE)</f>
        <v>1346</v>
      </c>
      <c r="L215" s="3" t="str">
        <f>J215&amp;I215</f>
        <v>AF</v>
      </c>
      <c r="M215" s="11">
        <v>45130</v>
      </c>
      <c r="N215" s="13">
        <v>15.2</v>
      </c>
      <c r="O215" s="13">
        <v>8.4</v>
      </c>
      <c r="P215" s="13">
        <v>1.5</v>
      </c>
      <c r="Q215" s="13">
        <f>Table24[[#This Row],[2_Temp_H]]-Table24[[#This Row],[2_Temp_L]]</f>
        <v>13.7</v>
      </c>
      <c r="R215" s="13">
        <v>30.6</v>
      </c>
      <c r="S215" s="13">
        <v>4.7</v>
      </c>
      <c r="T215" s="13">
        <v>1015.92</v>
      </c>
      <c r="U215" s="13">
        <v>1011.85</v>
      </c>
      <c r="V215" s="13">
        <v>0</v>
      </c>
      <c r="W215" s="13" t="s">
        <v>147</v>
      </c>
      <c r="X215" s="16" t="s">
        <v>171</v>
      </c>
      <c r="Y215" s="13" t="s">
        <v>137</v>
      </c>
      <c r="Z215" s="13" t="s">
        <v>144</v>
      </c>
      <c r="AA215" s="13" t="s">
        <v>146</v>
      </c>
      <c r="AB215" s="13" t="s">
        <v>137</v>
      </c>
      <c r="AC215" s="13">
        <f>VLOOKUP(Table24[[#This Row],[3_Elephant_ID]],'[1]Attributes(OUTDATED)'!$A$2:$N$19,12,FALSE)</f>
        <v>474</v>
      </c>
      <c r="AD215" s="13">
        <f>VLOOKUP(Table24[[#This Row],[3_Elephant_ID]],'[1]Attributes(OUTDATED)'!$A$2:$N$19,13,FALSE)</f>
        <v>0.121</v>
      </c>
      <c r="AE215" s="13">
        <f>VLOOKUP(Table24[[#This Row],[3_Elephant_ID]],'[1]Attributes(OUTDATED)'!$A$2:$N$19,14,FALSE)</f>
        <v>0.1206993463154281</v>
      </c>
      <c r="AF215" s="13">
        <v>2</v>
      </c>
      <c r="AG215" s="13">
        <v>0</v>
      </c>
      <c r="AH215" s="13">
        <v>0</v>
      </c>
      <c r="AI215" s="13">
        <v>0</v>
      </c>
      <c r="AJ215" s="13">
        <f>VLOOKUP(Table24[[#This Row],[3_Elephant_ID]],'[1]Attributes(OUTDATED)'!$A$2:$P$19,16,FALSE)</f>
        <v>1</v>
      </c>
      <c r="AK215" s="13">
        <f>VLOOKUP(Table24[[#This Row],[3_Elephant_ID]],'[1]Attributes(OUTDATED)'!$A$2:$S$19,17,FALSE)</f>
        <v>16</v>
      </c>
      <c r="AL215" s="13">
        <f>VLOOKUP(Table24[[#This Row],[3_Elephant_ID]],'[1]Attributes(OUTDATED)'!$A$2:$S$19,18,FALSE)</f>
        <v>1</v>
      </c>
    </row>
    <row r="216" spans="1:38" ht="28" x14ac:dyDescent="0.15">
      <c r="A216" s="3">
        <v>347</v>
      </c>
      <c r="B216" s="6" t="s">
        <v>124</v>
      </c>
      <c r="C216" s="7">
        <v>7</v>
      </c>
      <c r="D216" s="7">
        <v>1</v>
      </c>
      <c r="E216" s="7">
        <v>2024</v>
      </c>
      <c r="F216" s="5">
        <v>45298</v>
      </c>
      <c r="G216" s="6" t="s">
        <v>17</v>
      </c>
      <c r="H216" s="17">
        <v>0.50033009708737863</v>
      </c>
      <c r="I216" s="3" t="str">
        <f>VLOOKUP(G216,'[1]Attributes(OUTDATED)'!$A$2:$C$19,2,FALSE)</f>
        <v>M</v>
      </c>
      <c r="J216" s="3" t="str">
        <f>VLOOKUP(G216,'[1]Attributes(OUTDATED)'!$A$2:$C$19,3,FALSE)</f>
        <v>J</v>
      </c>
      <c r="K216" s="3">
        <f>VLOOKUP(G216,'[1]Attributes(OUTDATED)'!$A$2:$H$19,8,FALSE)</f>
        <v>699</v>
      </c>
      <c r="L216" s="3" t="str">
        <f>J216&amp;I216</f>
        <v>JM</v>
      </c>
      <c r="M216" s="11">
        <v>45296</v>
      </c>
      <c r="N216" s="13">
        <v>37</v>
      </c>
      <c r="O216" s="13">
        <v>26.4</v>
      </c>
      <c r="P216" s="13">
        <v>16.3</v>
      </c>
      <c r="Q216" s="13">
        <f>Table24[[#This Row],[2_Temp_H]]-Table24[[#This Row],[2_Temp_L]]</f>
        <v>20.7</v>
      </c>
      <c r="R216" s="13">
        <v>28.6</v>
      </c>
      <c r="S216" s="13">
        <v>5.4</v>
      </c>
      <c r="T216" s="13">
        <v>1008.81</v>
      </c>
      <c r="U216" s="13">
        <v>1005.08</v>
      </c>
      <c r="V216" s="13">
        <v>0.25</v>
      </c>
      <c r="W216" s="13" t="s">
        <v>148</v>
      </c>
      <c r="X216" s="13" t="s">
        <v>141</v>
      </c>
      <c r="Y216" s="13" t="s">
        <v>26</v>
      </c>
      <c r="Z216" s="13" t="s">
        <v>143</v>
      </c>
      <c r="AA216" s="13" t="s">
        <v>145</v>
      </c>
      <c r="AB216" s="13" t="s">
        <v>137</v>
      </c>
      <c r="AC216" s="13">
        <f>VLOOKUP(Table24[[#This Row],[3_Elephant_ID]],'[1]Attributes(OUTDATED)'!$A$2:$N$19,12,FALSE)</f>
        <v>343</v>
      </c>
      <c r="AD216" s="13">
        <f>VLOOKUP(Table24[[#This Row],[3_Elephant_ID]],'[1]Attributes(OUTDATED)'!$A$2:$N$19,13,FALSE)</f>
        <v>0.81</v>
      </c>
      <c r="AE216" s="13">
        <f>VLOOKUP(Table24[[#This Row],[3_Elephant_ID]],'[1]Attributes(OUTDATED)'!$A$2:$N$19,14,FALSE)</f>
        <v>0.80966774571167055</v>
      </c>
      <c r="AF216" s="13">
        <v>0</v>
      </c>
      <c r="AG216" s="13">
        <v>0</v>
      </c>
      <c r="AH216" s="13">
        <v>0</v>
      </c>
      <c r="AI216" s="13">
        <v>0</v>
      </c>
      <c r="AJ216" s="13">
        <f>VLOOKUP(Table24[[#This Row],[3_Elephant_ID]],'[1]Attributes(OUTDATED)'!$A$2:$P$19,16,FALSE)</f>
        <v>1</v>
      </c>
      <c r="AK216" s="13">
        <f>VLOOKUP(Table24[[#This Row],[3_Elephant_ID]],'[1]Attributes(OUTDATED)'!$A$2:$S$19,17,FALSE)</f>
        <v>0</v>
      </c>
      <c r="AL216" s="13">
        <f>VLOOKUP(Table24[[#This Row],[3_Elephant_ID]],'[1]Attributes(OUTDATED)'!$A$2:$S$19,18,FALSE)</f>
        <v>8</v>
      </c>
    </row>
    <row r="217" spans="1:38" ht="28" x14ac:dyDescent="0.15">
      <c r="A217" s="3">
        <v>346</v>
      </c>
      <c r="B217" s="6" t="s">
        <v>123</v>
      </c>
      <c r="C217" s="7">
        <v>7</v>
      </c>
      <c r="D217" s="7">
        <v>1</v>
      </c>
      <c r="E217" s="7">
        <v>2024</v>
      </c>
      <c r="F217" s="5">
        <v>45298</v>
      </c>
      <c r="G217" s="6" t="s">
        <v>11</v>
      </c>
      <c r="H217" s="17">
        <v>0.54556818181818201</v>
      </c>
      <c r="I217" s="3" t="str">
        <f>VLOOKUP(G217,'[1]Attributes(OUTDATED)'!$A$2:$C$19,2,FALSE)</f>
        <v>M</v>
      </c>
      <c r="J217" s="3" t="str">
        <f>VLOOKUP(G217,'[1]Attributes(OUTDATED)'!$A$2:$C$19,3,FALSE)</f>
        <v>A</v>
      </c>
      <c r="K217" s="3">
        <f>VLOOKUP(G217,'[1]Attributes(OUTDATED)'!$A$2:$H$19,8,FALSE)</f>
        <v>1223</v>
      </c>
      <c r="L217" s="3" t="str">
        <f>J217&amp;I217</f>
        <v>AM</v>
      </c>
      <c r="M217" s="11">
        <v>45296</v>
      </c>
      <c r="N217" s="13">
        <v>37</v>
      </c>
      <c r="O217" s="13">
        <v>26.4</v>
      </c>
      <c r="P217" s="13">
        <v>16.3</v>
      </c>
      <c r="Q217" s="13">
        <f>Table24[[#This Row],[2_Temp_H]]-Table24[[#This Row],[2_Temp_L]]</f>
        <v>20.7</v>
      </c>
      <c r="R217" s="13">
        <v>28.6</v>
      </c>
      <c r="S217" s="13">
        <v>5.4</v>
      </c>
      <c r="T217" s="13">
        <v>1008.81</v>
      </c>
      <c r="U217" s="13">
        <v>1005.08</v>
      </c>
      <c r="V217" s="13">
        <v>0.25</v>
      </c>
      <c r="W217" s="13" t="s">
        <v>148</v>
      </c>
      <c r="X217" s="13" t="s">
        <v>141</v>
      </c>
      <c r="Y217" s="13" t="s">
        <v>26</v>
      </c>
      <c r="Z217" s="13" t="s">
        <v>143</v>
      </c>
      <c r="AA217" s="13" t="s">
        <v>145</v>
      </c>
      <c r="AB217" s="13" t="s">
        <v>137</v>
      </c>
      <c r="AC217" s="13">
        <f>VLOOKUP(Table24[[#This Row],[3_Elephant_ID]],'[1]Attributes(OUTDATED)'!$A$2:$N$19,12,FALSE)</f>
        <v>404</v>
      </c>
      <c r="AD217" s="13">
        <f>VLOOKUP(Table24[[#This Row],[3_Elephant_ID]],'[1]Attributes(OUTDATED)'!$A$2:$N$19,13,FALSE)</f>
        <v>0.91700000000000004</v>
      </c>
      <c r="AE217" s="13">
        <f>VLOOKUP(Table24[[#This Row],[3_Elephant_ID]],'[1]Attributes(OUTDATED)'!$A$2:$N$19,14,FALSE)</f>
        <v>0.91664628583929353</v>
      </c>
      <c r="AF217" s="13">
        <v>0</v>
      </c>
      <c r="AG217" s="13">
        <v>0</v>
      </c>
      <c r="AH217" s="13">
        <v>0</v>
      </c>
      <c r="AI217" s="13">
        <v>0</v>
      </c>
      <c r="AJ217" s="13">
        <f>VLOOKUP(Table24[[#This Row],[3_Elephant_ID]],'[1]Attributes(OUTDATED)'!$A$2:$P$19,16,FALSE)</f>
        <v>1</v>
      </c>
      <c r="AK217" s="13">
        <f>VLOOKUP(Table24[[#This Row],[3_Elephant_ID]],'[1]Attributes(OUTDATED)'!$A$2:$S$19,17,FALSE)</f>
        <v>14</v>
      </c>
      <c r="AL217" s="13">
        <f>VLOOKUP(Table24[[#This Row],[3_Elephant_ID]],'[1]Attributes(OUTDATED)'!$A$2:$S$19,18,FALSE)</f>
        <v>17</v>
      </c>
    </row>
    <row r="218" spans="1:38" ht="28" x14ac:dyDescent="0.15">
      <c r="A218" s="3">
        <v>344</v>
      </c>
      <c r="B218" s="6" t="s">
        <v>121</v>
      </c>
      <c r="C218" s="7">
        <v>7</v>
      </c>
      <c r="D218" s="7">
        <v>1</v>
      </c>
      <c r="E218" s="7">
        <v>2024</v>
      </c>
      <c r="F218" s="5">
        <v>45298</v>
      </c>
      <c r="G218" s="6" t="s">
        <v>10</v>
      </c>
      <c r="H218" s="17">
        <v>0.36090056285178235</v>
      </c>
      <c r="I218" s="3" t="str">
        <f>VLOOKUP(G218,'[1]Attributes(OUTDATED)'!$A$2:$C$19,2,FALSE)</f>
        <v>F</v>
      </c>
      <c r="J218" s="3" t="str">
        <f>VLOOKUP(G218,'[1]Attributes(OUTDATED)'!$A$2:$C$19,3,FALSE)</f>
        <v>A</v>
      </c>
      <c r="K218" s="3">
        <f>VLOOKUP(G218,'[1]Attributes(OUTDATED)'!$A$2:$H$19,8,FALSE)</f>
        <v>1146</v>
      </c>
      <c r="L218" s="3" t="str">
        <f>J218&amp;I218</f>
        <v>AF</v>
      </c>
      <c r="M218" s="11">
        <v>45296</v>
      </c>
      <c r="N218" s="13">
        <v>37</v>
      </c>
      <c r="O218" s="13">
        <v>26.4</v>
      </c>
      <c r="P218" s="13">
        <v>16.3</v>
      </c>
      <c r="Q218" s="13">
        <f>Table24[[#This Row],[2_Temp_H]]-Table24[[#This Row],[2_Temp_L]]</f>
        <v>20.7</v>
      </c>
      <c r="R218" s="13">
        <v>28.6</v>
      </c>
      <c r="S218" s="13">
        <v>5.4</v>
      </c>
      <c r="T218" s="13">
        <v>1008.81</v>
      </c>
      <c r="U218" s="13">
        <v>1005.08</v>
      </c>
      <c r="V218" s="13">
        <v>0.25</v>
      </c>
      <c r="W218" s="13" t="s">
        <v>148</v>
      </c>
      <c r="X218" s="13" t="s">
        <v>141</v>
      </c>
      <c r="Y218" s="13" t="s">
        <v>26</v>
      </c>
      <c r="Z218" s="13" t="s">
        <v>143</v>
      </c>
      <c r="AA218" s="13" t="s">
        <v>145</v>
      </c>
      <c r="AB218" s="13" t="s">
        <v>137</v>
      </c>
      <c r="AC218" s="13">
        <f>VLOOKUP(Table24[[#This Row],[3_Elephant_ID]],'[1]Attributes(OUTDATED)'!$A$2:$N$19,12,FALSE)</f>
        <v>424</v>
      </c>
      <c r="AD218" s="13">
        <f>VLOOKUP(Table24[[#This Row],[3_Elephant_ID]],'[1]Attributes(OUTDATED)'!$A$2:$N$19,13,FALSE)</f>
        <v>0.10299999999999999</v>
      </c>
      <c r="AE218" s="13">
        <f>VLOOKUP(Table24[[#This Row],[3_Elephant_ID]],'[1]Attributes(OUTDATED)'!$A$2:$N$19,14,FALSE)</f>
        <v>0.10282190709599449</v>
      </c>
      <c r="AF218" s="13">
        <v>0</v>
      </c>
      <c r="AG218" s="13">
        <v>0</v>
      </c>
      <c r="AH218" s="13">
        <v>0</v>
      </c>
      <c r="AI218" s="13">
        <v>0</v>
      </c>
      <c r="AJ218" s="13">
        <f>VLOOKUP(Table24[[#This Row],[3_Elephant_ID]],'[1]Attributes(OUTDATED)'!$A$2:$P$19,16,FALSE)</f>
        <v>1</v>
      </c>
      <c r="AK218" s="13">
        <f>VLOOKUP(Table24[[#This Row],[3_Elephant_ID]],'[1]Attributes(OUTDATED)'!$A$2:$S$19,17,FALSE)</f>
        <v>9</v>
      </c>
      <c r="AL218" s="13">
        <f>VLOOKUP(Table24[[#This Row],[3_Elephant_ID]],'[1]Attributes(OUTDATED)'!$A$2:$S$19,18,FALSE)</f>
        <v>8</v>
      </c>
    </row>
    <row r="219" spans="1:38" ht="28" x14ac:dyDescent="0.15">
      <c r="A219" s="3">
        <v>345</v>
      </c>
      <c r="B219" s="6" t="s">
        <v>122</v>
      </c>
      <c r="C219" s="7">
        <v>7</v>
      </c>
      <c r="D219" s="7">
        <v>1</v>
      </c>
      <c r="E219" s="7">
        <v>2024</v>
      </c>
      <c r="F219" s="5">
        <v>45298</v>
      </c>
      <c r="G219" s="6" t="s">
        <v>15</v>
      </c>
      <c r="H219" s="17">
        <v>0.48302197802197805</v>
      </c>
      <c r="I219" s="3" t="str">
        <f>VLOOKUP(G219,'[1]Attributes(OUTDATED)'!$A$2:$C$19,2,FALSE)</f>
        <v>M</v>
      </c>
      <c r="J219" s="3" t="str">
        <f>VLOOKUP(G219,'[1]Attributes(OUTDATED)'!$A$2:$C$19,3,FALSE)</f>
        <v>J</v>
      </c>
      <c r="K219" s="3">
        <f>VLOOKUP(G219,'[1]Attributes(OUTDATED)'!$A$2:$H$19,8,FALSE)</f>
        <v>828</v>
      </c>
      <c r="L219" s="3" t="str">
        <f>J219&amp;I219</f>
        <v>JM</v>
      </c>
      <c r="M219" s="11">
        <v>45296</v>
      </c>
      <c r="N219" s="13">
        <v>37</v>
      </c>
      <c r="O219" s="13">
        <v>26.4</v>
      </c>
      <c r="P219" s="13">
        <v>16.3</v>
      </c>
      <c r="Q219" s="13">
        <f>Table24[[#This Row],[2_Temp_H]]-Table24[[#This Row],[2_Temp_L]]</f>
        <v>20.7</v>
      </c>
      <c r="R219" s="13">
        <v>28.6</v>
      </c>
      <c r="S219" s="13">
        <v>5.4</v>
      </c>
      <c r="T219" s="13">
        <v>1008.81</v>
      </c>
      <c r="U219" s="13">
        <v>1005.08</v>
      </c>
      <c r="V219" s="13">
        <v>0.25</v>
      </c>
      <c r="W219" s="13" t="s">
        <v>148</v>
      </c>
      <c r="X219" s="13" t="s">
        <v>141</v>
      </c>
      <c r="Y219" s="13" t="s">
        <v>26</v>
      </c>
      <c r="Z219" s="13" t="s">
        <v>143</v>
      </c>
      <c r="AA219" s="13" t="s">
        <v>145</v>
      </c>
      <c r="AB219" s="13" t="s">
        <v>137</v>
      </c>
      <c r="AC219" s="13">
        <f>VLOOKUP(Table24[[#This Row],[3_Elephant_ID]],'[1]Attributes(OUTDATED)'!$A$2:$N$19,12,FALSE)</f>
        <v>219</v>
      </c>
      <c r="AD219" s="13">
        <f>VLOOKUP(Table24[[#This Row],[3_Elephant_ID]],'[1]Attributes(OUTDATED)'!$A$2:$N$19,13,FALSE)</f>
        <v>0.32300000000000001</v>
      </c>
      <c r="AE219" s="13">
        <f>VLOOKUP(Table24[[#This Row],[3_Elephant_ID]],'[1]Attributes(OUTDATED)'!$A$2:$N$19,14,FALSE)</f>
        <v>0.32257531484312868</v>
      </c>
      <c r="AF219" s="13">
        <v>0</v>
      </c>
      <c r="AG219" s="13">
        <v>0</v>
      </c>
      <c r="AH219" s="13">
        <v>0</v>
      </c>
      <c r="AI219" s="13">
        <v>0</v>
      </c>
      <c r="AJ219" s="13">
        <f>VLOOKUP(Table24[[#This Row],[3_Elephant_ID]],'[1]Attributes(OUTDATED)'!$A$2:$P$19,16,FALSE)</f>
        <v>2</v>
      </c>
      <c r="AK219" s="13">
        <f>VLOOKUP(Table24[[#This Row],[3_Elephant_ID]],'[1]Attributes(OUTDATED)'!$A$2:$S$19,17,FALSE)</f>
        <v>1</v>
      </c>
      <c r="AL219" s="13">
        <f>VLOOKUP(Table24[[#This Row],[3_Elephant_ID]],'[1]Attributes(OUTDATED)'!$A$2:$S$19,18,FALSE)</f>
        <v>6</v>
      </c>
    </row>
    <row r="220" spans="1:38" ht="28" x14ac:dyDescent="0.15">
      <c r="A220" s="3">
        <v>343</v>
      </c>
      <c r="B220" s="6">
        <v>1101241129</v>
      </c>
      <c r="C220" s="7">
        <v>11</v>
      </c>
      <c r="D220" s="7">
        <v>1</v>
      </c>
      <c r="E220" s="7">
        <v>2024</v>
      </c>
      <c r="F220" s="5">
        <v>45302</v>
      </c>
      <c r="G220" s="6" t="s">
        <v>17</v>
      </c>
      <c r="H220" s="17">
        <v>0.21860420650095602</v>
      </c>
      <c r="I220" s="3" t="str">
        <f>VLOOKUP(G220,'[1]Attributes(OUTDATED)'!$A$2:$C$19,2,FALSE)</f>
        <v>M</v>
      </c>
      <c r="J220" s="3" t="str">
        <f>VLOOKUP(G220,'[1]Attributes(OUTDATED)'!$A$2:$C$19,3,FALSE)</f>
        <v>J</v>
      </c>
      <c r="K220" s="3">
        <f>VLOOKUP(G220,'[1]Attributes(OUTDATED)'!$A$2:$H$19,8,FALSE)</f>
        <v>699</v>
      </c>
      <c r="L220" s="3" t="str">
        <f>J220&amp;I220</f>
        <v>JM</v>
      </c>
      <c r="M220" s="11">
        <v>45300</v>
      </c>
      <c r="N220" s="13">
        <v>30.4</v>
      </c>
      <c r="O220" s="13">
        <v>22</v>
      </c>
      <c r="P220" s="13">
        <v>14.8</v>
      </c>
      <c r="Q220" s="13">
        <f>Table24[[#This Row],[2_Temp_H]]-Table24[[#This Row],[2_Temp_L]]</f>
        <v>15.599999999999998</v>
      </c>
      <c r="R220" s="13">
        <v>21.1</v>
      </c>
      <c r="S220" s="13">
        <v>5.0999999999999996</v>
      </c>
      <c r="T220" s="13">
        <v>1010.84</v>
      </c>
      <c r="U220" s="13">
        <v>1005.08</v>
      </c>
      <c r="V220" s="13">
        <v>0</v>
      </c>
      <c r="W220" s="13" t="s">
        <v>148</v>
      </c>
      <c r="X220" s="16" t="s">
        <v>171</v>
      </c>
      <c r="Y220" s="13" t="s">
        <v>137</v>
      </c>
      <c r="Z220" s="13" t="s">
        <v>143</v>
      </c>
      <c r="AA220" s="13" t="s">
        <v>145</v>
      </c>
      <c r="AB220" s="13" t="s">
        <v>137</v>
      </c>
      <c r="AC220" s="13">
        <f>VLOOKUP(Table24[[#This Row],[3_Elephant_ID]],'[1]Attributes(OUTDATED)'!$A$2:$N$19,12,FALSE)</f>
        <v>343</v>
      </c>
      <c r="AD220" s="13">
        <f>VLOOKUP(Table24[[#This Row],[3_Elephant_ID]],'[1]Attributes(OUTDATED)'!$A$2:$N$19,13,FALSE)</f>
        <v>0.81</v>
      </c>
      <c r="AE220" s="13">
        <f>VLOOKUP(Table24[[#This Row],[3_Elephant_ID]],'[1]Attributes(OUTDATED)'!$A$2:$N$19,14,FALSE)</f>
        <v>0.80966774571167055</v>
      </c>
      <c r="AF220" s="13">
        <v>0</v>
      </c>
      <c r="AG220" s="13">
        <v>0</v>
      </c>
      <c r="AH220" s="13">
        <v>0</v>
      </c>
      <c r="AI220" s="13">
        <v>0</v>
      </c>
      <c r="AJ220" s="13">
        <f>VLOOKUP(Table24[[#This Row],[3_Elephant_ID]],'[1]Attributes(OUTDATED)'!$A$2:$P$19,16,FALSE)</f>
        <v>1</v>
      </c>
      <c r="AK220" s="13">
        <f>VLOOKUP(Table24[[#This Row],[3_Elephant_ID]],'[1]Attributes(OUTDATED)'!$A$2:$S$19,17,FALSE)</f>
        <v>0</v>
      </c>
      <c r="AL220" s="13">
        <f>VLOOKUP(Table24[[#This Row],[3_Elephant_ID]],'[1]Attributes(OUTDATED)'!$A$2:$S$19,18,FALSE)</f>
        <v>8</v>
      </c>
    </row>
    <row r="221" spans="1:38" ht="28" x14ac:dyDescent="0.15">
      <c r="A221" s="3">
        <v>342</v>
      </c>
      <c r="B221" s="6">
        <v>1101241131</v>
      </c>
      <c r="C221" s="7">
        <v>11</v>
      </c>
      <c r="D221" s="7">
        <v>1</v>
      </c>
      <c r="E221" s="7">
        <v>2024</v>
      </c>
      <c r="F221" s="5">
        <v>45302</v>
      </c>
      <c r="G221" s="6" t="s">
        <v>5</v>
      </c>
      <c r="H221" s="17">
        <v>0.27701886792452829</v>
      </c>
      <c r="I221" s="3" t="str">
        <f>VLOOKUP(G221,'[1]Attributes(OUTDATED)'!$A$2:$C$19,2,FALSE)</f>
        <v>M</v>
      </c>
      <c r="J221" s="3" t="str">
        <f>VLOOKUP(G221,'[1]Attributes(OUTDATED)'!$A$2:$C$19,3,FALSE)</f>
        <v>J</v>
      </c>
      <c r="K221" s="3">
        <f>VLOOKUP(G221,'[1]Attributes(OUTDATED)'!$A$2:$H$19,8,FALSE)</f>
        <v>940</v>
      </c>
      <c r="L221" s="3" t="str">
        <f>J221&amp;I221</f>
        <v>JM</v>
      </c>
      <c r="M221" s="11">
        <v>45300</v>
      </c>
      <c r="N221" s="13">
        <v>30.4</v>
      </c>
      <c r="O221" s="13">
        <v>22</v>
      </c>
      <c r="P221" s="13">
        <v>14.8</v>
      </c>
      <c r="Q221" s="13">
        <f>Table24[[#This Row],[2_Temp_H]]-Table24[[#This Row],[2_Temp_L]]</f>
        <v>15.599999999999998</v>
      </c>
      <c r="R221" s="13">
        <v>21.1</v>
      </c>
      <c r="S221" s="13">
        <v>5.0999999999999996</v>
      </c>
      <c r="T221" s="13">
        <v>1010.84</v>
      </c>
      <c r="U221" s="13">
        <v>1005.08</v>
      </c>
      <c r="V221" s="13">
        <v>0</v>
      </c>
      <c r="W221" s="13" t="s">
        <v>148</v>
      </c>
      <c r="X221" s="16" t="s">
        <v>171</v>
      </c>
      <c r="Y221" s="13" t="s">
        <v>137</v>
      </c>
      <c r="Z221" s="13" t="s">
        <v>143</v>
      </c>
      <c r="AA221" s="13" t="s">
        <v>145</v>
      </c>
      <c r="AB221" s="13" t="s">
        <v>137</v>
      </c>
      <c r="AC221" s="13">
        <f>VLOOKUP(Table24[[#This Row],[3_Elephant_ID]],'[1]Attributes(OUTDATED)'!$A$2:$N$19,12,FALSE)</f>
        <v>361</v>
      </c>
      <c r="AD221" s="13">
        <f>VLOOKUP(Table24[[#This Row],[3_Elephant_ID]],'[1]Attributes(OUTDATED)'!$A$2:$N$19,13,FALSE)</f>
        <v>0.40600000000000003</v>
      </c>
      <c r="AE221" s="13">
        <f>VLOOKUP(Table24[[#This Row],[3_Elephant_ID]],'[1]Attributes(OUTDATED)'!$A$2:$N$19,14,FALSE)</f>
        <v>0.40590323220736402</v>
      </c>
      <c r="AF221" s="13">
        <v>0</v>
      </c>
      <c r="AG221" s="13">
        <v>0</v>
      </c>
      <c r="AH221" s="13">
        <v>0</v>
      </c>
      <c r="AI221" s="13">
        <v>0</v>
      </c>
      <c r="AJ221" s="13">
        <f>VLOOKUP(Table24[[#This Row],[3_Elephant_ID]],'[1]Attributes(OUTDATED)'!$A$2:$P$19,16,FALSE)</f>
        <v>1</v>
      </c>
      <c r="AK221" s="13">
        <f>VLOOKUP(Table24[[#This Row],[3_Elephant_ID]],'[1]Attributes(OUTDATED)'!$A$2:$S$19,17,FALSE)</f>
        <v>2</v>
      </c>
      <c r="AL221" s="13">
        <f>VLOOKUP(Table24[[#This Row],[3_Elephant_ID]],'[1]Attributes(OUTDATED)'!$A$2:$S$19,18,FALSE)</f>
        <v>7</v>
      </c>
    </row>
    <row r="222" spans="1:38" ht="28" x14ac:dyDescent="0.15">
      <c r="A222" s="3">
        <v>341</v>
      </c>
      <c r="B222" s="6">
        <v>1201241019</v>
      </c>
      <c r="C222" s="7">
        <v>12</v>
      </c>
      <c r="D222" s="7">
        <v>1</v>
      </c>
      <c r="E222" s="7">
        <v>2024</v>
      </c>
      <c r="F222" s="5">
        <v>45303</v>
      </c>
      <c r="G222" s="6" t="s">
        <v>14</v>
      </c>
      <c r="H222" s="17">
        <v>0.26624288425047443</v>
      </c>
      <c r="I222" s="3" t="str">
        <f>VLOOKUP(G222,'[1]Attributes(OUTDATED)'!$A$2:$C$19,2,FALSE)</f>
        <v>F</v>
      </c>
      <c r="J222" s="3" t="str">
        <f>VLOOKUP(G222,'[1]Attributes(OUTDATED)'!$A$2:$C$19,3,FALSE)</f>
        <v>J</v>
      </c>
      <c r="K222" s="3">
        <f>VLOOKUP(G222,'[1]Attributes(OUTDATED)'!$A$2:$H$19,8,FALSE)</f>
        <v>879</v>
      </c>
      <c r="L222" s="3" t="str">
        <f>J222&amp;I222</f>
        <v>JF</v>
      </c>
      <c r="M222" s="11">
        <v>45301</v>
      </c>
      <c r="N222" s="13">
        <v>27.1</v>
      </c>
      <c r="O222" s="13">
        <v>20.5</v>
      </c>
      <c r="P222" s="13">
        <v>16.2</v>
      </c>
      <c r="Q222" s="13">
        <f>Table24[[#This Row],[2_Temp_H]]-Table24[[#This Row],[2_Temp_L]]</f>
        <v>10.900000000000002</v>
      </c>
      <c r="R222" s="13">
        <v>24.8</v>
      </c>
      <c r="S222" s="13">
        <v>5</v>
      </c>
      <c r="T222" s="13">
        <v>1008.81</v>
      </c>
      <c r="U222" s="13">
        <v>1006.1</v>
      </c>
      <c r="V222" s="13">
        <v>7.87</v>
      </c>
      <c r="W222" s="13" t="s">
        <v>148</v>
      </c>
      <c r="X222" s="16" t="s">
        <v>171</v>
      </c>
      <c r="Y222" s="13" t="s">
        <v>137</v>
      </c>
      <c r="Z222" s="13" t="s">
        <v>143</v>
      </c>
      <c r="AA222" s="13" t="s">
        <v>145</v>
      </c>
      <c r="AB222" s="13" t="s">
        <v>137</v>
      </c>
      <c r="AC222" s="13">
        <f>VLOOKUP(Table24[[#This Row],[3_Elephant_ID]],'[1]Attributes(OUTDATED)'!$A$2:$N$19,12,FALSE)</f>
        <v>269</v>
      </c>
      <c r="AD222" s="13">
        <f>VLOOKUP(Table24[[#This Row],[3_Elephant_ID]],'[1]Attributes(OUTDATED)'!$A$2:$N$19,13,FALSE)</f>
        <v>0.65800000000000003</v>
      </c>
      <c r="AE222" s="13">
        <f>VLOOKUP(Table24[[#This Row],[3_Elephant_ID]],'[1]Attributes(OUTDATED)'!$A$2:$N$19,14,FALSE)</f>
        <v>0.65767064449315993</v>
      </c>
      <c r="AF222" s="13">
        <v>0</v>
      </c>
      <c r="AG222" s="13">
        <v>0</v>
      </c>
      <c r="AH222" s="13">
        <v>0</v>
      </c>
      <c r="AI222" s="13">
        <v>0</v>
      </c>
      <c r="AJ222" s="13">
        <f>VLOOKUP(Table24[[#This Row],[3_Elephant_ID]],'[1]Attributes(OUTDATED)'!$A$2:$P$19,16,FALSE)</f>
        <v>1</v>
      </c>
      <c r="AK222" s="13">
        <f>VLOOKUP(Table24[[#This Row],[3_Elephant_ID]],'[1]Attributes(OUTDATED)'!$A$2:$S$19,17,FALSE)</f>
        <v>3</v>
      </c>
      <c r="AL222" s="13">
        <f>VLOOKUP(Table24[[#This Row],[3_Elephant_ID]],'[1]Attributes(OUTDATED)'!$A$2:$S$19,18,FALSE)</f>
        <v>9</v>
      </c>
    </row>
    <row r="223" spans="1:38" ht="28" x14ac:dyDescent="0.15">
      <c r="A223" s="3">
        <v>339</v>
      </c>
      <c r="B223" s="6">
        <v>1201241510</v>
      </c>
      <c r="C223" s="7">
        <v>12</v>
      </c>
      <c r="D223" s="7">
        <v>1</v>
      </c>
      <c r="E223" s="7">
        <v>2024</v>
      </c>
      <c r="F223" s="5">
        <v>45303</v>
      </c>
      <c r="G223" s="6" t="s">
        <v>11</v>
      </c>
      <c r="H223" s="17">
        <v>0.27466292134831455</v>
      </c>
      <c r="I223" s="3" t="str">
        <f>VLOOKUP(G223,'[1]Attributes(OUTDATED)'!$A$2:$C$19,2,FALSE)</f>
        <v>M</v>
      </c>
      <c r="J223" s="3" t="str">
        <f>VLOOKUP(G223,'[1]Attributes(OUTDATED)'!$A$2:$C$19,3,FALSE)</f>
        <v>A</v>
      </c>
      <c r="K223" s="3">
        <f>VLOOKUP(G223,'[1]Attributes(OUTDATED)'!$A$2:$H$19,8,FALSE)</f>
        <v>1223</v>
      </c>
      <c r="L223" s="3" t="str">
        <f>J223&amp;I223</f>
        <v>AM</v>
      </c>
      <c r="M223" s="11">
        <v>45301</v>
      </c>
      <c r="N223" s="13">
        <v>27.1</v>
      </c>
      <c r="O223" s="13">
        <v>20.5</v>
      </c>
      <c r="P223" s="13">
        <v>16.2</v>
      </c>
      <c r="Q223" s="13">
        <f>Table24[[#This Row],[2_Temp_H]]-Table24[[#This Row],[2_Temp_L]]</f>
        <v>10.900000000000002</v>
      </c>
      <c r="R223" s="13">
        <v>24.8</v>
      </c>
      <c r="S223" s="13">
        <v>5</v>
      </c>
      <c r="T223" s="13">
        <v>1008.81</v>
      </c>
      <c r="U223" s="13">
        <v>1006.1</v>
      </c>
      <c r="V223" s="13">
        <v>7.87</v>
      </c>
      <c r="W223" s="13" t="s">
        <v>148</v>
      </c>
      <c r="X223" s="16" t="s">
        <v>171</v>
      </c>
      <c r="Y223" s="13" t="s">
        <v>137</v>
      </c>
      <c r="Z223" s="13" t="s">
        <v>143</v>
      </c>
      <c r="AA223" s="13" t="s">
        <v>145</v>
      </c>
      <c r="AB223" s="13" t="s">
        <v>137</v>
      </c>
      <c r="AC223" s="13">
        <f>VLOOKUP(Table24[[#This Row],[3_Elephant_ID]],'[1]Attributes(OUTDATED)'!$A$2:$N$19,12,FALSE)</f>
        <v>404</v>
      </c>
      <c r="AD223" s="13">
        <f>VLOOKUP(Table24[[#This Row],[3_Elephant_ID]],'[1]Attributes(OUTDATED)'!$A$2:$N$19,13,FALSE)</f>
        <v>0.91700000000000004</v>
      </c>
      <c r="AE223" s="13">
        <f>VLOOKUP(Table24[[#This Row],[3_Elephant_ID]],'[1]Attributes(OUTDATED)'!$A$2:$N$19,14,FALSE)</f>
        <v>0.91664628583929353</v>
      </c>
      <c r="AF223" s="13">
        <v>0</v>
      </c>
      <c r="AG223" s="13">
        <v>0</v>
      </c>
      <c r="AH223" s="13">
        <v>0</v>
      </c>
      <c r="AI223" s="13">
        <v>0</v>
      </c>
      <c r="AJ223" s="13">
        <f>VLOOKUP(Table24[[#This Row],[3_Elephant_ID]],'[1]Attributes(OUTDATED)'!$A$2:$P$19,16,FALSE)</f>
        <v>1</v>
      </c>
      <c r="AK223" s="13">
        <f>VLOOKUP(Table24[[#This Row],[3_Elephant_ID]],'[1]Attributes(OUTDATED)'!$A$2:$S$19,17,FALSE)</f>
        <v>14</v>
      </c>
      <c r="AL223" s="13">
        <f>VLOOKUP(Table24[[#This Row],[3_Elephant_ID]],'[1]Attributes(OUTDATED)'!$A$2:$S$19,18,FALSE)</f>
        <v>17</v>
      </c>
    </row>
    <row r="224" spans="1:38" ht="28" x14ac:dyDescent="0.15">
      <c r="A224" s="3">
        <v>338</v>
      </c>
      <c r="B224" s="6">
        <v>1201241514</v>
      </c>
      <c r="C224" s="7">
        <v>12</v>
      </c>
      <c r="D224" s="7">
        <v>1</v>
      </c>
      <c r="E224" s="7">
        <v>2024</v>
      </c>
      <c r="F224" s="5">
        <v>45303</v>
      </c>
      <c r="G224" s="6" t="s">
        <v>13</v>
      </c>
      <c r="H224" s="17">
        <v>0.43248587570621466</v>
      </c>
      <c r="I224" s="3" t="str">
        <f>VLOOKUP(G224,'[1]Attributes(OUTDATED)'!$A$2:$C$19,2,FALSE)</f>
        <v>F</v>
      </c>
      <c r="J224" s="3" t="str">
        <f>VLOOKUP(G224,'[1]Attributes(OUTDATED)'!$A$2:$C$19,3,FALSE)</f>
        <v>A</v>
      </c>
      <c r="K224" s="3">
        <f>VLOOKUP(G224,'[1]Attributes(OUTDATED)'!$A$2:$H$19,8,FALSE)</f>
        <v>963</v>
      </c>
      <c r="L224" s="3" t="str">
        <f>J224&amp;I224</f>
        <v>AF</v>
      </c>
      <c r="M224" s="11">
        <v>45301</v>
      </c>
      <c r="N224" s="13">
        <v>27.1</v>
      </c>
      <c r="O224" s="13">
        <v>20.5</v>
      </c>
      <c r="P224" s="13">
        <v>16.2</v>
      </c>
      <c r="Q224" s="13">
        <f>Table24[[#This Row],[2_Temp_H]]-Table24[[#This Row],[2_Temp_L]]</f>
        <v>10.900000000000002</v>
      </c>
      <c r="R224" s="13">
        <v>24.8</v>
      </c>
      <c r="S224" s="13">
        <v>5</v>
      </c>
      <c r="T224" s="13">
        <v>1008.81</v>
      </c>
      <c r="U224" s="13">
        <v>1006.1</v>
      </c>
      <c r="V224" s="13">
        <v>7.87</v>
      </c>
      <c r="W224" s="13" t="s">
        <v>148</v>
      </c>
      <c r="X224" s="16" t="s">
        <v>171</v>
      </c>
      <c r="Y224" s="13" t="s">
        <v>137</v>
      </c>
      <c r="Z224" s="13" t="s">
        <v>143</v>
      </c>
      <c r="AA224" s="13" t="s">
        <v>145</v>
      </c>
      <c r="AB224" s="13" t="s">
        <v>137</v>
      </c>
      <c r="AC224" s="13">
        <f>VLOOKUP(Table24[[#This Row],[3_Elephant_ID]],'[1]Attributes(OUTDATED)'!$A$2:$N$19,12,FALSE)</f>
        <v>289</v>
      </c>
      <c r="AD224" s="13">
        <f>VLOOKUP(Table24[[#This Row],[3_Elephant_ID]],'[1]Attributes(OUTDATED)'!$A$2:$N$19,13,FALSE)</f>
        <v>0.32400000000000001</v>
      </c>
      <c r="AE224" s="13">
        <f>VLOOKUP(Table24[[#This Row],[3_Elephant_ID]],'[1]Attributes(OUTDATED)'!$A$2:$N$19,14,FALSE)</f>
        <v>0.32380809109629533</v>
      </c>
      <c r="AF224" s="13">
        <v>0</v>
      </c>
      <c r="AG224" s="13">
        <v>0</v>
      </c>
      <c r="AH224" s="13">
        <v>0</v>
      </c>
      <c r="AI224" s="13">
        <v>0</v>
      </c>
      <c r="AJ224" s="13">
        <f>VLOOKUP(Table24[[#This Row],[3_Elephant_ID]],'[1]Attributes(OUTDATED)'!$A$2:$P$19,16,FALSE)</f>
        <v>2</v>
      </c>
      <c r="AK224" s="13">
        <f>VLOOKUP(Table24[[#This Row],[3_Elephant_ID]],'[1]Attributes(OUTDATED)'!$A$2:$S$19,17,FALSE)</f>
        <v>9</v>
      </c>
      <c r="AL224" s="13">
        <f>VLOOKUP(Table24[[#This Row],[3_Elephant_ID]],'[1]Attributes(OUTDATED)'!$A$2:$S$19,18,FALSE)</f>
        <v>9</v>
      </c>
    </row>
    <row r="225" spans="1:38" ht="28" x14ac:dyDescent="0.15">
      <c r="A225" s="3">
        <v>337</v>
      </c>
      <c r="B225" s="6">
        <v>1201241523</v>
      </c>
      <c r="C225" s="7">
        <v>12</v>
      </c>
      <c r="D225" s="7">
        <v>1</v>
      </c>
      <c r="E225" s="7">
        <v>2024</v>
      </c>
      <c r="F225" s="5">
        <v>45303</v>
      </c>
      <c r="G225" s="6" t="s">
        <v>7</v>
      </c>
      <c r="H225" s="17">
        <v>0.11824497257769655</v>
      </c>
      <c r="I225" s="3" t="str">
        <f>VLOOKUP(G225,'[1]Attributes(OUTDATED)'!$A$2:$C$19,2,FALSE)</f>
        <v>F</v>
      </c>
      <c r="J225" s="3" t="str">
        <f>VLOOKUP(G225,'[1]Attributes(OUTDATED)'!$A$2:$C$19,3,FALSE)</f>
        <v>J</v>
      </c>
      <c r="K225" s="3">
        <f>VLOOKUP(G225,'[1]Attributes(OUTDATED)'!$A$2:$H$19,8,FALSE)</f>
        <v>711</v>
      </c>
      <c r="L225" s="3" t="str">
        <f>J225&amp;I225</f>
        <v>JF</v>
      </c>
      <c r="M225" s="11">
        <v>45301</v>
      </c>
      <c r="N225" s="13">
        <v>27.1</v>
      </c>
      <c r="O225" s="13">
        <v>20.5</v>
      </c>
      <c r="P225" s="13">
        <v>16.2</v>
      </c>
      <c r="Q225" s="13">
        <f>Table24[[#This Row],[2_Temp_H]]-Table24[[#This Row],[2_Temp_L]]</f>
        <v>10.900000000000002</v>
      </c>
      <c r="R225" s="13">
        <v>24.8</v>
      </c>
      <c r="S225" s="13">
        <v>5</v>
      </c>
      <c r="T225" s="13">
        <v>1008.81</v>
      </c>
      <c r="U225" s="13">
        <v>1006.1</v>
      </c>
      <c r="V225" s="13">
        <v>7.87</v>
      </c>
      <c r="W225" s="13" t="s">
        <v>148</v>
      </c>
      <c r="X225" s="16" t="s">
        <v>171</v>
      </c>
      <c r="Y225" s="13" t="s">
        <v>137</v>
      </c>
      <c r="Z225" s="13" t="s">
        <v>143</v>
      </c>
      <c r="AA225" s="13" t="s">
        <v>145</v>
      </c>
      <c r="AB225" s="13" t="s">
        <v>137</v>
      </c>
      <c r="AC225" s="13">
        <f>VLOOKUP(Table24[[#This Row],[3_Elephant_ID]],'[1]Attributes(OUTDATED)'!$A$2:$N$19,12,FALSE)</f>
        <v>398</v>
      </c>
      <c r="AD225" s="13">
        <f>VLOOKUP(Table24[[#This Row],[3_Elephant_ID]],'[1]Attributes(OUTDATED)'!$A$2:$N$19,13,FALSE)</f>
        <v>0.47899999999999998</v>
      </c>
      <c r="AE225" s="13">
        <f>VLOOKUP(Table24[[#This Row],[3_Elephant_ID]],'[1]Attributes(OUTDATED)'!$A$2:$N$19,14,FALSE)</f>
        <v>0.47820662037086947</v>
      </c>
      <c r="AF225" s="13">
        <v>0</v>
      </c>
      <c r="AG225" s="13">
        <v>0</v>
      </c>
      <c r="AH225" s="13">
        <v>0</v>
      </c>
      <c r="AI225" s="13">
        <v>0</v>
      </c>
      <c r="AJ225" s="13">
        <f>VLOOKUP(Table24[[#This Row],[3_Elephant_ID]],'[1]Attributes(OUTDATED)'!$A$2:$P$19,16,FALSE)</f>
        <v>1</v>
      </c>
      <c r="AK225" s="13">
        <f>VLOOKUP(Table24[[#This Row],[3_Elephant_ID]],'[1]Attributes(OUTDATED)'!$A$2:$S$19,17,FALSE)</f>
        <v>0</v>
      </c>
      <c r="AL225" s="13">
        <f>VLOOKUP(Table24[[#This Row],[3_Elephant_ID]],'[1]Attributes(OUTDATED)'!$A$2:$S$19,18,FALSE)</f>
        <v>12</v>
      </c>
    </row>
    <row r="226" spans="1:38" ht="28" x14ac:dyDescent="0.15">
      <c r="A226" s="3">
        <v>340</v>
      </c>
      <c r="B226" s="6">
        <v>1201241507</v>
      </c>
      <c r="C226" s="7">
        <v>12</v>
      </c>
      <c r="D226" s="7">
        <v>1</v>
      </c>
      <c r="E226" s="7">
        <v>2024</v>
      </c>
      <c r="F226" s="5">
        <v>45303</v>
      </c>
      <c r="G226" s="6" t="s">
        <v>16</v>
      </c>
      <c r="H226" s="17">
        <v>0.48097701149425287</v>
      </c>
      <c r="I226" s="3" t="str">
        <f>VLOOKUP(G226,'[1]Attributes(OUTDATED)'!$A$2:$C$19,2,FALSE)</f>
        <v>F</v>
      </c>
      <c r="J226" s="3" t="str">
        <f>VLOOKUP(G226,'[1]Attributes(OUTDATED)'!$A$2:$C$19,3,FALSE)</f>
        <v>A</v>
      </c>
      <c r="K226" s="3">
        <f>VLOOKUP(G226,'[1]Attributes(OUTDATED)'!$A$2:$H$19,8,FALSE)</f>
        <v>1346</v>
      </c>
      <c r="L226" s="3" t="str">
        <f>J226&amp;I226</f>
        <v>AF</v>
      </c>
      <c r="M226" s="11">
        <v>45301</v>
      </c>
      <c r="N226" s="13">
        <v>27.1</v>
      </c>
      <c r="O226" s="13">
        <v>20.5</v>
      </c>
      <c r="P226" s="13">
        <v>16.2</v>
      </c>
      <c r="Q226" s="13">
        <f>Table24[[#This Row],[2_Temp_H]]-Table24[[#This Row],[2_Temp_L]]</f>
        <v>10.900000000000002</v>
      </c>
      <c r="R226" s="13">
        <v>24.8</v>
      </c>
      <c r="S226" s="13">
        <v>5</v>
      </c>
      <c r="T226" s="13">
        <v>1008.81</v>
      </c>
      <c r="U226" s="13">
        <v>1006.1</v>
      </c>
      <c r="V226" s="13">
        <v>7.87</v>
      </c>
      <c r="W226" s="13" t="s">
        <v>148</v>
      </c>
      <c r="X226" s="16" t="s">
        <v>171</v>
      </c>
      <c r="Y226" s="13" t="s">
        <v>137</v>
      </c>
      <c r="Z226" s="13" t="s">
        <v>143</v>
      </c>
      <c r="AA226" s="13" t="s">
        <v>145</v>
      </c>
      <c r="AB226" s="13" t="s">
        <v>137</v>
      </c>
      <c r="AC226" s="13">
        <f>VLOOKUP(Table24[[#This Row],[3_Elephant_ID]],'[1]Attributes(OUTDATED)'!$A$2:$N$19,12,FALSE)</f>
        <v>474</v>
      </c>
      <c r="AD226" s="13">
        <f>VLOOKUP(Table24[[#This Row],[3_Elephant_ID]],'[1]Attributes(OUTDATED)'!$A$2:$N$19,13,FALSE)</f>
        <v>0.121</v>
      </c>
      <c r="AE226" s="13">
        <f>VLOOKUP(Table24[[#This Row],[3_Elephant_ID]],'[1]Attributes(OUTDATED)'!$A$2:$N$19,14,FALSE)</f>
        <v>0.1206993463154281</v>
      </c>
      <c r="AF226" s="13">
        <v>0</v>
      </c>
      <c r="AG226" s="13">
        <v>0</v>
      </c>
      <c r="AH226" s="13">
        <v>0</v>
      </c>
      <c r="AI226" s="13">
        <v>0</v>
      </c>
      <c r="AJ226" s="13">
        <f>VLOOKUP(Table24[[#This Row],[3_Elephant_ID]],'[1]Attributes(OUTDATED)'!$A$2:$P$19,16,FALSE)</f>
        <v>1</v>
      </c>
      <c r="AK226" s="13">
        <f>VLOOKUP(Table24[[#This Row],[3_Elephant_ID]],'[1]Attributes(OUTDATED)'!$A$2:$S$19,17,FALSE)</f>
        <v>16</v>
      </c>
      <c r="AL226" s="13">
        <f>VLOOKUP(Table24[[#This Row],[3_Elephant_ID]],'[1]Attributes(OUTDATED)'!$A$2:$S$19,18,FALSE)</f>
        <v>1</v>
      </c>
    </row>
    <row r="227" spans="1:38" ht="28" x14ac:dyDescent="0.15">
      <c r="A227" s="3">
        <v>336</v>
      </c>
      <c r="B227" s="6">
        <v>1501241127</v>
      </c>
      <c r="C227" s="7">
        <v>15</v>
      </c>
      <c r="D227" s="7">
        <v>1</v>
      </c>
      <c r="E227" s="7">
        <v>2024</v>
      </c>
      <c r="F227" s="5">
        <v>45306</v>
      </c>
      <c r="G227" s="6" t="s">
        <v>4</v>
      </c>
      <c r="H227" s="17">
        <v>0.42598870056497184</v>
      </c>
      <c r="I227" s="3" t="str">
        <f>VLOOKUP(G227,'[1]Attributes(OUTDATED)'!$A$2:$C$19,2,FALSE)</f>
        <v>M</v>
      </c>
      <c r="J227" s="3" t="str">
        <f>VLOOKUP(G227,'[1]Attributes(OUTDATED)'!$A$2:$C$19,3,FALSE)</f>
        <v>J</v>
      </c>
      <c r="K227" s="3">
        <f>VLOOKUP(G227,'[1]Attributes(OUTDATED)'!$A$2:$H$19,8,FALSE)</f>
        <v>1055</v>
      </c>
      <c r="L227" s="3" t="str">
        <f>J227&amp;I227</f>
        <v>JM</v>
      </c>
      <c r="M227" s="11">
        <v>45304</v>
      </c>
      <c r="N227" s="13">
        <v>32.299999999999997</v>
      </c>
      <c r="O227" s="13">
        <v>23.6</v>
      </c>
      <c r="P227" s="13">
        <v>18</v>
      </c>
      <c r="Q227" s="13">
        <f>Table24[[#This Row],[2_Temp_H]]-Table24[[#This Row],[2_Temp_L]]</f>
        <v>14.299999999999997</v>
      </c>
      <c r="R227" s="13">
        <v>26.2</v>
      </c>
      <c r="S227" s="13">
        <v>5.8</v>
      </c>
      <c r="T227" s="13">
        <v>1009.82</v>
      </c>
      <c r="U227" s="13">
        <v>1006.1</v>
      </c>
      <c r="V227" s="13">
        <v>0</v>
      </c>
      <c r="W227" s="13" t="s">
        <v>148</v>
      </c>
      <c r="X227" s="16" t="s">
        <v>171</v>
      </c>
      <c r="Y227" s="13" t="s">
        <v>137</v>
      </c>
      <c r="Z227" s="13" t="s">
        <v>143</v>
      </c>
      <c r="AA227" s="13" t="s">
        <v>145</v>
      </c>
      <c r="AB227" s="13" t="s">
        <v>137</v>
      </c>
      <c r="AC227" s="13">
        <f>VLOOKUP(Table24[[#This Row],[3_Elephant_ID]],'[1]Attributes(OUTDATED)'!$A$2:$N$19,12,FALSE)</f>
        <v>181</v>
      </c>
      <c r="AD227" s="13">
        <f>VLOOKUP(Table24[[#This Row],[3_Elephant_ID]],'[1]Attributes(OUTDATED)'!$A$2:$N$19,13,FALSE)</f>
        <v>7.3999999999999996E-2</v>
      </c>
      <c r="AE227" s="13">
        <f>VLOOKUP(Table24[[#This Row],[3_Elephant_ID]],'[1]Attributes(OUTDATED)'!$A$2:$N$19,14,FALSE)</f>
        <v>7.3914663535330896E-2</v>
      </c>
      <c r="AF227" s="13">
        <v>0</v>
      </c>
      <c r="AG227" s="13">
        <v>0</v>
      </c>
      <c r="AH227" s="13">
        <v>0</v>
      </c>
      <c r="AI227" s="13">
        <v>0</v>
      </c>
      <c r="AJ227" s="13">
        <f>VLOOKUP(Table24[[#This Row],[3_Elephant_ID]],'[1]Attributes(OUTDATED)'!$A$2:$P$19,16,FALSE)</f>
        <v>1</v>
      </c>
      <c r="AK227" s="13">
        <f>VLOOKUP(Table24[[#This Row],[3_Elephant_ID]],'[1]Attributes(OUTDATED)'!$A$2:$S$19,17,FALSE)</f>
        <v>7</v>
      </c>
      <c r="AL227" s="13">
        <f>VLOOKUP(Table24[[#This Row],[3_Elephant_ID]],'[1]Attributes(OUTDATED)'!$A$2:$S$19,18,FALSE)</f>
        <v>9</v>
      </c>
    </row>
    <row r="228" spans="1:38" ht="28" x14ac:dyDescent="0.15">
      <c r="A228" s="3">
        <v>335</v>
      </c>
      <c r="B228" s="6">
        <v>1501241131</v>
      </c>
      <c r="C228" s="7">
        <v>15</v>
      </c>
      <c r="D228" s="7">
        <v>1</v>
      </c>
      <c r="E228" s="7">
        <v>2024</v>
      </c>
      <c r="F228" s="5">
        <v>45306</v>
      </c>
      <c r="G228" s="6" t="s">
        <v>12</v>
      </c>
      <c r="H228" s="17">
        <v>0.43600746268656726</v>
      </c>
      <c r="I228" s="3" t="str">
        <f>VLOOKUP(G228,'[1]Attributes(OUTDATED)'!$A$2:$C$19,2,FALSE)</f>
        <v>M</v>
      </c>
      <c r="J228" s="3" t="str">
        <f>VLOOKUP(G228,'[1]Attributes(OUTDATED)'!$A$2:$C$19,3,FALSE)</f>
        <v>A</v>
      </c>
      <c r="K228" s="3">
        <f>VLOOKUP(G228,'[1]Attributes(OUTDATED)'!$A$2:$H$19,8,FALSE)</f>
        <v>1509</v>
      </c>
      <c r="L228" s="3" t="str">
        <f>J228&amp;I228</f>
        <v>AM</v>
      </c>
      <c r="M228" s="11">
        <v>45304</v>
      </c>
      <c r="N228" s="13">
        <v>32.299999999999997</v>
      </c>
      <c r="O228" s="13">
        <v>23.6</v>
      </c>
      <c r="P228" s="13">
        <v>18</v>
      </c>
      <c r="Q228" s="13">
        <f>Table24[[#This Row],[2_Temp_H]]-Table24[[#This Row],[2_Temp_L]]</f>
        <v>14.299999999999997</v>
      </c>
      <c r="R228" s="13">
        <v>26.2</v>
      </c>
      <c r="S228" s="13">
        <v>5.8</v>
      </c>
      <c r="T228" s="13">
        <v>1009.82</v>
      </c>
      <c r="U228" s="13">
        <v>1006.1</v>
      </c>
      <c r="V228" s="13">
        <v>0</v>
      </c>
      <c r="W228" s="13" t="s">
        <v>148</v>
      </c>
      <c r="X228" s="16" t="s">
        <v>171</v>
      </c>
      <c r="Y228" s="13" t="s">
        <v>137</v>
      </c>
      <c r="Z228" s="13" t="s">
        <v>143</v>
      </c>
      <c r="AA228" s="13" t="s">
        <v>145</v>
      </c>
      <c r="AB228" s="13" t="s">
        <v>137</v>
      </c>
      <c r="AC228" s="13">
        <f>VLOOKUP(Table24[[#This Row],[3_Elephant_ID]],'[1]Attributes(OUTDATED)'!$A$2:$N$19,12,FALSE)</f>
        <v>450</v>
      </c>
      <c r="AD228" s="13">
        <f>VLOOKUP(Table24[[#This Row],[3_Elephant_ID]],'[1]Attributes(OUTDATED)'!$A$2:$N$19,13,FALSE)</f>
        <v>0.375</v>
      </c>
      <c r="AE228" s="13">
        <f>VLOOKUP(Table24[[#This Row],[3_Elephant_ID]],'[1]Attributes(OUTDATED)'!$A$2:$N$19,14,FALSE)</f>
        <v>0.37414375430996583</v>
      </c>
      <c r="AF228" s="13">
        <v>0</v>
      </c>
      <c r="AG228" s="13">
        <v>0</v>
      </c>
      <c r="AH228" s="13">
        <v>0</v>
      </c>
      <c r="AI228" s="13">
        <v>0</v>
      </c>
      <c r="AJ228" s="13">
        <f>VLOOKUP(Table24[[#This Row],[3_Elephant_ID]],'[1]Attributes(OUTDATED)'!$A$2:$P$19,16,FALSE)</f>
        <v>1</v>
      </c>
      <c r="AK228" s="13">
        <f>VLOOKUP(Table24[[#This Row],[3_Elephant_ID]],'[1]Attributes(OUTDATED)'!$A$2:$S$19,17,FALSE)</f>
        <v>48</v>
      </c>
      <c r="AL228" s="13">
        <f>VLOOKUP(Table24[[#This Row],[3_Elephant_ID]],'[1]Attributes(OUTDATED)'!$A$2:$S$19,18,FALSE)</f>
        <v>3</v>
      </c>
    </row>
    <row r="229" spans="1:38" ht="28" x14ac:dyDescent="0.15">
      <c r="A229" s="3">
        <v>331</v>
      </c>
      <c r="B229" s="6">
        <v>1601241048</v>
      </c>
      <c r="C229" s="7">
        <v>16</v>
      </c>
      <c r="D229" s="7">
        <v>1</v>
      </c>
      <c r="E229" s="7">
        <v>2024</v>
      </c>
      <c r="F229" s="5">
        <v>45307</v>
      </c>
      <c r="G229" s="6" t="s">
        <v>3</v>
      </c>
      <c r="H229" s="17">
        <v>0.29687258687258694</v>
      </c>
      <c r="I229" s="3" t="str">
        <f>VLOOKUP(G229,'[1]Attributes(OUTDATED)'!$A$2:$C$19,2,FALSE)</f>
        <v>M</v>
      </c>
      <c r="J229" s="3" t="str">
        <f>VLOOKUP(G229,'[1]Attributes(OUTDATED)'!$A$2:$C$19,3,FALSE)</f>
        <v>J</v>
      </c>
      <c r="K229" s="3">
        <f>VLOOKUP(G229,'[1]Attributes(OUTDATED)'!$A$2:$H$19,8,FALSE)</f>
        <v>1031</v>
      </c>
      <c r="L229" s="3" t="str">
        <f>J229&amp;I229</f>
        <v>JM</v>
      </c>
      <c r="M229" s="11">
        <v>45305</v>
      </c>
      <c r="N229" s="13">
        <v>30.1</v>
      </c>
      <c r="O229" s="13">
        <v>23.1</v>
      </c>
      <c r="P229" s="13">
        <v>17.100000000000001</v>
      </c>
      <c r="Q229" s="13">
        <f>Table24[[#This Row],[2_Temp_H]]-Table24[[#This Row],[2_Temp_L]]</f>
        <v>13</v>
      </c>
      <c r="R229" s="13">
        <v>21.9</v>
      </c>
      <c r="S229" s="13">
        <v>5.0999999999999996</v>
      </c>
      <c r="T229" s="13">
        <v>1008.81</v>
      </c>
      <c r="U229" s="13">
        <v>1005.08</v>
      </c>
      <c r="V229" s="13">
        <v>0</v>
      </c>
      <c r="W229" s="13" t="s">
        <v>148</v>
      </c>
      <c r="X229" s="16" t="s">
        <v>171</v>
      </c>
      <c r="Y229" s="13" t="s">
        <v>137</v>
      </c>
      <c r="Z229" s="13" t="s">
        <v>143</v>
      </c>
      <c r="AA229" s="13" t="s">
        <v>145</v>
      </c>
      <c r="AB229" s="13" t="s">
        <v>137</v>
      </c>
      <c r="AC229" s="13">
        <f>VLOOKUP(Table24[[#This Row],[3_Elephant_ID]],'[1]Attributes(OUTDATED)'!$A$2:$N$19,12,FALSE)</f>
        <v>234</v>
      </c>
      <c r="AD229" s="13">
        <f>VLOOKUP(Table24[[#This Row],[3_Elephant_ID]],'[1]Attributes(OUTDATED)'!$A$2:$N$19,13,FALSE)</f>
        <v>0.16500000000000001</v>
      </c>
      <c r="AE229" s="13">
        <f>VLOOKUP(Table24[[#This Row],[3_Elephant_ID]],'[1]Attributes(OUTDATED)'!$A$2:$N$19,14,FALSE)</f>
        <v>0.16420161303383449</v>
      </c>
      <c r="AF229" s="13">
        <v>0</v>
      </c>
      <c r="AG229" s="13">
        <v>0</v>
      </c>
      <c r="AH229" s="13">
        <v>0</v>
      </c>
      <c r="AI229" s="13">
        <v>0</v>
      </c>
      <c r="AJ229" s="13">
        <f>VLOOKUP(Table24[[#This Row],[3_Elephant_ID]],'[1]Attributes(OUTDATED)'!$A$2:$P$19,16,FALSE)</f>
        <v>1</v>
      </c>
      <c r="AK229" s="13">
        <f>VLOOKUP(Table24[[#This Row],[3_Elephant_ID]],'[1]Attributes(OUTDATED)'!$A$2:$S$19,17,FALSE)</f>
        <v>9</v>
      </c>
      <c r="AL229" s="13">
        <f>VLOOKUP(Table24[[#This Row],[3_Elephant_ID]],'[1]Attributes(OUTDATED)'!$A$2:$S$19,18,FALSE)</f>
        <v>9</v>
      </c>
    </row>
    <row r="230" spans="1:38" ht="28" x14ac:dyDescent="0.15">
      <c r="A230" s="3">
        <v>333</v>
      </c>
      <c r="B230" s="6">
        <v>1601241054</v>
      </c>
      <c r="C230" s="7">
        <v>16</v>
      </c>
      <c r="D230" s="7">
        <v>1</v>
      </c>
      <c r="E230" s="7">
        <v>2024</v>
      </c>
      <c r="F230" s="5">
        <v>45307</v>
      </c>
      <c r="G230" s="6" t="s">
        <v>4</v>
      </c>
      <c r="H230" s="17">
        <v>0.4221869158878504</v>
      </c>
      <c r="I230" s="3" t="str">
        <f>VLOOKUP(G230,'[1]Attributes(OUTDATED)'!$A$2:$C$19,2,FALSE)</f>
        <v>M</v>
      </c>
      <c r="J230" s="3" t="str">
        <f>VLOOKUP(G230,'[1]Attributes(OUTDATED)'!$A$2:$C$19,3,FALSE)</f>
        <v>J</v>
      </c>
      <c r="K230" s="3">
        <f>VLOOKUP(G230,'[1]Attributes(OUTDATED)'!$A$2:$H$19,8,FALSE)</f>
        <v>1055</v>
      </c>
      <c r="L230" s="3" t="str">
        <f>J230&amp;I230</f>
        <v>JM</v>
      </c>
      <c r="M230" s="11">
        <v>45305</v>
      </c>
      <c r="N230" s="13">
        <v>30.1</v>
      </c>
      <c r="O230" s="13">
        <v>23.1</v>
      </c>
      <c r="P230" s="13">
        <v>17.100000000000001</v>
      </c>
      <c r="Q230" s="13">
        <f>Table24[[#This Row],[2_Temp_H]]-Table24[[#This Row],[2_Temp_L]]</f>
        <v>13</v>
      </c>
      <c r="R230" s="13">
        <v>21.9</v>
      </c>
      <c r="S230" s="13">
        <v>5.0999999999999996</v>
      </c>
      <c r="T230" s="13">
        <v>1008.81</v>
      </c>
      <c r="U230" s="13">
        <v>1005.08</v>
      </c>
      <c r="V230" s="13">
        <v>0</v>
      </c>
      <c r="W230" s="13" t="s">
        <v>148</v>
      </c>
      <c r="X230" s="16" t="s">
        <v>171</v>
      </c>
      <c r="Y230" s="13" t="s">
        <v>137</v>
      </c>
      <c r="Z230" s="13" t="s">
        <v>143</v>
      </c>
      <c r="AA230" s="13" t="s">
        <v>145</v>
      </c>
      <c r="AB230" s="13" t="s">
        <v>137</v>
      </c>
      <c r="AC230" s="13">
        <f>VLOOKUP(Table24[[#This Row],[3_Elephant_ID]],'[1]Attributes(OUTDATED)'!$A$2:$N$19,12,FALSE)</f>
        <v>181</v>
      </c>
      <c r="AD230" s="13">
        <f>VLOOKUP(Table24[[#This Row],[3_Elephant_ID]],'[1]Attributes(OUTDATED)'!$A$2:$N$19,13,FALSE)</f>
        <v>7.3999999999999996E-2</v>
      </c>
      <c r="AE230" s="13">
        <f>VLOOKUP(Table24[[#This Row],[3_Elephant_ID]],'[1]Attributes(OUTDATED)'!$A$2:$N$19,14,FALSE)</f>
        <v>7.3914663535330896E-2</v>
      </c>
      <c r="AF230" s="13">
        <v>0</v>
      </c>
      <c r="AG230" s="13">
        <v>0</v>
      </c>
      <c r="AH230" s="13">
        <v>0</v>
      </c>
      <c r="AI230" s="13">
        <v>0</v>
      </c>
      <c r="AJ230" s="13">
        <f>VLOOKUP(Table24[[#This Row],[3_Elephant_ID]],'[1]Attributes(OUTDATED)'!$A$2:$P$19,16,FALSE)</f>
        <v>1</v>
      </c>
      <c r="AK230" s="13">
        <f>VLOOKUP(Table24[[#This Row],[3_Elephant_ID]],'[1]Attributes(OUTDATED)'!$A$2:$S$19,17,FALSE)</f>
        <v>7</v>
      </c>
      <c r="AL230" s="13">
        <f>VLOOKUP(Table24[[#This Row],[3_Elephant_ID]],'[1]Attributes(OUTDATED)'!$A$2:$S$19,18,FALSE)</f>
        <v>9</v>
      </c>
    </row>
    <row r="231" spans="1:38" ht="28" x14ac:dyDescent="0.15">
      <c r="A231" s="3">
        <v>328</v>
      </c>
      <c r="B231" s="6">
        <v>1601241104</v>
      </c>
      <c r="C231" s="7">
        <v>16</v>
      </c>
      <c r="D231" s="7">
        <v>1</v>
      </c>
      <c r="E231" s="7">
        <v>2024</v>
      </c>
      <c r="F231" s="5">
        <v>45307</v>
      </c>
      <c r="G231" s="6" t="s">
        <v>14</v>
      </c>
      <c r="H231" s="17">
        <v>0.29397705544933078</v>
      </c>
      <c r="I231" s="3" t="str">
        <f>VLOOKUP(G231,'[1]Attributes(OUTDATED)'!$A$2:$C$19,2,FALSE)</f>
        <v>F</v>
      </c>
      <c r="J231" s="3" t="str">
        <f>VLOOKUP(G231,'[1]Attributes(OUTDATED)'!$A$2:$C$19,3,FALSE)</f>
        <v>J</v>
      </c>
      <c r="K231" s="3">
        <f>VLOOKUP(G231,'[1]Attributes(OUTDATED)'!$A$2:$H$19,8,FALSE)</f>
        <v>879</v>
      </c>
      <c r="L231" s="3" t="str">
        <f>J231&amp;I231</f>
        <v>JF</v>
      </c>
      <c r="M231" s="11">
        <v>45305</v>
      </c>
      <c r="N231" s="13">
        <v>30.1</v>
      </c>
      <c r="O231" s="13">
        <v>23.1</v>
      </c>
      <c r="P231" s="13">
        <v>17.100000000000001</v>
      </c>
      <c r="Q231" s="13">
        <f>Table24[[#This Row],[2_Temp_H]]-Table24[[#This Row],[2_Temp_L]]</f>
        <v>13</v>
      </c>
      <c r="R231" s="13">
        <v>21.9</v>
      </c>
      <c r="S231" s="13">
        <v>5.0999999999999996</v>
      </c>
      <c r="T231" s="13">
        <v>1008.81</v>
      </c>
      <c r="U231" s="13">
        <v>1005.08</v>
      </c>
      <c r="V231" s="13">
        <v>0</v>
      </c>
      <c r="W231" s="13" t="s">
        <v>148</v>
      </c>
      <c r="X231" s="16" t="s">
        <v>171</v>
      </c>
      <c r="Y231" s="13" t="s">
        <v>137</v>
      </c>
      <c r="Z231" s="13" t="s">
        <v>143</v>
      </c>
      <c r="AA231" s="13" t="s">
        <v>145</v>
      </c>
      <c r="AB231" s="13" t="s">
        <v>137</v>
      </c>
      <c r="AC231" s="13">
        <f>VLOOKUP(Table24[[#This Row],[3_Elephant_ID]],'[1]Attributes(OUTDATED)'!$A$2:$N$19,12,FALSE)</f>
        <v>269</v>
      </c>
      <c r="AD231" s="13">
        <f>VLOOKUP(Table24[[#This Row],[3_Elephant_ID]],'[1]Attributes(OUTDATED)'!$A$2:$N$19,13,FALSE)</f>
        <v>0.65800000000000003</v>
      </c>
      <c r="AE231" s="13">
        <f>VLOOKUP(Table24[[#This Row],[3_Elephant_ID]],'[1]Attributes(OUTDATED)'!$A$2:$N$19,14,FALSE)</f>
        <v>0.65767064449315993</v>
      </c>
      <c r="AF231" s="13">
        <v>0</v>
      </c>
      <c r="AG231" s="13">
        <v>0</v>
      </c>
      <c r="AH231" s="13">
        <v>0</v>
      </c>
      <c r="AI231" s="13">
        <v>0</v>
      </c>
      <c r="AJ231" s="13">
        <f>VLOOKUP(Table24[[#This Row],[3_Elephant_ID]],'[1]Attributes(OUTDATED)'!$A$2:$P$19,16,FALSE)</f>
        <v>1</v>
      </c>
      <c r="AK231" s="13">
        <f>VLOOKUP(Table24[[#This Row],[3_Elephant_ID]],'[1]Attributes(OUTDATED)'!$A$2:$S$19,17,FALSE)</f>
        <v>3</v>
      </c>
      <c r="AL231" s="13">
        <f>VLOOKUP(Table24[[#This Row],[3_Elephant_ID]],'[1]Attributes(OUTDATED)'!$A$2:$S$19,18,FALSE)</f>
        <v>9</v>
      </c>
    </row>
    <row r="232" spans="1:38" ht="28" x14ac:dyDescent="0.15">
      <c r="A232" s="3">
        <v>329</v>
      </c>
      <c r="B232" s="6">
        <v>1601241117</v>
      </c>
      <c r="C232" s="7">
        <v>16</v>
      </c>
      <c r="D232" s="7">
        <v>1</v>
      </c>
      <c r="E232" s="7">
        <v>2024</v>
      </c>
      <c r="F232" s="5">
        <v>45307</v>
      </c>
      <c r="G232" s="6" t="s">
        <v>11</v>
      </c>
      <c r="H232" s="17">
        <v>0.31695906432748538</v>
      </c>
      <c r="I232" s="3" t="str">
        <f>VLOOKUP(G232,'[1]Attributes(OUTDATED)'!$A$2:$C$19,2,FALSE)</f>
        <v>M</v>
      </c>
      <c r="J232" s="3" t="str">
        <f>VLOOKUP(G232,'[1]Attributes(OUTDATED)'!$A$2:$C$19,3,FALSE)</f>
        <v>A</v>
      </c>
      <c r="K232" s="3">
        <f>VLOOKUP(G232,'[1]Attributes(OUTDATED)'!$A$2:$H$19,8,FALSE)</f>
        <v>1223</v>
      </c>
      <c r="L232" s="3" t="str">
        <f>J232&amp;I232</f>
        <v>AM</v>
      </c>
      <c r="M232" s="11">
        <v>45305</v>
      </c>
      <c r="N232" s="13">
        <v>30.1</v>
      </c>
      <c r="O232" s="13">
        <v>23.1</v>
      </c>
      <c r="P232" s="13">
        <v>17.100000000000001</v>
      </c>
      <c r="Q232" s="13">
        <f>Table24[[#This Row],[2_Temp_H]]-Table24[[#This Row],[2_Temp_L]]</f>
        <v>13</v>
      </c>
      <c r="R232" s="13">
        <v>21.9</v>
      </c>
      <c r="S232" s="13">
        <v>5.0999999999999996</v>
      </c>
      <c r="T232" s="13">
        <v>1008.81</v>
      </c>
      <c r="U232" s="13">
        <v>1005.08</v>
      </c>
      <c r="V232" s="13">
        <v>0</v>
      </c>
      <c r="W232" s="13" t="s">
        <v>148</v>
      </c>
      <c r="X232" s="16" t="s">
        <v>171</v>
      </c>
      <c r="Y232" s="13" t="s">
        <v>137</v>
      </c>
      <c r="Z232" s="13" t="s">
        <v>143</v>
      </c>
      <c r="AA232" s="13" t="s">
        <v>145</v>
      </c>
      <c r="AB232" s="13" t="s">
        <v>137</v>
      </c>
      <c r="AC232" s="13">
        <f>VLOOKUP(Table24[[#This Row],[3_Elephant_ID]],'[1]Attributes(OUTDATED)'!$A$2:$N$19,12,FALSE)</f>
        <v>404</v>
      </c>
      <c r="AD232" s="13">
        <f>VLOOKUP(Table24[[#This Row],[3_Elephant_ID]],'[1]Attributes(OUTDATED)'!$A$2:$N$19,13,FALSE)</f>
        <v>0.91700000000000004</v>
      </c>
      <c r="AE232" s="13">
        <f>VLOOKUP(Table24[[#This Row],[3_Elephant_ID]],'[1]Attributes(OUTDATED)'!$A$2:$N$19,14,FALSE)</f>
        <v>0.91664628583929353</v>
      </c>
      <c r="AF232" s="13">
        <v>0</v>
      </c>
      <c r="AG232" s="13">
        <v>0</v>
      </c>
      <c r="AH232" s="13">
        <v>0</v>
      </c>
      <c r="AI232" s="13">
        <v>0</v>
      </c>
      <c r="AJ232" s="13">
        <f>VLOOKUP(Table24[[#This Row],[3_Elephant_ID]],'[1]Attributes(OUTDATED)'!$A$2:$P$19,16,FALSE)</f>
        <v>1</v>
      </c>
      <c r="AK232" s="13">
        <f>VLOOKUP(Table24[[#This Row],[3_Elephant_ID]],'[1]Attributes(OUTDATED)'!$A$2:$S$19,17,FALSE)</f>
        <v>14</v>
      </c>
      <c r="AL232" s="13">
        <f>VLOOKUP(Table24[[#This Row],[3_Elephant_ID]],'[1]Attributes(OUTDATED)'!$A$2:$S$19,18,FALSE)</f>
        <v>17</v>
      </c>
    </row>
    <row r="233" spans="1:38" ht="28" x14ac:dyDescent="0.15">
      <c r="A233" s="3">
        <v>330</v>
      </c>
      <c r="B233" s="6">
        <v>1601241028</v>
      </c>
      <c r="C233" s="7">
        <v>16</v>
      </c>
      <c r="D233" s="7">
        <v>1</v>
      </c>
      <c r="E233" s="7">
        <v>2024</v>
      </c>
      <c r="F233" s="5">
        <v>45307</v>
      </c>
      <c r="G233" s="6" t="s">
        <v>8</v>
      </c>
      <c r="H233" s="17">
        <v>0.36754318618042225</v>
      </c>
      <c r="I233" s="3" t="str">
        <f>VLOOKUP(G233,'[1]Attributes(OUTDATED)'!$A$2:$C$19,2,FALSE)</f>
        <v>F</v>
      </c>
      <c r="J233" s="3" t="str">
        <f>VLOOKUP(G233,'[1]Attributes(OUTDATED)'!$A$2:$C$19,3,FALSE)</f>
        <v>A</v>
      </c>
      <c r="K233" s="3">
        <f>VLOOKUP(G233,'[1]Attributes(OUTDATED)'!$A$2:$H$19,8,FALSE)</f>
        <v>1096</v>
      </c>
      <c r="L233" s="3" t="str">
        <f>J233&amp;I233</f>
        <v>AF</v>
      </c>
      <c r="M233" s="11">
        <v>45305</v>
      </c>
      <c r="N233" s="13">
        <v>30.1</v>
      </c>
      <c r="O233" s="13">
        <v>23.1</v>
      </c>
      <c r="P233" s="13">
        <v>17.100000000000001</v>
      </c>
      <c r="Q233" s="13">
        <f>Table24[[#This Row],[2_Temp_H]]-Table24[[#This Row],[2_Temp_L]]</f>
        <v>13</v>
      </c>
      <c r="R233" s="13">
        <v>21.9</v>
      </c>
      <c r="S233" s="13">
        <v>5.0999999999999996</v>
      </c>
      <c r="T233" s="13">
        <v>1008.81</v>
      </c>
      <c r="U233" s="13">
        <v>1005.08</v>
      </c>
      <c r="V233" s="13">
        <v>0</v>
      </c>
      <c r="W233" s="13" t="s">
        <v>148</v>
      </c>
      <c r="X233" s="16" t="s">
        <v>171</v>
      </c>
      <c r="Y233" s="13" t="s">
        <v>137</v>
      </c>
      <c r="Z233" s="13" t="s">
        <v>143</v>
      </c>
      <c r="AA233" s="13" t="s">
        <v>145</v>
      </c>
      <c r="AB233" s="13" t="s">
        <v>137</v>
      </c>
      <c r="AC233" s="13">
        <f>VLOOKUP(Table24[[#This Row],[3_Elephant_ID]],'[1]Attributes(OUTDATED)'!$A$2:$N$19,12,FALSE)</f>
        <v>346</v>
      </c>
      <c r="AD233" s="13">
        <f>VLOOKUP(Table24[[#This Row],[3_Elephant_ID]],'[1]Attributes(OUTDATED)'!$A$2:$N$19,13,FALSE)</f>
        <v>0.28999999999999998</v>
      </c>
      <c r="AE233" s="13">
        <f>VLOOKUP(Table24[[#This Row],[3_Elephant_ID]],'[1]Attributes(OUTDATED)'!$A$2:$N$19,14,FALSE)</f>
        <v>0.28929989906834258</v>
      </c>
      <c r="AF233" s="13">
        <v>0</v>
      </c>
      <c r="AG233" s="13">
        <v>0</v>
      </c>
      <c r="AH233" s="13">
        <v>0</v>
      </c>
      <c r="AI233" s="13">
        <v>0</v>
      </c>
      <c r="AJ233" s="13">
        <f>VLOOKUP(Table24[[#This Row],[3_Elephant_ID]],'[1]Attributes(OUTDATED)'!$A$2:$P$19,16,FALSE)</f>
        <v>1</v>
      </c>
      <c r="AK233" s="13">
        <f>VLOOKUP(Table24[[#This Row],[3_Elephant_ID]],'[1]Attributes(OUTDATED)'!$A$2:$S$19,17,FALSE)</f>
        <v>11</v>
      </c>
      <c r="AL233" s="13">
        <f>VLOOKUP(Table24[[#This Row],[3_Elephant_ID]],'[1]Attributes(OUTDATED)'!$A$2:$S$19,18,FALSE)</f>
        <v>7</v>
      </c>
    </row>
    <row r="234" spans="1:38" ht="28" x14ac:dyDescent="0.15">
      <c r="A234" s="3">
        <v>334</v>
      </c>
      <c r="B234" s="6">
        <v>1601241021</v>
      </c>
      <c r="C234" s="7">
        <v>16</v>
      </c>
      <c r="D234" s="7">
        <v>1</v>
      </c>
      <c r="E234" s="7">
        <v>2024</v>
      </c>
      <c r="F234" s="5">
        <v>45307</v>
      </c>
      <c r="G234" s="6" t="s">
        <v>9</v>
      </c>
      <c r="H234" s="17">
        <v>0.2499816176470589</v>
      </c>
      <c r="I234" s="3" t="str">
        <f>VLOOKUP(G234,'[1]Attributes(OUTDATED)'!$A$2:$C$19,2,FALSE)</f>
        <v>F</v>
      </c>
      <c r="J234" s="3" t="str">
        <f>VLOOKUP(G234,'[1]Attributes(OUTDATED)'!$A$2:$C$19,3,FALSE)</f>
        <v>J</v>
      </c>
      <c r="K234" s="3">
        <f>VLOOKUP(G234,'[1]Attributes(OUTDATED)'!$A$2:$H$19,8,FALSE)</f>
        <v>820</v>
      </c>
      <c r="L234" s="3" t="str">
        <f>J234&amp;I234</f>
        <v>JF</v>
      </c>
      <c r="M234" s="11">
        <v>45305</v>
      </c>
      <c r="N234" s="13">
        <v>30.1</v>
      </c>
      <c r="O234" s="13">
        <v>23.1</v>
      </c>
      <c r="P234" s="13">
        <v>17.100000000000001</v>
      </c>
      <c r="Q234" s="13">
        <f>Table24[[#This Row],[2_Temp_H]]-Table24[[#This Row],[2_Temp_L]]</f>
        <v>13</v>
      </c>
      <c r="R234" s="13">
        <v>21.9</v>
      </c>
      <c r="S234" s="13">
        <v>5.0999999999999996</v>
      </c>
      <c r="T234" s="13">
        <v>1008.81</v>
      </c>
      <c r="U234" s="13">
        <v>1005.08</v>
      </c>
      <c r="V234" s="13">
        <v>0</v>
      </c>
      <c r="W234" s="13" t="s">
        <v>148</v>
      </c>
      <c r="X234" s="16" t="s">
        <v>171</v>
      </c>
      <c r="Y234" s="13" t="s">
        <v>137</v>
      </c>
      <c r="Z234" s="13" t="s">
        <v>143</v>
      </c>
      <c r="AA234" s="13" t="s">
        <v>145</v>
      </c>
      <c r="AB234" s="13" t="s">
        <v>137</v>
      </c>
      <c r="AC234" s="13">
        <f>VLOOKUP(Table24[[#This Row],[3_Elephant_ID]],'[1]Attributes(OUTDATED)'!$A$2:$N$19,12,FALSE)</f>
        <v>305</v>
      </c>
      <c r="AD234" s="13">
        <f>VLOOKUP(Table24[[#This Row],[3_Elephant_ID]],'[1]Attributes(OUTDATED)'!$A$2:$N$19,13,FALSE)</f>
        <v>0.17499999999999999</v>
      </c>
      <c r="AE234" s="13">
        <f>VLOOKUP(Table24[[#This Row],[3_Elephant_ID]],'[1]Attributes(OUTDATED)'!$A$2:$N$19,14,FALSE)</f>
        <v>0.17467336145108631</v>
      </c>
      <c r="AF234" s="13">
        <v>0</v>
      </c>
      <c r="AG234" s="13">
        <v>0</v>
      </c>
      <c r="AH234" s="13">
        <v>0</v>
      </c>
      <c r="AI234" s="13">
        <v>0</v>
      </c>
      <c r="AJ234" s="13">
        <f>VLOOKUP(Table24[[#This Row],[3_Elephant_ID]],'[1]Attributes(OUTDATED)'!$A$2:$P$19,16,FALSE)</f>
        <v>2</v>
      </c>
      <c r="AK234" s="13">
        <f>VLOOKUP(Table24[[#This Row],[3_Elephant_ID]],'[1]Attributes(OUTDATED)'!$A$2:$S$19,17,FALSE)</f>
        <v>0</v>
      </c>
      <c r="AL234" s="13">
        <f>VLOOKUP(Table24[[#This Row],[3_Elephant_ID]],'[1]Attributes(OUTDATED)'!$A$2:$S$19,18,FALSE)</f>
        <v>4</v>
      </c>
    </row>
    <row r="235" spans="1:38" ht="28" x14ac:dyDescent="0.15">
      <c r="A235" s="3">
        <v>332</v>
      </c>
      <c r="B235" s="6">
        <v>1601241030</v>
      </c>
      <c r="C235" s="7">
        <v>16</v>
      </c>
      <c r="D235" s="7">
        <v>1</v>
      </c>
      <c r="E235" s="7">
        <v>2024</v>
      </c>
      <c r="F235" s="5">
        <v>45307</v>
      </c>
      <c r="G235" s="6" t="s">
        <v>6</v>
      </c>
      <c r="H235" s="17">
        <v>0.44588345864661655</v>
      </c>
      <c r="I235" s="3" t="str">
        <f>VLOOKUP(G235,'[1]Attributes(OUTDATED)'!$A$2:$C$19,2,FALSE)</f>
        <v>F</v>
      </c>
      <c r="J235" s="3" t="str">
        <f>VLOOKUP(G235,'[1]Attributes(OUTDATED)'!$A$2:$C$19,3,FALSE)</f>
        <v>A</v>
      </c>
      <c r="K235" s="3">
        <f>VLOOKUP(G235,'[1]Attributes(OUTDATED)'!$A$2:$H$19,8,FALSE)</f>
        <v>1168</v>
      </c>
      <c r="L235" s="3" t="str">
        <f>J235&amp;I235</f>
        <v>AF</v>
      </c>
      <c r="M235" s="11">
        <v>45305</v>
      </c>
      <c r="N235" s="13">
        <v>30.1</v>
      </c>
      <c r="O235" s="13">
        <v>23.1</v>
      </c>
      <c r="P235" s="13">
        <v>17.100000000000001</v>
      </c>
      <c r="Q235" s="13">
        <f>Table24[[#This Row],[2_Temp_H]]-Table24[[#This Row],[2_Temp_L]]</f>
        <v>13</v>
      </c>
      <c r="R235" s="13">
        <v>21.9</v>
      </c>
      <c r="S235" s="13">
        <v>5.0999999999999996</v>
      </c>
      <c r="T235" s="13">
        <v>1008.81</v>
      </c>
      <c r="U235" s="13">
        <v>1005.08</v>
      </c>
      <c r="V235" s="13">
        <v>0</v>
      </c>
      <c r="W235" s="13" t="s">
        <v>148</v>
      </c>
      <c r="X235" s="16" t="s">
        <v>171</v>
      </c>
      <c r="Y235" s="13" t="s">
        <v>137</v>
      </c>
      <c r="Z235" s="13" t="s">
        <v>143</v>
      </c>
      <c r="AA235" s="13" t="s">
        <v>145</v>
      </c>
      <c r="AB235" s="13" t="s">
        <v>137</v>
      </c>
      <c r="AC235" s="13">
        <f>VLOOKUP(Table24[[#This Row],[3_Elephant_ID]],'[1]Attributes(OUTDATED)'!$A$2:$N$19,12,FALSE)</f>
        <v>286</v>
      </c>
      <c r="AD235" s="13">
        <f>VLOOKUP(Table24[[#This Row],[3_Elephant_ID]],'[1]Attributes(OUTDATED)'!$A$2:$N$19,13,FALSE)</f>
        <v>0.26800000000000002</v>
      </c>
      <c r="AE235" s="13">
        <f>VLOOKUP(Table24[[#This Row],[3_Elephant_ID]],'[1]Attributes(OUTDATED)'!$A$2:$N$19,14,FALSE)</f>
        <v>0.26721028245328138</v>
      </c>
      <c r="AF235" s="13">
        <v>0</v>
      </c>
      <c r="AG235" s="13">
        <v>0</v>
      </c>
      <c r="AH235" s="13">
        <v>0</v>
      </c>
      <c r="AI235" s="13">
        <v>0</v>
      </c>
      <c r="AJ235" s="13">
        <f>VLOOKUP(Table24[[#This Row],[3_Elephant_ID]],'[1]Attributes(OUTDATED)'!$A$2:$P$19,16,FALSE)</f>
        <v>2</v>
      </c>
      <c r="AK235" s="13">
        <f>VLOOKUP(Table24[[#This Row],[3_Elephant_ID]],'[1]Attributes(OUTDATED)'!$A$2:$S$19,17,FALSE)</f>
        <v>12</v>
      </c>
      <c r="AL235" s="13">
        <f>VLOOKUP(Table24[[#This Row],[3_Elephant_ID]],'[1]Attributes(OUTDATED)'!$A$2:$S$19,18,FALSE)</f>
        <v>5</v>
      </c>
    </row>
    <row r="236" spans="1:38" ht="28" x14ac:dyDescent="0.15">
      <c r="A236" s="3">
        <v>322</v>
      </c>
      <c r="B236" s="6">
        <v>1701241206</v>
      </c>
      <c r="C236" s="7">
        <v>17</v>
      </c>
      <c r="D236" s="7">
        <v>1</v>
      </c>
      <c r="E236" s="7">
        <v>2024</v>
      </c>
      <c r="F236" s="5">
        <v>45308</v>
      </c>
      <c r="G236" s="6" t="s">
        <v>3</v>
      </c>
      <c r="H236" s="17">
        <v>0.26193609022556397</v>
      </c>
      <c r="I236" s="3" t="str">
        <f>VLOOKUP(G236,'[1]Attributes(OUTDATED)'!$A$2:$C$19,2,FALSE)</f>
        <v>M</v>
      </c>
      <c r="J236" s="3" t="str">
        <f>VLOOKUP(G236,'[1]Attributes(OUTDATED)'!$A$2:$C$19,3,FALSE)</f>
        <v>J</v>
      </c>
      <c r="K236" s="3">
        <f>VLOOKUP(G236,'[1]Attributes(OUTDATED)'!$A$2:$H$19,8,FALSE)</f>
        <v>1031</v>
      </c>
      <c r="L236" s="3" t="str">
        <f>J236&amp;I236</f>
        <v>JM</v>
      </c>
      <c r="M236" s="11">
        <v>45306</v>
      </c>
      <c r="N236" s="13">
        <v>31</v>
      </c>
      <c r="O236" s="13">
        <v>22.5</v>
      </c>
      <c r="P236" s="13">
        <v>16.100000000000001</v>
      </c>
      <c r="Q236" s="13">
        <f>Table24[[#This Row],[2_Temp_H]]-Table24[[#This Row],[2_Temp_L]]</f>
        <v>14.899999999999999</v>
      </c>
      <c r="R236" s="13">
        <v>21.9</v>
      </c>
      <c r="S236" s="13">
        <v>5.8</v>
      </c>
      <c r="T236" s="13">
        <v>1009.82</v>
      </c>
      <c r="U236" s="13">
        <v>1006.1</v>
      </c>
      <c r="V236" s="13">
        <v>0</v>
      </c>
      <c r="W236" s="13" t="s">
        <v>148</v>
      </c>
      <c r="X236" s="16" t="s">
        <v>171</v>
      </c>
      <c r="Y236" s="13" t="s">
        <v>137</v>
      </c>
      <c r="Z236" s="13" t="s">
        <v>143</v>
      </c>
      <c r="AA236" s="13" t="s">
        <v>145</v>
      </c>
      <c r="AB236" s="13" t="s">
        <v>137</v>
      </c>
      <c r="AC236" s="13">
        <f>VLOOKUP(Table24[[#This Row],[3_Elephant_ID]],'[1]Attributes(OUTDATED)'!$A$2:$N$19,12,FALSE)</f>
        <v>234</v>
      </c>
      <c r="AD236" s="13">
        <f>VLOOKUP(Table24[[#This Row],[3_Elephant_ID]],'[1]Attributes(OUTDATED)'!$A$2:$N$19,13,FALSE)</f>
        <v>0.16500000000000001</v>
      </c>
      <c r="AE236" s="13">
        <f>VLOOKUP(Table24[[#This Row],[3_Elephant_ID]],'[1]Attributes(OUTDATED)'!$A$2:$N$19,14,FALSE)</f>
        <v>0.16420161303383449</v>
      </c>
      <c r="AF236" s="13">
        <v>0</v>
      </c>
      <c r="AG236" s="13">
        <v>0</v>
      </c>
      <c r="AH236" s="13">
        <v>0</v>
      </c>
      <c r="AI236" s="13">
        <v>0</v>
      </c>
      <c r="AJ236" s="13">
        <f>VLOOKUP(Table24[[#This Row],[3_Elephant_ID]],'[1]Attributes(OUTDATED)'!$A$2:$P$19,16,FALSE)</f>
        <v>1</v>
      </c>
      <c r="AK236" s="13">
        <f>VLOOKUP(Table24[[#This Row],[3_Elephant_ID]],'[1]Attributes(OUTDATED)'!$A$2:$S$19,17,FALSE)</f>
        <v>9</v>
      </c>
      <c r="AL236" s="13">
        <f>VLOOKUP(Table24[[#This Row],[3_Elephant_ID]],'[1]Attributes(OUTDATED)'!$A$2:$S$19,18,FALSE)</f>
        <v>9</v>
      </c>
    </row>
    <row r="237" spans="1:38" ht="28" x14ac:dyDescent="0.15">
      <c r="A237" s="3">
        <v>323</v>
      </c>
      <c r="B237" s="6">
        <v>1701241158</v>
      </c>
      <c r="C237" s="7">
        <v>17</v>
      </c>
      <c r="D237" s="7">
        <v>1</v>
      </c>
      <c r="E237" s="7">
        <v>2024</v>
      </c>
      <c r="F237" s="5">
        <v>45308</v>
      </c>
      <c r="G237" s="6" t="s">
        <v>17</v>
      </c>
      <c r="H237" s="17">
        <v>0.26531428571428572</v>
      </c>
      <c r="I237" s="3" t="str">
        <f>VLOOKUP(G237,'[1]Attributes(OUTDATED)'!$A$2:$C$19,2,FALSE)</f>
        <v>M</v>
      </c>
      <c r="J237" s="3" t="str">
        <f>VLOOKUP(G237,'[1]Attributes(OUTDATED)'!$A$2:$C$19,3,FALSE)</f>
        <v>J</v>
      </c>
      <c r="K237" s="3">
        <f>VLOOKUP(G237,'[1]Attributes(OUTDATED)'!$A$2:$H$19,8,FALSE)</f>
        <v>699</v>
      </c>
      <c r="L237" s="3" t="str">
        <f>J237&amp;I237</f>
        <v>JM</v>
      </c>
      <c r="M237" s="11">
        <v>45306</v>
      </c>
      <c r="N237" s="13">
        <v>31</v>
      </c>
      <c r="O237" s="13">
        <v>22.5</v>
      </c>
      <c r="P237" s="13">
        <v>16.100000000000001</v>
      </c>
      <c r="Q237" s="13">
        <f>Table24[[#This Row],[2_Temp_H]]-Table24[[#This Row],[2_Temp_L]]</f>
        <v>14.899999999999999</v>
      </c>
      <c r="R237" s="13">
        <v>21.9</v>
      </c>
      <c r="S237" s="13">
        <v>5.8</v>
      </c>
      <c r="T237" s="13">
        <v>1009.82</v>
      </c>
      <c r="U237" s="13">
        <v>1006.1</v>
      </c>
      <c r="V237" s="13">
        <v>0</v>
      </c>
      <c r="W237" s="13" t="s">
        <v>148</v>
      </c>
      <c r="X237" s="16" t="s">
        <v>171</v>
      </c>
      <c r="Y237" s="13" t="s">
        <v>137</v>
      </c>
      <c r="Z237" s="13" t="s">
        <v>143</v>
      </c>
      <c r="AA237" s="13" t="s">
        <v>145</v>
      </c>
      <c r="AB237" s="13" t="s">
        <v>137</v>
      </c>
      <c r="AC237" s="13">
        <f>VLOOKUP(Table24[[#This Row],[3_Elephant_ID]],'[1]Attributes(OUTDATED)'!$A$2:$N$19,12,FALSE)</f>
        <v>343</v>
      </c>
      <c r="AD237" s="13">
        <f>VLOOKUP(Table24[[#This Row],[3_Elephant_ID]],'[1]Attributes(OUTDATED)'!$A$2:$N$19,13,FALSE)</f>
        <v>0.81</v>
      </c>
      <c r="AE237" s="13">
        <f>VLOOKUP(Table24[[#This Row],[3_Elephant_ID]],'[1]Attributes(OUTDATED)'!$A$2:$N$19,14,FALSE)</f>
        <v>0.80966774571167055</v>
      </c>
      <c r="AF237" s="13">
        <v>0</v>
      </c>
      <c r="AG237" s="13">
        <v>0</v>
      </c>
      <c r="AH237" s="13">
        <v>0</v>
      </c>
      <c r="AI237" s="13">
        <v>0</v>
      </c>
      <c r="AJ237" s="13">
        <f>VLOOKUP(Table24[[#This Row],[3_Elephant_ID]],'[1]Attributes(OUTDATED)'!$A$2:$P$19,16,FALSE)</f>
        <v>1</v>
      </c>
      <c r="AK237" s="13">
        <f>VLOOKUP(Table24[[#This Row],[3_Elephant_ID]],'[1]Attributes(OUTDATED)'!$A$2:$S$19,17,FALSE)</f>
        <v>0</v>
      </c>
      <c r="AL237" s="13">
        <f>VLOOKUP(Table24[[#This Row],[3_Elephant_ID]],'[1]Attributes(OUTDATED)'!$A$2:$S$19,18,FALSE)</f>
        <v>8</v>
      </c>
    </row>
    <row r="238" spans="1:38" ht="28" x14ac:dyDescent="0.15">
      <c r="A238" s="3">
        <v>318</v>
      </c>
      <c r="B238" s="6">
        <v>1701241610</v>
      </c>
      <c r="C238" s="7">
        <v>17</v>
      </c>
      <c r="D238" s="7">
        <v>1</v>
      </c>
      <c r="E238" s="7">
        <v>2024</v>
      </c>
      <c r="F238" s="5">
        <v>45308</v>
      </c>
      <c r="G238" s="6" t="s">
        <v>4</v>
      </c>
      <c r="H238" s="17">
        <v>0.51136622390891862</v>
      </c>
      <c r="I238" s="3" t="str">
        <f>VLOOKUP(G238,'[1]Attributes(OUTDATED)'!$A$2:$C$19,2,FALSE)</f>
        <v>M</v>
      </c>
      <c r="J238" s="3" t="str">
        <f>VLOOKUP(G238,'[1]Attributes(OUTDATED)'!$A$2:$C$19,3,FALSE)</f>
        <v>J</v>
      </c>
      <c r="K238" s="3">
        <f>VLOOKUP(G238,'[1]Attributes(OUTDATED)'!$A$2:$H$19,8,FALSE)</f>
        <v>1055</v>
      </c>
      <c r="L238" s="3" t="str">
        <f>J238&amp;I238</f>
        <v>JM</v>
      </c>
      <c r="M238" s="11">
        <v>45306</v>
      </c>
      <c r="N238" s="13">
        <v>31</v>
      </c>
      <c r="O238" s="13">
        <v>22.5</v>
      </c>
      <c r="P238" s="13">
        <v>16.100000000000001</v>
      </c>
      <c r="Q238" s="13">
        <f>Table24[[#This Row],[2_Temp_H]]-Table24[[#This Row],[2_Temp_L]]</f>
        <v>14.899999999999999</v>
      </c>
      <c r="R238" s="13">
        <v>21.9</v>
      </c>
      <c r="S238" s="13">
        <v>5.8</v>
      </c>
      <c r="T238" s="13">
        <v>1009.82</v>
      </c>
      <c r="U238" s="13">
        <v>1006.1</v>
      </c>
      <c r="V238" s="13">
        <v>0</v>
      </c>
      <c r="W238" s="13" t="s">
        <v>148</v>
      </c>
      <c r="X238" s="16" t="s">
        <v>171</v>
      </c>
      <c r="Y238" s="13" t="s">
        <v>137</v>
      </c>
      <c r="Z238" s="13" t="s">
        <v>143</v>
      </c>
      <c r="AA238" s="13" t="s">
        <v>145</v>
      </c>
      <c r="AB238" s="13" t="s">
        <v>137</v>
      </c>
      <c r="AC238" s="13">
        <f>VLOOKUP(Table24[[#This Row],[3_Elephant_ID]],'[1]Attributes(OUTDATED)'!$A$2:$N$19,12,FALSE)</f>
        <v>181</v>
      </c>
      <c r="AD238" s="13">
        <f>VLOOKUP(Table24[[#This Row],[3_Elephant_ID]],'[1]Attributes(OUTDATED)'!$A$2:$N$19,13,FALSE)</f>
        <v>7.3999999999999996E-2</v>
      </c>
      <c r="AE238" s="13">
        <f>VLOOKUP(Table24[[#This Row],[3_Elephant_ID]],'[1]Attributes(OUTDATED)'!$A$2:$N$19,14,FALSE)</f>
        <v>7.3914663535330896E-2</v>
      </c>
      <c r="AF238" s="13">
        <v>0</v>
      </c>
      <c r="AG238" s="13">
        <v>0</v>
      </c>
      <c r="AH238" s="13">
        <v>0</v>
      </c>
      <c r="AI238" s="13">
        <v>0</v>
      </c>
      <c r="AJ238" s="13">
        <f>VLOOKUP(Table24[[#This Row],[3_Elephant_ID]],'[1]Attributes(OUTDATED)'!$A$2:$P$19,16,FALSE)</f>
        <v>1</v>
      </c>
      <c r="AK238" s="13">
        <f>VLOOKUP(Table24[[#This Row],[3_Elephant_ID]],'[1]Attributes(OUTDATED)'!$A$2:$S$19,17,FALSE)</f>
        <v>7</v>
      </c>
      <c r="AL238" s="13">
        <f>VLOOKUP(Table24[[#This Row],[3_Elephant_ID]],'[1]Attributes(OUTDATED)'!$A$2:$S$19,18,FALSE)</f>
        <v>9</v>
      </c>
    </row>
    <row r="239" spans="1:38" ht="28" x14ac:dyDescent="0.15">
      <c r="A239" s="3">
        <v>324</v>
      </c>
      <c r="B239" s="6">
        <v>1701241454</v>
      </c>
      <c r="C239" s="7">
        <v>17</v>
      </c>
      <c r="D239" s="7">
        <v>1</v>
      </c>
      <c r="E239" s="7">
        <v>2024</v>
      </c>
      <c r="F239" s="5">
        <v>45308</v>
      </c>
      <c r="G239" s="6" t="s">
        <v>4</v>
      </c>
      <c r="H239" s="17">
        <v>0.6460233918128655</v>
      </c>
      <c r="I239" s="3" t="str">
        <f>VLOOKUP(G239,'[1]Attributes(OUTDATED)'!$A$2:$C$19,2,FALSE)</f>
        <v>M</v>
      </c>
      <c r="J239" s="3" t="str">
        <f>VLOOKUP(G239,'[1]Attributes(OUTDATED)'!$A$2:$C$19,3,FALSE)</f>
        <v>J</v>
      </c>
      <c r="K239" s="3">
        <f>VLOOKUP(G239,'[1]Attributes(OUTDATED)'!$A$2:$H$19,8,FALSE)</f>
        <v>1055</v>
      </c>
      <c r="L239" s="3" t="str">
        <f>J239&amp;I239</f>
        <v>JM</v>
      </c>
      <c r="M239" s="11">
        <v>45306</v>
      </c>
      <c r="N239" s="13">
        <v>31</v>
      </c>
      <c r="O239" s="13">
        <v>22.5</v>
      </c>
      <c r="P239" s="13">
        <v>16.100000000000001</v>
      </c>
      <c r="Q239" s="13">
        <f>Table24[[#This Row],[2_Temp_H]]-Table24[[#This Row],[2_Temp_L]]</f>
        <v>14.899999999999999</v>
      </c>
      <c r="R239" s="13">
        <v>21.9</v>
      </c>
      <c r="S239" s="13">
        <v>5.8</v>
      </c>
      <c r="T239" s="13">
        <v>1009.82</v>
      </c>
      <c r="U239" s="13">
        <v>1006.1</v>
      </c>
      <c r="V239" s="13">
        <v>0</v>
      </c>
      <c r="W239" s="13" t="s">
        <v>148</v>
      </c>
      <c r="X239" s="16" t="s">
        <v>171</v>
      </c>
      <c r="Y239" s="13" t="s">
        <v>137</v>
      </c>
      <c r="Z239" s="13" t="s">
        <v>143</v>
      </c>
      <c r="AA239" s="13" t="s">
        <v>145</v>
      </c>
      <c r="AB239" s="13" t="s">
        <v>137</v>
      </c>
      <c r="AC239" s="13">
        <f>VLOOKUP(Table24[[#This Row],[3_Elephant_ID]],'[1]Attributes(OUTDATED)'!$A$2:$N$19,12,FALSE)</f>
        <v>181</v>
      </c>
      <c r="AD239" s="13">
        <f>VLOOKUP(Table24[[#This Row],[3_Elephant_ID]],'[1]Attributes(OUTDATED)'!$A$2:$N$19,13,FALSE)</f>
        <v>7.3999999999999996E-2</v>
      </c>
      <c r="AE239" s="13">
        <f>VLOOKUP(Table24[[#This Row],[3_Elephant_ID]],'[1]Attributes(OUTDATED)'!$A$2:$N$19,14,FALSE)</f>
        <v>7.3914663535330896E-2</v>
      </c>
      <c r="AF239" s="13">
        <v>0</v>
      </c>
      <c r="AG239" s="13">
        <v>0</v>
      </c>
      <c r="AH239" s="13">
        <v>0</v>
      </c>
      <c r="AI239" s="13">
        <v>0</v>
      </c>
      <c r="AJ239" s="13">
        <f>VLOOKUP(Table24[[#This Row],[3_Elephant_ID]],'[1]Attributes(OUTDATED)'!$A$2:$P$19,16,FALSE)</f>
        <v>1</v>
      </c>
      <c r="AK239" s="13">
        <f>VLOOKUP(Table24[[#This Row],[3_Elephant_ID]],'[1]Attributes(OUTDATED)'!$A$2:$S$19,17,FALSE)</f>
        <v>7</v>
      </c>
      <c r="AL239" s="13">
        <f>VLOOKUP(Table24[[#This Row],[3_Elephant_ID]],'[1]Attributes(OUTDATED)'!$A$2:$S$19,18,FALSE)</f>
        <v>9</v>
      </c>
    </row>
    <row r="240" spans="1:38" ht="28" x14ac:dyDescent="0.15">
      <c r="A240" s="3">
        <v>327</v>
      </c>
      <c r="B240" s="6">
        <v>1701241012</v>
      </c>
      <c r="C240" s="7">
        <v>17</v>
      </c>
      <c r="D240" s="7">
        <v>1</v>
      </c>
      <c r="E240" s="7">
        <v>2024</v>
      </c>
      <c r="F240" s="5">
        <v>45308</v>
      </c>
      <c r="G240" s="6" t="s">
        <v>4</v>
      </c>
      <c r="H240" s="17">
        <v>0.40905109489051089</v>
      </c>
      <c r="I240" s="3" t="str">
        <f>VLOOKUP(G240,'[1]Attributes(OUTDATED)'!$A$2:$C$19,2,FALSE)</f>
        <v>M</v>
      </c>
      <c r="J240" s="3" t="str">
        <f>VLOOKUP(G240,'[1]Attributes(OUTDATED)'!$A$2:$C$19,3,FALSE)</f>
        <v>J</v>
      </c>
      <c r="K240" s="3">
        <f>VLOOKUP(G240,'[1]Attributes(OUTDATED)'!$A$2:$H$19,8,FALSE)</f>
        <v>1055</v>
      </c>
      <c r="L240" s="3" t="str">
        <f>J240&amp;I240</f>
        <v>JM</v>
      </c>
      <c r="M240" s="11">
        <v>45306</v>
      </c>
      <c r="N240" s="13">
        <v>31</v>
      </c>
      <c r="O240" s="13">
        <v>22.5</v>
      </c>
      <c r="P240" s="13">
        <v>16.100000000000001</v>
      </c>
      <c r="Q240" s="13">
        <f>Table24[[#This Row],[2_Temp_H]]-Table24[[#This Row],[2_Temp_L]]</f>
        <v>14.899999999999999</v>
      </c>
      <c r="R240" s="13">
        <v>21.9</v>
      </c>
      <c r="S240" s="13">
        <v>5.8</v>
      </c>
      <c r="T240" s="13">
        <v>1009.82</v>
      </c>
      <c r="U240" s="13">
        <v>1006.1</v>
      </c>
      <c r="V240" s="13">
        <v>0</v>
      </c>
      <c r="W240" s="13" t="s">
        <v>148</v>
      </c>
      <c r="X240" s="16" t="s">
        <v>171</v>
      </c>
      <c r="Y240" s="13" t="s">
        <v>137</v>
      </c>
      <c r="Z240" s="13" t="s">
        <v>143</v>
      </c>
      <c r="AA240" s="13" t="s">
        <v>145</v>
      </c>
      <c r="AB240" s="13" t="s">
        <v>137</v>
      </c>
      <c r="AC240" s="13">
        <f>VLOOKUP(Table24[[#This Row],[3_Elephant_ID]],'[1]Attributes(OUTDATED)'!$A$2:$N$19,12,FALSE)</f>
        <v>181</v>
      </c>
      <c r="AD240" s="13">
        <f>VLOOKUP(Table24[[#This Row],[3_Elephant_ID]],'[1]Attributes(OUTDATED)'!$A$2:$N$19,13,FALSE)</f>
        <v>7.3999999999999996E-2</v>
      </c>
      <c r="AE240" s="13">
        <f>VLOOKUP(Table24[[#This Row],[3_Elephant_ID]],'[1]Attributes(OUTDATED)'!$A$2:$N$19,14,FALSE)</f>
        <v>7.3914663535330896E-2</v>
      </c>
      <c r="AF240" s="13">
        <v>0</v>
      </c>
      <c r="AG240" s="13">
        <v>0</v>
      </c>
      <c r="AH240" s="13">
        <v>0</v>
      </c>
      <c r="AI240" s="13">
        <v>0</v>
      </c>
      <c r="AJ240" s="13">
        <f>VLOOKUP(Table24[[#This Row],[3_Elephant_ID]],'[1]Attributes(OUTDATED)'!$A$2:$P$19,16,FALSE)</f>
        <v>1</v>
      </c>
      <c r="AK240" s="13">
        <f>VLOOKUP(Table24[[#This Row],[3_Elephant_ID]],'[1]Attributes(OUTDATED)'!$A$2:$S$19,17,FALSE)</f>
        <v>7</v>
      </c>
      <c r="AL240" s="13">
        <f>VLOOKUP(Table24[[#This Row],[3_Elephant_ID]],'[1]Attributes(OUTDATED)'!$A$2:$S$19,18,FALSE)</f>
        <v>9</v>
      </c>
    </row>
    <row r="241" spans="1:38" ht="28" x14ac:dyDescent="0.15">
      <c r="A241" s="3">
        <v>325</v>
      </c>
      <c r="B241" s="6">
        <v>1701241014</v>
      </c>
      <c r="C241" s="7">
        <v>17</v>
      </c>
      <c r="D241" s="7">
        <v>1</v>
      </c>
      <c r="E241" s="7">
        <v>2024</v>
      </c>
      <c r="F241" s="5">
        <v>45308</v>
      </c>
      <c r="G241" s="6" t="s">
        <v>5</v>
      </c>
      <c r="H241" s="17">
        <v>0.31305343511450379</v>
      </c>
      <c r="I241" s="3" t="str">
        <f>VLOOKUP(G241,'[1]Attributes(OUTDATED)'!$A$2:$C$19,2,FALSE)</f>
        <v>M</v>
      </c>
      <c r="J241" s="3" t="str">
        <f>VLOOKUP(G241,'[1]Attributes(OUTDATED)'!$A$2:$C$19,3,FALSE)</f>
        <v>J</v>
      </c>
      <c r="K241" s="3">
        <f>VLOOKUP(G241,'[1]Attributes(OUTDATED)'!$A$2:$H$19,8,FALSE)</f>
        <v>940</v>
      </c>
      <c r="L241" s="3" t="str">
        <f>J241&amp;I241</f>
        <v>JM</v>
      </c>
      <c r="M241" s="11">
        <v>45306</v>
      </c>
      <c r="N241" s="13">
        <v>31</v>
      </c>
      <c r="O241" s="13">
        <v>22.5</v>
      </c>
      <c r="P241" s="13">
        <v>16.100000000000001</v>
      </c>
      <c r="Q241" s="13">
        <f>Table24[[#This Row],[2_Temp_H]]-Table24[[#This Row],[2_Temp_L]]</f>
        <v>14.899999999999999</v>
      </c>
      <c r="R241" s="13">
        <v>21.9</v>
      </c>
      <c r="S241" s="13">
        <v>5.8</v>
      </c>
      <c r="T241" s="13">
        <v>1009.82</v>
      </c>
      <c r="U241" s="13">
        <v>1006.1</v>
      </c>
      <c r="V241" s="13">
        <v>0</v>
      </c>
      <c r="W241" s="13" t="s">
        <v>148</v>
      </c>
      <c r="X241" s="16" t="s">
        <v>171</v>
      </c>
      <c r="Y241" s="13" t="s">
        <v>137</v>
      </c>
      <c r="Z241" s="13" t="s">
        <v>143</v>
      </c>
      <c r="AA241" s="13" t="s">
        <v>145</v>
      </c>
      <c r="AB241" s="13" t="s">
        <v>137</v>
      </c>
      <c r="AC241" s="13">
        <f>VLOOKUP(Table24[[#This Row],[3_Elephant_ID]],'[1]Attributes(OUTDATED)'!$A$2:$N$19,12,FALSE)</f>
        <v>361</v>
      </c>
      <c r="AD241" s="13">
        <f>VLOOKUP(Table24[[#This Row],[3_Elephant_ID]],'[1]Attributes(OUTDATED)'!$A$2:$N$19,13,FALSE)</f>
        <v>0.40600000000000003</v>
      </c>
      <c r="AE241" s="13">
        <f>VLOOKUP(Table24[[#This Row],[3_Elephant_ID]],'[1]Attributes(OUTDATED)'!$A$2:$N$19,14,FALSE)</f>
        <v>0.40590323220736402</v>
      </c>
      <c r="AF241" s="13">
        <v>0</v>
      </c>
      <c r="AG241" s="13">
        <v>0</v>
      </c>
      <c r="AH241" s="13">
        <v>0</v>
      </c>
      <c r="AI241" s="13">
        <v>0</v>
      </c>
      <c r="AJ241" s="13">
        <f>VLOOKUP(Table24[[#This Row],[3_Elephant_ID]],'[1]Attributes(OUTDATED)'!$A$2:$P$19,16,FALSE)</f>
        <v>1</v>
      </c>
      <c r="AK241" s="13">
        <f>VLOOKUP(Table24[[#This Row],[3_Elephant_ID]],'[1]Attributes(OUTDATED)'!$A$2:$S$19,17,FALSE)</f>
        <v>2</v>
      </c>
      <c r="AL241" s="13">
        <f>VLOOKUP(Table24[[#This Row],[3_Elephant_ID]],'[1]Attributes(OUTDATED)'!$A$2:$S$19,18,FALSE)</f>
        <v>7</v>
      </c>
    </row>
    <row r="242" spans="1:38" ht="28" x14ac:dyDescent="0.15">
      <c r="A242" s="3">
        <v>321</v>
      </c>
      <c r="B242" s="6">
        <v>1701241223</v>
      </c>
      <c r="C242" s="7">
        <v>17</v>
      </c>
      <c r="D242" s="7">
        <v>1</v>
      </c>
      <c r="E242" s="7">
        <v>2024</v>
      </c>
      <c r="F242" s="5">
        <v>45308</v>
      </c>
      <c r="G242" s="6" t="s">
        <v>11</v>
      </c>
      <c r="H242" s="17">
        <v>0.34240776699029124</v>
      </c>
      <c r="I242" s="3" t="str">
        <f>VLOOKUP(G242,'[1]Attributes(OUTDATED)'!$A$2:$C$19,2,FALSE)</f>
        <v>M</v>
      </c>
      <c r="J242" s="3" t="str">
        <f>VLOOKUP(G242,'[1]Attributes(OUTDATED)'!$A$2:$C$19,3,FALSE)</f>
        <v>A</v>
      </c>
      <c r="K242" s="3">
        <f>VLOOKUP(G242,'[1]Attributes(OUTDATED)'!$A$2:$H$19,8,FALSE)</f>
        <v>1223</v>
      </c>
      <c r="L242" s="3" t="str">
        <f>J242&amp;I242</f>
        <v>AM</v>
      </c>
      <c r="M242" s="11">
        <v>45306</v>
      </c>
      <c r="N242" s="13">
        <v>31</v>
      </c>
      <c r="O242" s="13">
        <v>22.5</v>
      </c>
      <c r="P242" s="13">
        <v>16.100000000000001</v>
      </c>
      <c r="Q242" s="13">
        <f>Table24[[#This Row],[2_Temp_H]]-Table24[[#This Row],[2_Temp_L]]</f>
        <v>14.899999999999999</v>
      </c>
      <c r="R242" s="13">
        <v>21.9</v>
      </c>
      <c r="S242" s="13">
        <v>5.8</v>
      </c>
      <c r="T242" s="13">
        <v>1009.82</v>
      </c>
      <c r="U242" s="13">
        <v>1006.1</v>
      </c>
      <c r="V242" s="13">
        <v>0</v>
      </c>
      <c r="W242" s="13" t="s">
        <v>148</v>
      </c>
      <c r="X242" s="16" t="s">
        <v>171</v>
      </c>
      <c r="Y242" s="13" t="s">
        <v>137</v>
      </c>
      <c r="Z242" s="13" t="s">
        <v>143</v>
      </c>
      <c r="AA242" s="13" t="s">
        <v>145</v>
      </c>
      <c r="AB242" s="13" t="s">
        <v>137</v>
      </c>
      <c r="AC242" s="13">
        <f>VLOOKUP(Table24[[#This Row],[3_Elephant_ID]],'[1]Attributes(OUTDATED)'!$A$2:$N$19,12,FALSE)</f>
        <v>404</v>
      </c>
      <c r="AD242" s="13">
        <f>VLOOKUP(Table24[[#This Row],[3_Elephant_ID]],'[1]Attributes(OUTDATED)'!$A$2:$N$19,13,FALSE)</f>
        <v>0.91700000000000004</v>
      </c>
      <c r="AE242" s="13">
        <f>VLOOKUP(Table24[[#This Row],[3_Elephant_ID]],'[1]Attributes(OUTDATED)'!$A$2:$N$19,14,FALSE)</f>
        <v>0.91664628583929353</v>
      </c>
      <c r="AF242" s="13">
        <v>0</v>
      </c>
      <c r="AG242" s="13">
        <v>0</v>
      </c>
      <c r="AH242" s="13">
        <v>0</v>
      </c>
      <c r="AI242" s="13">
        <v>0</v>
      </c>
      <c r="AJ242" s="13">
        <f>VLOOKUP(Table24[[#This Row],[3_Elephant_ID]],'[1]Attributes(OUTDATED)'!$A$2:$P$19,16,FALSE)</f>
        <v>1</v>
      </c>
      <c r="AK242" s="13">
        <f>VLOOKUP(Table24[[#This Row],[3_Elephant_ID]],'[1]Attributes(OUTDATED)'!$A$2:$S$19,17,FALSE)</f>
        <v>14</v>
      </c>
      <c r="AL242" s="13">
        <f>VLOOKUP(Table24[[#This Row],[3_Elephant_ID]],'[1]Attributes(OUTDATED)'!$A$2:$S$19,18,FALSE)</f>
        <v>17</v>
      </c>
    </row>
    <row r="243" spans="1:38" ht="28" x14ac:dyDescent="0.15">
      <c r="A243" s="3">
        <v>320</v>
      </c>
      <c r="B243" s="6">
        <v>1701241140</v>
      </c>
      <c r="C243" s="7">
        <v>17</v>
      </c>
      <c r="D243" s="7">
        <v>1</v>
      </c>
      <c r="E243" s="7">
        <v>2024</v>
      </c>
      <c r="F243" s="5">
        <v>45308</v>
      </c>
      <c r="G243" s="6" t="s">
        <v>10</v>
      </c>
      <c r="H243" s="17">
        <v>0.31320441988950271</v>
      </c>
      <c r="I243" s="3" t="str">
        <f>VLOOKUP(G243,'[1]Attributes(OUTDATED)'!$A$2:$C$19,2,FALSE)</f>
        <v>F</v>
      </c>
      <c r="J243" s="3" t="str">
        <f>VLOOKUP(G243,'[1]Attributes(OUTDATED)'!$A$2:$C$19,3,FALSE)</f>
        <v>A</v>
      </c>
      <c r="K243" s="3">
        <f>VLOOKUP(G243,'[1]Attributes(OUTDATED)'!$A$2:$H$19,8,FALSE)</f>
        <v>1146</v>
      </c>
      <c r="L243" s="3" t="str">
        <f>J243&amp;I243</f>
        <v>AF</v>
      </c>
      <c r="M243" s="11">
        <v>45306</v>
      </c>
      <c r="N243" s="13">
        <v>31</v>
      </c>
      <c r="O243" s="13">
        <v>22.5</v>
      </c>
      <c r="P243" s="13">
        <v>16.100000000000001</v>
      </c>
      <c r="Q243" s="13">
        <f>Table24[[#This Row],[2_Temp_H]]-Table24[[#This Row],[2_Temp_L]]</f>
        <v>14.899999999999999</v>
      </c>
      <c r="R243" s="13">
        <v>21.9</v>
      </c>
      <c r="S243" s="13">
        <v>5.8</v>
      </c>
      <c r="T243" s="13">
        <v>1009.82</v>
      </c>
      <c r="U243" s="13">
        <v>1006.1</v>
      </c>
      <c r="V243" s="13">
        <v>0</v>
      </c>
      <c r="W243" s="13" t="s">
        <v>148</v>
      </c>
      <c r="X243" s="16" t="s">
        <v>171</v>
      </c>
      <c r="Y243" s="13" t="s">
        <v>137</v>
      </c>
      <c r="Z243" s="13" t="s">
        <v>143</v>
      </c>
      <c r="AA243" s="13" t="s">
        <v>145</v>
      </c>
      <c r="AB243" s="13" t="s">
        <v>137</v>
      </c>
      <c r="AC243" s="13">
        <f>VLOOKUP(Table24[[#This Row],[3_Elephant_ID]],'[1]Attributes(OUTDATED)'!$A$2:$N$19,12,FALSE)</f>
        <v>424</v>
      </c>
      <c r="AD243" s="13">
        <f>VLOOKUP(Table24[[#This Row],[3_Elephant_ID]],'[1]Attributes(OUTDATED)'!$A$2:$N$19,13,FALSE)</f>
        <v>0.10299999999999999</v>
      </c>
      <c r="AE243" s="13">
        <f>VLOOKUP(Table24[[#This Row],[3_Elephant_ID]],'[1]Attributes(OUTDATED)'!$A$2:$N$19,14,FALSE)</f>
        <v>0.10282190709599449</v>
      </c>
      <c r="AF243" s="13">
        <v>0</v>
      </c>
      <c r="AG243" s="13">
        <v>0</v>
      </c>
      <c r="AH243" s="13">
        <v>0</v>
      </c>
      <c r="AI243" s="13">
        <v>0</v>
      </c>
      <c r="AJ243" s="13">
        <f>VLOOKUP(Table24[[#This Row],[3_Elephant_ID]],'[1]Attributes(OUTDATED)'!$A$2:$P$19,16,FALSE)</f>
        <v>1</v>
      </c>
      <c r="AK243" s="13">
        <f>VLOOKUP(Table24[[#This Row],[3_Elephant_ID]],'[1]Attributes(OUTDATED)'!$A$2:$S$19,17,FALSE)</f>
        <v>9</v>
      </c>
      <c r="AL243" s="13">
        <f>VLOOKUP(Table24[[#This Row],[3_Elephant_ID]],'[1]Attributes(OUTDATED)'!$A$2:$S$19,18,FALSE)</f>
        <v>8</v>
      </c>
    </row>
    <row r="244" spans="1:38" ht="28" x14ac:dyDescent="0.15">
      <c r="A244" s="3">
        <v>319</v>
      </c>
      <c r="B244" s="6">
        <v>1701241239</v>
      </c>
      <c r="C244" s="7">
        <v>17</v>
      </c>
      <c r="D244" s="7">
        <v>1</v>
      </c>
      <c r="E244" s="7">
        <v>2024</v>
      </c>
      <c r="F244" s="5">
        <v>45308</v>
      </c>
      <c r="G244" s="6" t="s">
        <v>6</v>
      </c>
      <c r="H244" s="17">
        <v>0.65931166347992354</v>
      </c>
      <c r="I244" s="3" t="str">
        <f>VLOOKUP(G244,'[1]Attributes(OUTDATED)'!$A$2:$C$19,2,FALSE)</f>
        <v>F</v>
      </c>
      <c r="J244" s="3" t="str">
        <f>VLOOKUP(G244,'[1]Attributes(OUTDATED)'!$A$2:$C$19,3,FALSE)</f>
        <v>A</v>
      </c>
      <c r="K244" s="3">
        <f>VLOOKUP(G244,'[1]Attributes(OUTDATED)'!$A$2:$H$19,8,FALSE)</f>
        <v>1168</v>
      </c>
      <c r="L244" s="3" t="str">
        <f>J244&amp;I244</f>
        <v>AF</v>
      </c>
      <c r="M244" s="11">
        <v>45306</v>
      </c>
      <c r="N244" s="13">
        <v>31</v>
      </c>
      <c r="O244" s="13">
        <v>22.5</v>
      </c>
      <c r="P244" s="13">
        <v>16.100000000000001</v>
      </c>
      <c r="Q244" s="13">
        <f>Table24[[#This Row],[2_Temp_H]]-Table24[[#This Row],[2_Temp_L]]</f>
        <v>14.899999999999999</v>
      </c>
      <c r="R244" s="13">
        <v>21.9</v>
      </c>
      <c r="S244" s="13">
        <v>5.8</v>
      </c>
      <c r="T244" s="13">
        <v>1009.82</v>
      </c>
      <c r="U244" s="13">
        <v>1006.1</v>
      </c>
      <c r="V244" s="13">
        <v>0</v>
      </c>
      <c r="W244" s="13" t="s">
        <v>148</v>
      </c>
      <c r="X244" s="16" t="s">
        <v>171</v>
      </c>
      <c r="Y244" s="13" t="s">
        <v>137</v>
      </c>
      <c r="Z244" s="13" t="s">
        <v>143</v>
      </c>
      <c r="AA244" s="13" t="s">
        <v>145</v>
      </c>
      <c r="AB244" s="13" t="s">
        <v>137</v>
      </c>
      <c r="AC244" s="13">
        <f>VLOOKUP(Table24[[#This Row],[3_Elephant_ID]],'[1]Attributes(OUTDATED)'!$A$2:$N$19,12,FALSE)</f>
        <v>286</v>
      </c>
      <c r="AD244" s="13">
        <f>VLOOKUP(Table24[[#This Row],[3_Elephant_ID]],'[1]Attributes(OUTDATED)'!$A$2:$N$19,13,FALSE)</f>
        <v>0.26800000000000002</v>
      </c>
      <c r="AE244" s="13">
        <f>VLOOKUP(Table24[[#This Row],[3_Elephant_ID]],'[1]Attributes(OUTDATED)'!$A$2:$N$19,14,FALSE)</f>
        <v>0.26721028245328138</v>
      </c>
      <c r="AF244" s="13">
        <v>0</v>
      </c>
      <c r="AG244" s="13">
        <v>0</v>
      </c>
      <c r="AH244" s="13">
        <v>0</v>
      </c>
      <c r="AI244" s="13">
        <v>0</v>
      </c>
      <c r="AJ244" s="13">
        <f>VLOOKUP(Table24[[#This Row],[3_Elephant_ID]],'[1]Attributes(OUTDATED)'!$A$2:$P$19,16,FALSE)</f>
        <v>2</v>
      </c>
      <c r="AK244" s="13">
        <f>VLOOKUP(Table24[[#This Row],[3_Elephant_ID]],'[1]Attributes(OUTDATED)'!$A$2:$S$19,17,FALSE)</f>
        <v>12</v>
      </c>
      <c r="AL244" s="13">
        <f>VLOOKUP(Table24[[#This Row],[3_Elephant_ID]],'[1]Attributes(OUTDATED)'!$A$2:$S$19,18,FALSE)</f>
        <v>5</v>
      </c>
    </row>
    <row r="245" spans="1:38" ht="28" x14ac:dyDescent="0.15">
      <c r="A245" s="3">
        <v>326</v>
      </c>
      <c r="B245" s="6">
        <v>1701241005</v>
      </c>
      <c r="C245" s="7">
        <v>17</v>
      </c>
      <c r="D245" s="7">
        <v>1</v>
      </c>
      <c r="E245" s="7">
        <v>2024</v>
      </c>
      <c r="F245" s="5">
        <v>45308</v>
      </c>
      <c r="G245" s="6" t="s">
        <v>7</v>
      </c>
      <c r="H245" s="17">
        <v>0.27811764705882352</v>
      </c>
      <c r="I245" s="3" t="str">
        <f>VLOOKUP(G245,'[1]Attributes(OUTDATED)'!$A$2:$C$19,2,FALSE)</f>
        <v>F</v>
      </c>
      <c r="J245" s="3" t="str">
        <f>VLOOKUP(G245,'[1]Attributes(OUTDATED)'!$A$2:$C$19,3,FALSE)</f>
        <v>J</v>
      </c>
      <c r="K245" s="3">
        <f>VLOOKUP(G245,'[1]Attributes(OUTDATED)'!$A$2:$H$19,8,FALSE)</f>
        <v>711</v>
      </c>
      <c r="L245" s="3" t="str">
        <f>J245&amp;I245</f>
        <v>JF</v>
      </c>
      <c r="M245" s="11">
        <v>45306</v>
      </c>
      <c r="N245" s="13">
        <v>31</v>
      </c>
      <c r="O245" s="13">
        <v>22.5</v>
      </c>
      <c r="P245" s="13">
        <v>16.100000000000001</v>
      </c>
      <c r="Q245" s="13">
        <f>Table24[[#This Row],[2_Temp_H]]-Table24[[#This Row],[2_Temp_L]]</f>
        <v>14.899999999999999</v>
      </c>
      <c r="R245" s="13">
        <v>21.9</v>
      </c>
      <c r="S245" s="13">
        <v>5.8</v>
      </c>
      <c r="T245" s="13">
        <v>1009.82</v>
      </c>
      <c r="U245" s="13">
        <v>1006.1</v>
      </c>
      <c r="V245" s="13">
        <v>0</v>
      </c>
      <c r="W245" s="13" t="s">
        <v>148</v>
      </c>
      <c r="X245" s="16" t="s">
        <v>171</v>
      </c>
      <c r="Y245" s="13" t="s">
        <v>137</v>
      </c>
      <c r="Z245" s="13" t="s">
        <v>143</v>
      </c>
      <c r="AA245" s="13" t="s">
        <v>145</v>
      </c>
      <c r="AB245" s="13" t="s">
        <v>137</v>
      </c>
      <c r="AC245" s="13">
        <f>VLOOKUP(Table24[[#This Row],[3_Elephant_ID]],'[1]Attributes(OUTDATED)'!$A$2:$N$19,12,FALSE)</f>
        <v>398</v>
      </c>
      <c r="AD245" s="13">
        <f>VLOOKUP(Table24[[#This Row],[3_Elephant_ID]],'[1]Attributes(OUTDATED)'!$A$2:$N$19,13,FALSE)</f>
        <v>0.47899999999999998</v>
      </c>
      <c r="AE245" s="13">
        <f>VLOOKUP(Table24[[#This Row],[3_Elephant_ID]],'[1]Attributes(OUTDATED)'!$A$2:$N$19,14,FALSE)</f>
        <v>0.47820662037086947</v>
      </c>
      <c r="AF245" s="13">
        <v>0</v>
      </c>
      <c r="AG245" s="13">
        <v>0</v>
      </c>
      <c r="AH245" s="13">
        <v>0</v>
      </c>
      <c r="AI245" s="13">
        <v>0</v>
      </c>
      <c r="AJ245" s="13">
        <f>VLOOKUP(Table24[[#This Row],[3_Elephant_ID]],'[1]Attributes(OUTDATED)'!$A$2:$P$19,16,FALSE)</f>
        <v>1</v>
      </c>
      <c r="AK245" s="13">
        <f>VLOOKUP(Table24[[#This Row],[3_Elephant_ID]],'[1]Attributes(OUTDATED)'!$A$2:$S$19,17,FALSE)</f>
        <v>0</v>
      </c>
      <c r="AL245" s="13">
        <f>VLOOKUP(Table24[[#This Row],[3_Elephant_ID]],'[1]Attributes(OUTDATED)'!$A$2:$S$19,18,FALSE)</f>
        <v>12</v>
      </c>
    </row>
    <row r="246" spans="1:38" ht="28" x14ac:dyDescent="0.15">
      <c r="A246" s="3">
        <v>316</v>
      </c>
      <c r="B246" s="6" t="s">
        <v>120</v>
      </c>
      <c r="C246" s="7">
        <v>2</v>
      </c>
      <c r="D246" s="7">
        <v>2</v>
      </c>
      <c r="E246" s="7">
        <v>2024</v>
      </c>
      <c r="F246" s="5">
        <v>45324</v>
      </c>
      <c r="G246" s="6" t="s">
        <v>5</v>
      </c>
      <c r="H246" s="17">
        <v>0.53366602687140119</v>
      </c>
      <c r="I246" s="3" t="str">
        <f>VLOOKUP(G246,'[1]Attributes(OUTDATED)'!$A$2:$C$19,2,FALSE)</f>
        <v>M</v>
      </c>
      <c r="J246" s="3" t="str">
        <f>VLOOKUP(G246,'[1]Attributes(OUTDATED)'!$A$2:$C$19,3,FALSE)</f>
        <v>J</v>
      </c>
      <c r="K246" s="3">
        <f>VLOOKUP(G246,'[1]Attributes(OUTDATED)'!$A$2:$H$19,8,FALSE)</f>
        <v>940</v>
      </c>
      <c r="L246" s="3" t="str">
        <f>J246&amp;I246</f>
        <v>JM</v>
      </c>
      <c r="M246" s="11">
        <v>45322</v>
      </c>
      <c r="N246" s="13">
        <v>35.1</v>
      </c>
      <c r="O246" s="13">
        <v>26.6</v>
      </c>
      <c r="P246" s="13">
        <v>18</v>
      </c>
      <c r="Q246" s="13">
        <f>Table24[[#This Row],[2_Temp_H]]-Table24[[#This Row],[2_Temp_L]]</f>
        <v>17.100000000000001</v>
      </c>
      <c r="R246" s="13">
        <v>25.9</v>
      </c>
      <c r="S246" s="13">
        <v>3.7</v>
      </c>
      <c r="T246" s="13">
        <v>1015.92</v>
      </c>
      <c r="U246" s="13">
        <v>1012.87</v>
      </c>
      <c r="V246" s="13">
        <v>0</v>
      </c>
      <c r="W246" s="13" t="s">
        <v>148</v>
      </c>
      <c r="X246" s="16" t="s">
        <v>171</v>
      </c>
      <c r="Y246" s="13" t="s">
        <v>137</v>
      </c>
      <c r="Z246" s="13" t="s">
        <v>143</v>
      </c>
      <c r="AA246" s="13" t="s">
        <v>145</v>
      </c>
      <c r="AB246" s="13" t="s">
        <v>137</v>
      </c>
      <c r="AC246" s="13">
        <f>VLOOKUP(Table24[[#This Row],[3_Elephant_ID]],'[1]Attributes(OUTDATED)'!$A$2:$N$19,12,FALSE)</f>
        <v>361</v>
      </c>
      <c r="AD246" s="13">
        <f>VLOOKUP(Table24[[#This Row],[3_Elephant_ID]],'[1]Attributes(OUTDATED)'!$A$2:$N$19,13,FALSE)</f>
        <v>0.40600000000000003</v>
      </c>
      <c r="AE246" s="13">
        <f>VLOOKUP(Table24[[#This Row],[3_Elephant_ID]],'[1]Attributes(OUTDATED)'!$A$2:$N$19,14,FALSE)</f>
        <v>0.40590323220736402</v>
      </c>
      <c r="AF246" s="13">
        <v>0</v>
      </c>
      <c r="AG246" s="13">
        <v>0</v>
      </c>
      <c r="AH246" s="13">
        <v>0</v>
      </c>
      <c r="AI246" s="13">
        <v>0</v>
      </c>
      <c r="AJ246" s="13">
        <f>VLOOKUP(Table24[[#This Row],[3_Elephant_ID]],'[1]Attributes(OUTDATED)'!$A$2:$P$19,16,FALSE)</f>
        <v>1</v>
      </c>
      <c r="AK246" s="13">
        <f>VLOOKUP(Table24[[#This Row],[3_Elephant_ID]],'[1]Attributes(OUTDATED)'!$A$2:$S$19,17,FALSE)</f>
        <v>2</v>
      </c>
      <c r="AL246" s="13">
        <f>VLOOKUP(Table24[[#This Row],[3_Elephant_ID]],'[1]Attributes(OUTDATED)'!$A$2:$S$19,18,FALSE)</f>
        <v>7</v>
      </c>
    </row>
    <row r="247" spans="1:38" ht="28" x14ac:dyDescent="0.15">
      <c r="A247" s="3">
        <v>315</v>
      </c>
      <c r="B247" s="6" t="s">
        <v>119</v>
      </c>
      <c r="C247" s="7">
        <v>2</v>
      </c>
      <c r="D247" s="7">
        <v>2</v>
      </c>
      <c r="E247" s="7">
        <v>2024</v>
      </c>
      <c r="F247" s="5">
        <v>45324</v>
      </c>
      <c r="G247" s="6" t="s">
        <v>9</v>
      </c>
      <c r="H247" s="17">
        <v>0.77896153846153859</v>
      </c>
      <c r="I247" s="3" t="str">
        <f>VLOOKUP(G247,'[1]Attributes(OUTDATED)'!$A$2:$C$19,2,FALSE)</f>
        <v>F</v>
      </c>
      <c r="J247" s="3" t="str">
        <f>VLOOKUP(G247,'[1]Attributes(OUTDATED)'!$A$2:$C$19,3,FALSE)</f>
        <v>J</v>
      </c>
      <c r="K247" s="3">
        <f>VLOOKUP(G247,'[1]Attributes(OUTDATED)'!$A$2:$H$19,8,FALSE)</f>
        <v>820</v>
      </c>
      <c r="L247" s="3" t="str">
        <f>J247&amp;I247</f>
        <v>JF</v>
      </c>
      <c r="M247" s="11">
        <v>45322</v>
      </c>
      <c r="N247" s="13">
        <v>35.1</v>
      </c>
      <c r="O247" s="13">
        <v>26.6</v>
      </c>
      <c r="P247" s="13">
        <v>18</v>
      </c>
      <c r="Q247" s="13">
        <f>Table24[[#This Row],[2_Temp_H]]-Table24[[#This Row],[2_Temp_L]]</f>
        <v>17.100000000000001</v>
      </c>
      <c r="R247" s="13">
        <v>25.9</v>
      </c>
      <c r="S247" s="13">
        <v>3.7</v>
      </c>
      <c r="T247" s="13">
        <v>1015.92</v>
      </c>
      <c r="U247" s="13">
        <v>1012.87</v>
      </c>
      <c r="V247" s="13">
        <v>0</v>
      </c>
      <c r="W247" s="13" t="s">
        <v>148</v>
      </c>
      <c r="X247" s="16" t="s">
        <v>171</v>
      </c>
      <c r="Y247" s="13" t="s">
        <v>137</v>
      </c>
      <c r="Z247" s="13" t="s">
        <v>143</v>
      </c>
      <c r="AA247" s="13" t="s">
        <v>145</v>
      </c>
      <c r="AB247" s="13" t="s">
        <v>137</v>
      </c>
      <c r="AC247" s="13">
        <f>VLOOKUP(Table24[[#This Row],[3_Elephant_ID]],'[1]Attributes(OUTDATED)'!$A$2:$N$19,12,FALSE)</f>
        <v>305</v>
      </c>
      <c r="AD247" s="13">
        <f>VLOOKUP(Table24[[#This Row],[3_Elephant_ID]],'[1]Attributes(OUTDATED)'!$A$2:$N$19,13,FALSE)</f>
        <v>0.17499999999999999</v>
      </c>
      <c r="AE247" s="13">
        <f>VLOOKUP(Table24[[#This Row],[3_Elephant_ID]],'[1]Attributes(OUTDATED)'!$A$2:$N$19,14,FALSE)</f>
        <v>0.17467336145108631</v>
      </c>
      <c r="AF247" s="13">
        <v>0</v>
      </c>
      <c r="AG247" s="13">
        <v>0</v>
      </c>
      <c r="AH247" s="13">
        <v>0</v>
      </c>
      <c r="AI247" s="13">
        <v>0</v>
      </c>
      <c r="AJ247" s="13">
        <f>VLOOKUP(Table24[[#This Row],[3_Elephant_ID]],'[1]Attributes(OUTDATED)'!$A$2:$P$19,16,FALSE)</f>
        <v>2</v>
      </c>
      <c r="AK247" s="13">
        <f>VLOOKUP(Table24[[#This Row],[3_Elephant_ID]],'[1]Attributes(OUTDATED)'!$A$2:$S$19,17,FALSE)</f>
        <v>0</v>
      </c>
      <c r="AL247" s="13">
        <f>VLOOKUP(Table24[[#This Row],[3_Elephant_ID]],'[1]Attributes(OUTDATED)'!$A$2:$S$19,18,FALSE)</f>
        <v>4</v>
      </c>
    </row>
    <row r="248" spans="1:38" ht="28" x14ac:dyDescent="0.15">
      <c r="A248" s="3">
        <v>308</v>
      </c>
      <c r="B248" s="6" t="s">
        <v>112</v>
      </c>
      <c r="C248" s="7">
        <v>3</v>
      </c>
      <c r="D248" s="7">
        <v>2</v>
      </c>
      <c r="E248" s="7">
        <v>2024</v>
      </c>
      <c r="F248" s="5">
        <v>45325</v>
      </c>
      <c r="G248" s="6" t="s">
        <v>3</v>
      </c>
      <c r="H248" s="17">
        <v>0.53249999999999997</v>
      </c>
      <c r="I248" s="3" t="str">
        <f>VLOOKUP(G248,'[1]Attributes(OUTDATED)'!$A$2:$C$19,2,FALSE)</f>
        <v>M</v>
      </c>
      <c r="J248" s="3" t="str">
        <f>VLOOKUP(G248,'[1]Attributes(OUTDATED)'!$A$2:$C$19,3,FALSE)</f>
        <v>J</v>
      </c>
      <c r="K248" s="3">
        <f>VLOOKUP(G248,'[1]Attributes(OUTDATED)'!$A$2:$H$19,8,FALSE)</f>
        <v>1031</v>
      </c>
      <c r="L248" s="3" t="str">
        <f>J248&amp;I248</f>
        <v>JM</v>
      </c>
      <c r="M248" s="11">
        <v>45323</v>
      </c>
      <c r="N248" s="13">
        <v>36.200000000000003</v>
      </c>
      <c r="O248" s="13">
        <v>28</v>
      </c>
      <c r="P248" s="13">
        <v>21.5</v>
      </c>
      <c r="Q248" s="13">
        <f>Table24[[#This Row],[2_Temp_H]]-Table24[[#This Row],[2_Temp_L]]</f>
        <v>14.700000000000003</v>
      </c>
      <c r="R248" s="13">
        <v>23</v>
      </c>
      <c r="S248" s="13">
        <v>3.5</v>
      </c>
      <c r="T248" s="13">
        <v>1016.93</v>
      </c>
      <c r="U248" s="13">
        <v>1012.87</v>
      </c>
      <c r="V248" s="13">
        <v>0</v>
      </c>
      <c r="W248" s="13" t="s">
        <v>148</v>
      </c>
      <c r="X248" s="16" t="s">
        <v>171</v>
      </c>
      <c r="Y248" s="13" t="s">
        <v>137</v>
      </c>
      <c r="Z248" s="13" t="s">
        <v>143</v>
      </c>
      <c r="AA248" s="13" t="s">
        <v>145</v>
      </c>
      <c r="AB248" s="13" t="s">
        <v>137</v>
      </c>
      <c r="AC248" s="13">
        <f>VLOOKUP(Table24[[#This Row],[3_Elephant_ID]],'[1]Attributes(OUTDATED)'!$A$2:$N$19,12,FALSE)</f>
        <v>234</v>
      </c>
      <c r="AD248" s="13">
        <f>VLOOKUP(Table24[[#This Row],[3_Elephant_ID]],'[1]Attributes(OUTDATED)'!$A$2:$N$19,13,FALSE)</f>
        <v>0.16500000000000001</v>
      </c>
      <c r="AE248" s="13">
        <f>VLOOKUP(Table24[[#This Row],[3_Elephant_ID]],'[1]Attributes(OUTDATED)'!$A$2:$N$19,14,FALSE)</f>
        <v>0.16420161303383449</v>
      </c>
      <c r="AF248" s="13">
        <v>0</v>
      </c>
      <c r="AG248" s="13">
        <v>0</v>
      </c>
      <c r="AH248" s="13">
        <v>0</v>
      </c>
      <c r="AI248" s="13">
        <v>0</v>
      </c>
      <c r="AJ248" s="13">
        <f>VLOOKUP(Table24[[#This Row],[3_Elephant_ID]],'[1]Attributes(OUTDATED)'!$A$2:$P$19,16,FALSE)</f>
        <v>1</v>
      </c>
      <c r="AK248" s="13">
        <f>VLOOKUP(Table24[[#This Row],[3_Elephant_ID]],'[1]Attributes(OUTDATED)'!$A$2:$S$19,17,FALSE)</f>
        <v>9</v>
      </c>
      <c r="AL248" s="13">
        <f>VLOOKUP(Table24[[#This Row],[3_Elephant_ID]],'[1]Attributes(OUTDATED)'!$A$2:$S$19,18,FALSE)</f>
        <v>9</v>
      </c>
    </row>
    <row r="249" spans="1:38" ht="28" x14ac:dyDescent="0.15">
      <c r="A249" s="3">
        <v>307</v>
      </c>
      <c r="B249" s="6" t="s">
        <v>111</v>
      </c>
      <c r="C249" s="7">
        <v>3</v>
      </c>
      <c r="D249" s="7">
        <v>2</v>
      </c>
      <c r="E249" s="7">
        <v>2024</v>
      </c>
      <c r="F249" s="5">
        <v>45325</v>
      </c>
      <c r="G249" s="6" t="s">
        <v>17</v>
      </c>
      <c r="H249" s="17">
        <v>0.36833976833976834</v>
      </c>
      <c r="I249" s="3" t="str">
        <f>VLOOKUP(G249,'[1]Attributes(OUTDATED)'!$A$2:$C$19,2,FALSE)</f>
        <v>M</v>
      </c>
      <c r="J249" s="3" t="str">
        <f>VLOOKUP(G249,'[1]Attributes(OUTDATED)'!$A$2:$C$19,3,FALSE)</f>
        <v>J</v>
      </c>
      <c r="K249" s="3">
        <f>VLOOKUP(G249,'[1]Attributes(OUTDATED)'!$A$2:$H$19,8,FALSE)</f>
        <v>699</v>
      </c>
      <c r="L249" s="3" t="str">
        <f>J249&amp;I249</f>
        <v>JM</v>
      </c>
      <c r="M249" s="11">
        <v>45323</v>
      </c>
      <c r="N249" s="13">
        <v>36.200000000000003</v>
      </c>
      <c r="O249" s="13">
        <v>28</v>
      </c>
      <c r="P249" s="13">
        <v>21.5</v>
      </c>
      <c r="Q249" s="13">
        <f>Table24[[#This Row],[2_Temp_H]]-Table24[[#This Row],[2_Temp_L]]</f>
        <v>14.700000000000003</v>
      </c>
      <c r="R249" s="13">
        <v>23</v>
      </c>
      <c r="S249" s="13">
        <v>3.5</v>
      </c>
      <c r="T249" s="13">
        <v>1016.93</v>
      </c>
      <c r="U249" s="13">
        <v>1012.87</v>
      </c>
      <c r="V249" s="13">
        <v>0</v>
      </c>
      <c r="W249" s="13" t="s">
        <v>148</v>
      </c>
      <c r="X249" s="16" t="s">
        <v>171</v>
      </c>
      <c r="Y249" s="13" t="s">
        <v>137</v>
      </c>
      <c r="Z249" s="13" t="s">
        <v>143</v>
      </c>
      <c r="AA249" s="13" t="s">
        <v>145</v>
      </c>
      <c r="AB249" s="13" t="s">
        <v>137</v>
      </c>
      <c r="AC249" s="13">
        <f>VLOOKUP(Table24[[#This Row],[3_Elephant_ID]],'[1]Attributes(OUTDATED)'!$A$2:$N$19,12,FALSE)</f>
        <v>343</v>
      </c>
      <c r="AD249" s="13">
        <f>VLOOKUP(Table24[[#This Row],[3_Elephant_ID]],'[1]Attributes(OUTDATED)'!$A$2:$N$19,13,FALSE)</f>
        <v>0.81</v>
      </c>
      <c r="AE249" s="13">
        <f>VLOOKUP(Table24[[#This Row],[3_Elephant_ID]],'[1]Attributes(OUTDATED)'!$A$2:$N$19,14,FALSE)</f>
        <v>0.80966774571167055</v>
      </c>
      <c r="AF249" s="13">
        <v>0</v>
      </c>
      <c r="AG249" s="13">
        <v>0</v>
      </c>
      <c r="AH249" s="13">
        <v>0</v>
      </c>
      <c r="AI249" s="13">
        <v>0</v>
      </c>
      <c r="AJ249" s="13">
        <f>VLOOKUP(Table24[[#This Row],[3_Elephant_ID]],'[1]Attributes(OUTDATED)'!$A$2:$P$19,16,FALSE)</f>
        <v>1</v>
      </c>
      <c r="AK249" s="13">
        <f>VLOOKUP(Table24[[#This Row],[3_Elephant_ID]],'[1]Attributes(OUTDATED)'!$A$2:$S$19,17,FALSE)</f>
        <v>0</v>
      </c>
      <c r="AL249" s="13">
        <f>VLOOKUP(Table24[[#This Row],[3_Elephant_ID]],'[1]Attributes(OUTDATED)'!$A$2:$S$19,18,FALSE)</f>
        <v>8</v>
      </c>
    </row>
    <row r="250" spans="1:38" ht="28" x14ac:dyDescent="0.15">
      <c r="A250" s="3">
        <v>311</v>
      </c>
      <c r="B250" s="6" t="s">
        <v>115</v>
      </c>
      <c r="C250" s="7">
        <v>3</v>
      </c>
      <c r="D250" s="7">
        <v>2</v>
      </c>
      <c r="E250" s="7">
        <v>2024</v>
      </c>
      <c r="F250" s="5">
        <v>45325</v>
      </c>
      <c r="G250" s="6" t="s">
        <v>14</v>
      </c>
      <c r="H250" s="17">
        <v>0.40764705882352942</v>
      </c>
      <c r="I250" s="3" t="str">
        <f>VLOOKUP(G250,'[1]Attributes(OUTDATED)'!$A$2:$C$19,2,FALSE)</f>
        <v>F</v>
      </c>
      <c r="J250" s="3" t="str">
        <f>VLOOKUP(G250,'[1]Attributes(OUTDATED)'!$A$2:$C$19,3,FALSE)</f>
        <v>J</v>
      </c>
      <c r="K250" s="3">
        <f>VLOOKUP(G250,'[1]Attributes(OUTDATED)'!$A$2:$H$19,8,FALSE)</f>
        <v>879</v>
      </c>
      <c r="L250" s="3" t="str">
        <f>J250&amp;I250</f>
        <v>JF</v>
      </c>
      <c r="M250" s="11">
        <v>45323</v>
      </c>
      <c r="N250" s="13">
        <v>36.200000000000003</v>
      </c>
      <c r="O250" s="13">
        <v>28</v>
      </c>
      <c r="P250" s="13">
        <v>21.5</v>
      </c>
      <c r="Q250" s="13">
        <f>Table24[[#This Row],[2_Temp_H]]-Table24[[#This Row],[2_Temp_L]]</f>
        <v>14.700000000000003</v>
      </c>
      <c r="R250" s="13">
        <v>23</v>
      </c>
      <c r="S250" s="13">
        <v>3.5</v>
      </c>
      <c r="T250" s="13">
        <v>1016.93</v>
      </c>
      <c r="U250" s="13">
        <v>1012.87</v>
      </c>
      <c r="V250" s="13">
        <v>0</v>
      </c>
      <c r="W250" s="13" t="s">
        <v>148</v>
      </c>
      <c r="X250" s="16" t="s">
        <v>171</v>
      </c>
      <c r="Y250" s="13" t="s">
        <v>137</v>
      </c>
      <c r="Z250" s="13" t="s">
        <v>143</v>
      </c>
      <c r="AA250" s="13" t="s">
        <v>145</v>
      </c>
      <c r="AB250" s="13" t="s">
        <v>137</v>
      </c>
      <c r="AC250" s="13">
        <f>VLOOKUP(Table24[[#This Row],[3_Elephant_ID]],'[1]Attributes(OUTDATED)'!$A$2:$N$19,12,FALSE)</f>
        <v>269</v>
      </c>
      <c r="AD250" s="13">
        <f>VLOOKUP(Table24[[#This Row],[3_Elephant_ID]],'[1]Attributes(OUTDATED)'!$A$2:$N$19,13,FALSE)</f>
        <v>0.65800000000000003</v>
      </c>
      <c r="AE250" s="13">
        <f>VLOOKUP(Table24[[#This Row],[3_Elephant_ID]],'[1]Attributes(OUTDATED)'!$A$2:$N$19,14,FALSE)</f>
        <v>0.65767064449315993</v>
      </c>
      <c r="AF250" s="13">
        <v>0</v>
      </c>
      <c r="AG250" s="13">
        <v>0</v>
      </c>
      <c r="AH250" s="13">
        <v>0</v>
      </c>
      <c r="AI250" s="13">
        <v>0</v>
      </c>
      <c r="AJ250" s="13">
        <f>VLOOKUP(Table24[[#This Row],[3_Elephant_ID]],'[1]Attributes(OUTDATED)'!$A$2:$P$19,16,FALSE)</f>
        <v>1</v>
      </c>
      <c r="AK250" s="13">
        <f>VLOOKUP(Table24[[#This Row],[3_Elephant_ID]],'[1]Attributes(OUTDATED)'!$A$2:$S$19,17,FALSE)</f>
        <v>3</v>
      </c>
      <c r="AL250" s="13">
        <f>VLOOKUP(Table24[[#This Row],[3_Elephant_ID]],'[1]Attributes(OUTDATED)'!$A$2:$S$19,18,FALSE)</f>
        <v>9</v>
      </c>
    </row>
    <row r="251" spans="1:38" ht="28" x14ac:dyDescent="0.15">
      <c r="A251" s="3">
        <v>312</v>
      </c>
      <c r="B251" s="6" t="s">
        <v>116</v>
      </c>
      <c r="C251" s="7">
        <v>3</v>
      </c>
      <c r="D251" s="7">
        <v>2</v>
      </c>
      <c r="E251" s="7">
        <v>2024</v>
      </c>
      <c r="F251" s="5">
        <v>45325</v>
      </c>
      <c r="G251" s="6" t="s">
        <v>5</v>
      </c>
      <c r="H251" s="17">
        <v>0.40032882011605408</v>
      </c>
      <c r="I251" s="3" t="str">
        <f>VLOOKUP(G251,'[1]Attributes(OUTDATED)'!$A$2:$C$19,2,FALSE)</f>
        <v>M</v>
      </c>
      <c r="J251" s="3" t="str">
        <f>VLOOKUP(G251,'[1]Attributes(OUTDATED)'!$A$2:$C$19,3,FALSE)</f>
        <v>J</v>
      </c>
      <c r="K251" s="3">
        <f>VLOOKUP(G251,'[1]Attributes(OUTDATED)'!$A$2:$H$19,8,FALSE)</f>
        <v>940</v>
      </c>
      <c r="L251" s="3" t="str">
        <f>J251&amp;I251</f>
        <v>JM</v>
      </c>
      <c r="M251" s="11">
        <v>45323</v>
      </c>
      <c r="N251" s="13">
        <v>36.200000000000003</v>
      </c>
      <c r="O251" s="13">
        <v>28</v>
      </c>
      <c r="P251" s="13">
        <v>21.5</v>
      </c>
      <c r="Q251" s="13">
        <f>Table24[[#This Row],[2_Temp_H]]-Table24[[#This Row],[2_Temp_L]]</f>
        <v>14.700000000000003</v>
      </c>
      <c r="R251" s="13">
        <v>23</v>
      </c>
      <c r="S251" s="13">
        <v>3.5</v>
      </c>
      <c r="T251" s="13">
        <v>1016.93</v>
      </c>
      <c r="U251" s="13">
        <v>1012.87</v>
      </c>
      <c r="V251" s="13">
        <v>0</v>
      </c>
      <c r="W251" s="13" t="s">
        <v>148</v>
      </c>
      <c r="X251" s="16" t="s">
        <v>171</v>
      </c>
      <c r="Y251" s="13" t="s">
        <v>137</v>
      </c>
      <c r="Z251" s="13" t="s">
        <v>143</v>
      </c>
      <c r="AA251" s="13" t="s">
        <v>145</v>
      </c>
      <c r="AB251" s="13" t="s">
        <v>137</v>
      </c>
      <c r="AC251" s="13">
        <f>VLOOKUP(Table24[[#This Row],[3_Elephant_ID]],'[1]Attributes(OUTDATED)'!$A$2:$N$19,12,FALSE)</f>
        <v>361</v>
      </c>
      <c r="AD251" s="13">
        <f>VLOOKUP(Table24[[#This Row],[3_Elephant_ID]],'[1]Attributes(OUTDATED)'!$A$2:$N$19,13,FALSE)</f>
        <v>0.40600000000000003</v>
      </c>
      <c r="AE251" s="13">
        <f>VLOOKUP(Table24[[#This Row],[3_Elephant_ID]],'[1]Attributes(OUTDATED)'!$A$2:$N$19,14,FALSE)</f>
        <v>0.40590323220736402</v>
      </c>
      <c r="AF251" s="13">
        <v>0</v>
      </c>
      <c r="AG251" s="13">
        <v>0</v>
      </c>
      <c r="AH251" s="13">
        <v>0</v>
      </c>
      <c r="AI251" s="13">
        <v>0</v>
      </c>
      <c r="AJ251" s="13">
        <f>VLOOKUP(Table24[[#This Row],[3_Elephant_ID]],'[1]Attributes(OUTDATED)'!$A$2:$P$19,16,FALSE)</f>
        <v>1</v>
      </c>
      <c r="AK251" s="13">
        <f>VLOOKUP(Table24[[#This Row],[3_Elephant_ID]],'[1]Attributes(OUTDATED)'!$A$2:$S$19,17,FALSE)</f>
        <v>2</v>
      </c>
      <c r="AL251" s="13">
        <f>VLOOKUP(Table24[[#This Row],[3_Elephant_ID]],'[1]Attributes(OUTDATED)'!$A$2:$S$19,18,FALSE)</f>
        <v>7</v>
      </c>
    </row>
    <row r="252" spans="1:38" ht="28" x14ac:dyDescent="0.15">
      <c r="A252" s="3">
        <v>313</v>
      </c>
      <c r="B252" s="6" t="s">
        <v>117</v>
      </c>
      <c r="C252" s="7">
        <v>3</v>
      </c>
      <c r="D252" s="7">
        <v>2</v>
      </c>
      <c r="E252" s="7">
        <v>2024</v>
      </c>
      <c r="F252" s="5">
        <v>45325</v>
      </c>
      <c r="G252" s="6" t="s">
        <v>9</v>
      </c>
      <c r="H252" s="17">
        <v>0.4895977011494253</v>
      </c>
      <c r="I252" s="3" t="str">
        <f>VLOOKUP(G252,'[1]Attributes(OUTDATED)'!$A$2:$C$19,2,FALSE)</f>
        <v>F</v>
      </c>
      <c r="J252" s="3" t="str">
        <f>VLOOKUP(G252,'[1]Attributes(OUTDATED)'!$A$2:$C$19,3,FALSE)</f>
        <v>J</v>
      </c>
      <c r="K252" s="3">
        <f>VLOOKUP(G252,'[1]Attributes(OUTDATED)'!$A$2:$H$19,8,FALSE)</f>
        <v>820</v>
      </c>
      <c r="L252" s="3" t="str">
        <f>J252&amp;I252</f>
        <v>JF</v>
      </c>
      <c r="M252" s="11">
        <v>45323</v>
      </c>
      <c r="N252" s="13">
        <v>36.200000000000003</v>
      </c>
      <c r="O252" s="13">
        <v>28</v>
      </c>
      <c r="P252" s="13">
        <v>21.5</v>
      </c>
      <c r="Q252" s="13">
        <f>Table24[[#This Row],[2_Temp_H]]-Table24[[#This Row],[2_Temp_L]]</f>
        <v>14.700000000000003</v>
      </c>
      <c r="R252" s="13">
        <v>23</v>
      </c>
      <c r="S252" s="13">
        <v>3.5</v>
      </c>
      <c r="T252" s="13">
        <v>1016.93</v>
      </c>
      <c r="U252" s="13">
        <v>1012.87</v>
      </c>
      <c r="V252" s="13">
        <v>0</v>
      </c>
      <c r="W252" s="13" t="s">
        <v>148</v>
      </c>
      <c r="X252" s="16" t="s">
        <v>171</v>
      </c>
      <c r="Y252" s="13" t="s">
        <v>137</v>
      </c>
      <c r="Z252" s="13" t="s">
        <v>143</v>
      </c>
      <c r="AA252" s="13" t="s">
        <v>145</v>
      </c>
      <c r="AB252" s="13" t="s">
        <v>137</v>
      </c>
      <c r="AC252" s="13">
        <f>VLOOKUP(Table24[[#This Row],[3_Elephant_ID]],'[1]Attributes(OUTDATED)'!$A$2:$N$19,12,FALSE)</f>
        <v>305</v>
      </c>
      <c r="AD252" s="13">
        <f>VLOOKUP(Table24[[#This Row],[3_Elephant_ID]],'[1]Attributes(OUTDATED)'!$A$2:$N$19,13,FALSE)</f>
        <v>0.17499999999999999</v>
      </c>
      <c r="AE252" s="13">
        <f>VLOOKUP(Table24[[#This Row],[3_Elephant_ID]],'[1]Attributes(OUTDATED)'!$A$2:$N$19,14,FALSE)</f>
        <v>0.17467336145108631</v>
      </c>
      <c r="AF252" s="13">
        <v>0</v>
      </c>
      <c r="AG252" s="13">
        <v>0</v>
      </c>
      <c r="AH252" s="13">
        <v>0</v>
      </c>
      <c r="AI252" s="13">
        <v>0</v>
      </c>
      <c r="AJ252" s="13">
        <f>VLOOKUP(Table24[[#This Row],[3_Elephant_ID]],'[1]Attributes(OUTDATED)'!$A$2:$P$19,16,FALSE)</f>
        <v>2</v>
      </c>
      <c r="AK252" s="13">
        <f>VLOOKUP(Table24[[#This Row],[3_Elephant_ID]],'[1]Attributes(OUTDATED)'!$A$2:$S$19,17,FALSE)</f>
        <v>0</v>
      </c>
      <c r="AL252" s="13">
        <f>VLOOKUP(Table24[[#This Row],[3_Elephant_ID]],'[1]Attributes(OUTDATED)'!$A$2:$S$19,18,FALSE)</f>
        <v>4</v>
      </c>
    </row>
    <row r="253" spans="1:38" ht="28" x14ac:dyDescent="0.15">
      <c r="A253" s="3">
        <v>314</v>
      </c>
      <c r="B253" s="6" t="s">
        <v>118</v>
      </c>
      <c r="C253" s="7">
        <v>3</v>
      </c>
      <c r="D253" s="7">
        <v>2</v>
      </c>
      <c r="E253" s="7">
        <v>2024</v>
      </c>
      <c r="F253" s="5">
        <v>45325</v>
      </c>
      <c r="G253" s="6" t="s">
        <v>12</v>
      </c>
      <c r="H253" s="17">
        <v>0.5455888030888032</v>
      </c>
      <c r="I253" s="3" t="str">
        <f>VLOOKUP(G253,'[1]Attributes(OUTDATED)'!$A$2:$C$19,2,FALSE)</f>
        <v>M</v>
      </c>
      <c r="J253" s="3" t="str">
        <f>VLOOKUP(G253,'[1]Attributes(OUTDATED)'!$A$2:$C$19,3,FALSE)</f>
        <v>A</v>
      </c>
      <c r="K253" s="3">
        <f>VLOOKUP(G253,'[1]Attributes(OUTDATED)'!$A$2:$H$19,8,FALSE)</f>
        <v>1509</v>
      </c>
      <c r="L253" s="3" t="str">
        <f>J253&amp;I253</f>
        <v>AM</v>
      </c>
      <c r="M253" s="11">
        <v>45323</v>
      </c>
      <c r="N253" s="13">
        <v>36.200000000000003</v>
      </c>
      <c r="O253" s="13">
        <v>28</v>
      </c>
      <c r="P253" s="13">
        <v>21.5</v>
      </c>
      <c r="Q253" s="13">
        <f>Table24[[#This Row],[2_Temp_H]]-Table24[[#This Row],[2_Temp_L]]</f>
        <v>14.700000000000003</v>
      </c>
      <c r="R253" s="13">
        <v>23</v>
      </c>
      <c r="S253" s="13">
        <v>3.5</v>
      </c>
      <c r="T253" s="13">
        <v>1016.93</v>
      </c>
      <c r="U253" s="13">
        <v>1012.87</v>
      </c>
      <c r="V253" s="13">
        <v>0</v>
      </c>
      <c r="W253" s="13" t="s">
        <v>148</v>
      </c>
      <c r="X253" s="16" t="s">
        <v>171</v>
      </c>
      <c r="Y253" s="13" t="s">
        <v>137</v>
      </c>
      <c r="Z253" s="13" t="s">
        <v>143</v>
      </c>
      <c r="AA253" s="13" t="s">
        <v>145</v>
      </c>
      <c r="AB253" s="13" t="s">
        <v>137</v>
      </c>
      <c r="AC253" s="13">
        <f>VLOOKUP(Table24[[#This Row],[3_Elephant_ID]],'[1]Attributes(OUTDATED)'!$A$2:$N$19,12,FALSE)</f>
        <v>450</v>
      </c>
      <c r="AD253" s="13">
        <f>VLOOKUP(Table24[[#This Row],[3_Elephant_ID]],'[1]Attributes(OUTDATED)'!$A$2:$N$19,13,FALSE)</f>
        <v>0.375</v>
      </c>
      <c r="AE253" s="13">
        <f>VLOOKUP(Table24[[#This Row],[3_Elephant_ID]],'[1]Attributes(OUTDATED)'!$A$2:$N$19,14,FALSE)</f>
        <v>0.37414375430996583</v>
      </c>
      <c r="AF253" s="13">
        <v>0</v>
      </c>
      <c r="AG253" s="13">
        <v>0</v>
      </c>
      <c r="AH253" s="13">
        <v>0</v>
      </c>
      <c r="AI253" s="13">
        <v>0</v>
      </c>
      <c r="AJ253" s="13">
        <f>VLOOKUP(Table24[[#This Row],[3_Elephant_ID]],'[1]Attributes(OUTDATED)'!$A$2:$P$19,16,FALSE)</f>
        <v>1</v>
      </c>
      <c r="AK253" s="13">
        <f>VLOOKUP(Table24[[#This Row],[3_Elephant_ID]],'[1]Attributes(OUTDATED)'!$A$2:$S$19,17,FALSE)</f>
        <v>48</v>
      </c>
      <c r="AL253" s="13">
        <f>VLOOKUP(Table24[[#This Row],[3_Elephant_ID]],'[1]Attributes(OUTDATED)'!$A$2:$S$19,18,FALSE)</f>
        <v>3</v>
      </c>
    </row>
    <row r="254" spans="1:38" ht="28" x14ac:dyDescent="0.15">
      <c r="A254" s="3">
        <v>310</v>
      </c>
      <c r="B254" s="6" t="s">
        <v>114</v>
      </c>
      <c r="C254" s="7">
        <v>3</v>
      </c>
      <c r="D254" s="7">
        <v>2</v>
      </c>
      <c r="E254" s="7">
        <v>2024</v>
      </c>
      <c r="F254" s="5">
        <v>45325</v>
      </c>
      <c r="G254" s="6" t="s">
        <v>10</v>
      </c>
      <c r="H254" s="17">
        <v>0.41124260355029585</v>
      </c>
      <c r="I254" s="3" t="str">
        <f>VLOOKUP(G254,'[1]Attributes(OUTDATED)'!$A$2:$C$19,2,FALSE)</f>
        <v>F</v>
      </c>
      <c r="J254" s="3" t="str">
        <f>VLOOKUP(G254,'[1]Attributes(OUTDATED)'!$A$2:$C$19,3,FALSE)</f>
        <v>A</v>
      </c>
      <c r="K254" s="3">
        <f>VLOOKUP(G254,'[1]Attributes(OUTDATED)'!$A$2:$H$19,8,FALSE)</f>
        <v>1146</v>
      </c>
      <c r="L254" s="3" t="str">
        <f>J254&amp;I254</f>
        <v>AF</v>
      </c>
      <c r="M254" s="11">
        <v>45323</v>
      </c>
      <c r="N254" s="13">
        <v>36.200000000000003</v>
      </c>
      <c r="O254" s="13">
        <v>28</v>
      </c>
      <c r="P254" s="13">
        <v>21.5</v>
      </c>
      <c r="Q254" s="13">
        <f>Table24[[#This Row],[2_Temp_H]]-Table24[[#This Row],[2_Temp_L]]</f>
        <v>14.700000000000003</v>
      </c>
      <c r="R254" s="13">
        <v>23</v>
      </c>
      <c r="S254" s="13">
        <v>3.5</v>
      </c>
      <c r="T254" s="13">
        <v>1016.93</v>
      </c>
      <c r="U254" s="13">
        <v>1012.87</v>
      </c>
      <c r="V254" s="13">
        <v>0</v>
      </c>
      <c r="W254" s="13" t="s">
        <v>148</v>
      </c>
      <c r="X254" s="16" t="s">
        <v>171</v>
      </c>
      <c r="Y254" s="13" t="s">
        <v>137</v>
      </c>
      <c r="Z254" s="13" t="s">
        <v>143</v>
      </c>
      <c r="AA254" s="13" t="s">
        <v>145</v>
      </c>
      <c r="AB254" s="13" t="s">
        <v>137</v>
      </c>
      <c r="AC254" s="13">
        <f>VLOOKUP(Table24[[#This Row],[3_Elephant_ID]],'[1]Attributes(OUTDATED)'!$A$2:$N$19,12,FALSE)</f>
        <v>424</v>
      </c>
      <c r="AD254" s="13">
        <f>VLOOKUP(Table24[[#This Row],[3_Elephant_ID]],'[1]Attributes(OUTDATED)'!$A$2:$N$19,13,FALSE)</f>
        <v>0.10299999999999999</v>
      </c>
      <c r="AE254" s="13">
        <f>VLOOKUP(Table24[[#This Row],[3_Elephant_ID]],'[1]Attributes(OUTDATED)'!$A$2:$N$19,14,FALSE)</f>
        <v>0.10282190709599449</v>
      </c>
      <c r="AF254" s="13">
        <v>0</v>
      </c>
      <c r="AG254" s="13">
        <v>0</v>
      </c>
      <c r="AH254" s="13">
        <v>0</v>
      </c>
      <c r="AI254" s="13">
        <v>0</v>
      </c>
      <c r="AJ254" s="13">
        <f>VLOOKUP(Table24[[#This Row],[3_Elephant_ID]],'[1]Attributes(OUTDATED)'!$A$2:$P$19,16,FALSE)</f>
        <v>1</v>
      </c>
      <c r="AK254" s="13">
        <f>VLOOKUP(Table24[[#This Row],[3_Elephant_ID]],'[1]Attributes(OUTDATED)'!$A$2:$S$19,17,FALSE)</f>
        <v>9</v>
      </c>
      <c r="AL254" s="13">
        <f>VLOOKUP(Table24[[#This Row],[3_Elephant_ID]],'[1]Attributes(OUTDATED)'!$A$2:$S$19,18,FALSE)</f>
        <v>8</v>
      </c>
    </row>
    <row r="255" spans="1:38" ht="28" x14ac:dyDescent="0.15">
      <c r="A255" s="3">
        <v>309</v>
      </c>
      <c r="B255" s="6" t="s">
        <v>113</v>
      </c>
      <c r="C255" s="7">
        <v>3</v>
      </c>
      <c r="D255" s="7">
        <v>2</v>
      </c>
      <c r="E255" s="7">
        <v>2024</v>
      </c>
      <c r="F255" s="5">
        <v>45325</v>
      </c>
      <c r="G255" s="6" t="s">
        <v>16</v>
      </c>
      <c r="H255" s="17">
        <v>0.75949152542372877</v>
      </c>
      <c r="I255" s="3" t="str">
        <f>VLOOKUP(G255,'[1]Attributes(OUTDATED)'!$A$2:$C$19,2,FALSE)</f>
        <v>F</v>
      </c>
      <c r="J255" s="3" t="str">
        <f>VLOOKUP(G255,'[1]Attributes(OUTDATED)'!$A$2:$C$19,3,FALSE)</f>
        <v>A</v>
      </c>
      <c r="K255" s="3">
        <f>VLOOKUP(G255,'[1]Attributes(OUTDATED)'!$A$2:$H$19,8,FALSE)</f>
        <v>1346</v>
      </c>
      <c r="L255" s="3" t="str">
        <f>J255&amp;I255</f>
        <v>AF</v>
      </c>
      <c r="M255" s="11">
        <v>45323</v>
      </c>
      <c r="N255" s="13">
        <v>36.200000000000003</v>
      </c>
      <c r="O255" s="13">
        <v>28</v>
      </c>
      <c r="P255" s="13">
        <v>21.5</v>
      </c>
      <c r="Q255" s="13">
        <f>Table24[[#This Row],[2_Temp_H]]-Table24[[#This Row],[2_Temp_L]]</f>
        <v>14.700000000000003</v>
      </c>
      <c r="R255" s="13">
        <v>23</v>
      </c>
      <c r="S255" s="13">
        <v>3.5</v>
      </c>
      <c r="T255" s="13">
        <v>1016.93</v>
      </c>
      <c r="U255" s="13">
        <v>1012.87</v>
      </c>
      <c r="V255" s="13">
        <v>0</v>
      </c>
      <c r="W255" s="13" t="s">
        <v>148</v>
      </c>
      <c r="X255" s="16" t="s">
        <v>171</v>
      </c>
      <c r="Y255" s="13" t="s">
        <v>137</v>
      </c>
      <c r="Z255" s="13" t="s">
        <v>143</v>
      </c>
      <c r="AA255" s="13" t="s">
        <v>145</v>
      </c>
      <c r="AB255" s="13" t="s">
        <v>137</v>
      </c>
      <c r="AC255" s="13">
        <f>VLOOKUP(Table24[[#This Row],[3_Elephant_ID]],'[1]Attributes(OUTDATED)'!$A$2:$N$19,12,FALSE)</f>
        <v>474</v>
      </c>
      <c r="AD255" s="13">
        <f>VLOOKUP(Table24[[#This Row],[3_Elephant_ID]],'[1]Attributes(OUTDATED)'!$A$2:$N$19,13,FALSE)</f>
        <v>0.121</v>
      </c>
      <c r="AE255" s="13">
        <f>VLOOKUP(Table24[[#This Row],[3_Elephant_ID]],'[1]Attributes(OUTDATED)'!$A$2:$N$19,14,FALSE)</f>
        <v>0.1206993463154281</v>
      </c>
      <c r="AF255" s="13">
        <v>0</v>
      </c>
      <c r="AG255" s="13">
        <v>0</v>
      </c>
      <c r="AH255" s="13">
        <v>0</v>
      </c>
      <c r="AI255" s="13">
        <v>0</v>
      </c>
      <c r="AJ255" s="13">
        <f>VLOOKUP(Table24[[#This Row],[3_Elephant_ID]],'[1]Attributes(OUTDATED)'!$A$2:$P$19,16,FALSE)</f>
        <v>1</v>
      </c>
      <c r="AK255" s="13">
        <f>VLOOKUP(Table24[[#This Row],[3_Elephant_ID]],'[1]Attributes(OUTDATED)'!$A$2:$S$19,17,FALSE)</f>
        <v>16</v>
      </c>
      <c r="AL255" s="13">
        <f>VLOOKUP(Table24[[#This Row],[3_Elephant_ID]],'[1]Attributes(OUTDATED)'!$A$2:$S$19,18,FALSE)</f>
        <v>1</v>
      </c>
    </row>
    <row r="256" spans="1:38" ht="28" x14ac:dyDescent="0.15">
      <c r="A256" s="3">
        <v>305</v>
      </c>
      <c r="B256" s="6" t="s">
        <v>109</v>
      </c>
      <c r="C256" s="7">
        <v>5</v>
      </c>
      <c r="D256" s="7">
        <v>2</v>
      </c>
      <c r="E256" s="7">
        <v>2024</v>
      </c>
      <c r="F256" s="5">
        <v>45327</v>
      </c>
      <c r="G256" s="6" t="s">
        <v>31</v>
      </c>
      <c r="H256" s="17">
        <v>0.5270750988142292</v>
      </c>
      <c r="I256" s="3" t="str">
        <f>VLOOKUP(G256,'[1]Attributes(OUTDATED)'!$A$2:$C$19,2,FALSE)</f>
        <v>F</v>
      </c>
      <c r="J256" s="3" t="str">
        <f>VLOOKUP(G256,'[1]Attributes(OUTDATED)'!$A$2:$C$19,3,FALSE)</f>
        <v>J</v>
      </c>
      <c r="K256" s="3">
        <f>VLOOKUP(G256,'[1]Attributes(OUTDATED)'!$A$2:$H$19,8,FALSE)</f>
        <v>765</v>
      </c>
      <c r="L256" s="3" t="str">
        <f>J256&amp;I256</f>
        <v>JF</v>
      </c>
      <c r="M256" s="11">
        <v>45325</v>
      </c>
      <c r="N256" s="13">
        <v>34.5</v>
      </c>
      <c r="O256" s="13">
        <v>24.2</v>
      </c>
      <c r="P256" s="13">
        <v>16</v>
      </c>
      <c r="Q256" s="13">
        <f>Table24[[#This Row],[2_Temp_H]]-Table24[[#This Row],[2_Temp_L]]</f>
        <v>18.5</v>
      </c>
      <c r="R256" s="13">
        <v>31.5</v>
      </c>
      <c r="S256" s="13">
        <v>2.9</v>
      </c>
      <c r="T256" s="13">
        <v>1009.82</v>
      </c>
      <c r="U256" s="13">
        <v>1006.77</v>
      </c>
      <c r="V256" s="13">
        <v>12.95</v>
      </c>
      <c r="W256" s="13" t="s">
        <v>148</v>
      </c>
      <c r="X256" s="16" t="s">
        <v>171</v>
      </c>
      <c r="Y256" s="13" t="s">
        <v>137</v>
      </c>
      <c r="Z256" s="13" t="s">
        <v>143</v>
      </c>
      <c r="AA256" s="13" t="s">
        <v>145</v>
      </c>
      <c r="AB256" s="13" t="s">
        <v>137</v>
      </c>
      <c r="AC256" s="13">
        <f>VLOOKUP(Table24[[#This Row],[3_Elephant_ID]],'[1]Attributes(OUTDATED)'!$A$2:$N$19,12,FALSE)</f>
        <v>258</v>
      </c>
      <c r="AD256" s="13">
        <f>VLOOKUP(Table24[[#This Row],[3_Elephant_ID]],'[1]Attributes(OUTDATED)'!$A$2:$N$19,13,FALSE)</f>
        <v>0.25700000000000001</v>
      </c>
      <c r="AE256" s="13">
        <f>VLOOKUP(Table24[[#This Row],[3_Elephant_ID]],'[1]Attributes(OUTDATED)'!$A$2:$N$19,14,FALSE)</f>
        <v>0.25665547185998128</v>
      </c>
      <c r="AF256" s="13">
        <v>1</v>
      </c>
      <c r="AG256" s="13">
        <v>0</v>
      </c>
      <c r="AH256" s="13">
        <v>0</v>
      </c>
      <c r="AI256" s="13">
        <v>0</v>
      </c>
      <c r="AJ256" s="13">
        <f>VLOOKUP(Table24[[#This Row],[3_Elephant_ID]],'[1]Attributes(OUTDATED)'!$A$2:$P$19,16,FALSE)</f>
        <v>2</v>
      </c>
      <c r="AK256" s="13">
        <f>VLOOKUP(Table24[[#This Row],[3_Elephant_ID]],'[1]Attributes(OUTDATED)'!$A$2:$S$19,17,FALSE)</f>
        <v>1</v>
      </c>
      <c r="AL256" s="13">
        <f>VLOOKUP(Table24[[#This Row],[3_Elephant_ID]],'[1]Attributes(OUTDATED)'!$A$2:$S$19,18,FALSE)</f>
        <v>10</v>
      </c>
    </row>
    <row r="257" spans="1:38" ht="28" x14ac:dyDescent="0.15">
      <c r="A257" s="3">
        <v>306</v>
      </c>
      <c r="B257" s="6" t="s">
        <v>110</v>
      </c>
      <c r="C257" s="7">
        <v>5</v>
      </c>
      <c r="D257" s="7">
        <v>2</v>
      </c>
      <c r="E257" s="7">
        <v>2024</v>
      </c>
      <c r="F257" s="5">
        <v>45327</v>
      </c>
      <c r="G257" s="6" t="s">
        <v>7</v>
      </c>
      <c r="H257" s="17">
        <v>0.38023897058823525</v>
      </c>
      <c r="I257" s="3" t="str">
        <f>VLOOKUP(G257,'[1]Attributes(OUTDATED)'!$A$2:$C$19,2,FALSE)</f>
        <v>F</v>
      </c>
      <c r="J257" s="3" t="str">
        <f>VLOOKUP(G257,'[1]Attributes(OUTDATED)'!$A$2:$C$19,3,FALSE)</f>
        <v>J</v>
      </c>
      <c r="K257" s="3">
        <f>VLOOKUP(G257,'[1]Attributes(OUTDATED)'!$A$2:$H$19,8,FALSE)</f>
        <v>711</v>
      </c>
      <c r="L257" s="3" t="str">
        <f>J257&amp;I257</f>
        <v>JF</v>
      </c>
      <c r="M257" s="11">
        <v>45325</v>
      </c>
      <c r="N257" s="13">
        <v>34.5</v>
      </c>
      <c r="O257" s="13">
        <v>24.2</v>
      </c>
      <c r="P257" s="13">
        <v>16</v>
      </c>
      <c r="Q257" s="13">
        <f>Table24[[#This Row],[2_Temp_H]]-Table24[[#This Row],[2_Temp_L]]</f>
        <v>18.5</v>
      </c>
      <c r="R257" s="13">
        <v>31.5</v>
      </c>
      <c r="S257" s="13">
        <v>2.9</v>
      </c>
      <c r="T257" s="13">
        <v>1009.82</v>
      </c>
      <c r="U257" s="13">
        <v>1006.77</v>
      </c>
      <c r="V257" s="13">
        <v>12.95</v>
      </c>
      <c r="W257" s="13" t="s">
        <v>148</v>
      </c>
      <c r="X257" s="16" t="s">
        <v>171</v>
      </c>
      <c r="Y257" s="13" t="s">
        <v>137</v>
      </c>
      <c r="Z257" s="13" t="s">
        <v>143</v>
      </c>
      <c r="AA257" s="13" t="s">
        <v>145</v>
      </c>
      <c r="AB257" s="13" t="s">
        <v>137</v>
      </c>
      <c r="AC257" s="13">
        <f>VLOOKUP(Table24[[#This Row],[3_Elephant_ID]],'[1]Attributes(OUTDATED)'!$A$2:$N$19,12,FALSE)</f>
        <v>398</v>
      </c>
      <c r="AD257" s="13">
        <f>VLOOKUP(Table24[[#This Row],[3_Elephant_ID]],'[1]Attributes(OUTDATED)'!$A$2:$N$19,13,FALSE)</f>
        <v>0.47899999999999998</v>
      </c>
      <c r="AE257" s="13">
        <f>VLOOKUP(Table24[[#This Row],[3_Elephant_ID]],'[1]Attributes(OUTDATED)'!$A$2:$N$19,14,FALSE)</f>
        <v>0.47820662037086947</v>
      </c>
      <c r="AF257" s="13">
        <v>1</v>
      </c>
      <c r="AG257" s="13">
        <v>0</v>
      </c>
      <c r="AH257" s="13">
        <v>0</v>
      </c>
      <c r="AI257" s="13">
        <v>0</v>
      </c>
      <c r="AJ257" s="13">
        <f>VLOOKUP(Table24[[#This Row],[3_Elephant_ID]],'[1]Attributes(OUTDATED)'!$A$2:$P$19,16,FALSE)</f>
        <v>1</v>
      </c>
      <c r="AK257" s="13">
        <f>VLOOKUP(Table24[[#This Row],[3_Elephant_ID]],'[1]Attributes(OUTDATED)'!$A$2:$S$19,17,FALSE)</f>
        <v>0</v>
      </c>
      <c r="AL257" s="13">
        <f>VLOOKUP(Table24[[#This Row],[3_Elephant_ID]],'[1]Attributes(OUTDATED)'!$A$2:$S$19,18,FALSE)</f>
        <v>12</v>
      </c>
    </row>
    <row r="258" spans="1:38" ht="28" x14ac:dyDescent="0.15">
      <c r="A258" s="3">
        <v>300</v>
      </c>
      <c r="B258" s="6">
        <v>1402241229</v>
      </c>
      <c r="C258" s="7">
        <v>14</v>
      </c>
      <c r="D258" s="7">
        <v>2</v>
      </c>
      <c r="E258" s="7">
        <v>2024</v>
      </c>
      <c r="F258" s="5">
        <v>45336</v>
      </c>
      <c r="G258" s="6" t="s">
        <v>3</v>
      </c>
      <c r="H258" s="17">
        <v>0.42904669260700395</v>
      </c>
      <c r="I258" s="3" t="str">
        <f>VLOOKUP(G258,'[1]Attributes(OUTDATED)'!$A$2:$C$19,2,FALSE)</f>
        <v>M</v>
      </c>
      <c r="J258" s="3" t="str">
        <f>VLOOKUP(G258,'[1]Attributes(OUTDATED)'!$A$2:$C$19,3,FALSE)</f>
        <v>J</v>
      </c>
      <c r="K258" s="3">
        <f>VLOOKUP(G258,'[1]Attributes(OUTDATED)'!$A$2:$H$19,8,FALSE)</f>
        <v>1031</v>
      </c>
      <c r="L258" s="3" t="str">
        <f>J258&amp;I258</f>
        <v>JM</v>
      </c>
      <c r="M258" s="11">
        <v>45334</v>
      </c>
      <c r="N258" s="13">
        <v>39.200000000000003</v>
      </c>
      <c r="O258" s="13">
        <v>26.2</v>
      </c>
      <c r="P258" s="13">
        <v>12.1</v>
      </c>
      <c r="Q258" s="13">
        <f>Table24[[#This Row],[2_Temp_H]]-Table24[[#This Row],[2_Temp_L]]</f>
        <v>27.1</v>
      </c>
      <c r="R258" s="13">
        <v>37.299999999999997</v>
      </c>
      <c r="S258" s="13">
        <v>4.7</v>
      </c>
      <c r="T258" s="13">
        <v>1013.88</v>
      </c>
      <c r="U258" s="13">
        <v>1007.79</v>
      </c>
      <c r="V258" s="13">
        <v>0</v>
      </c>
      <c r="W258" s="13" t="s">
        <v>148</v>
      </c>
      <c r="X258" s="16" t="s">
        <v>171</v>
      </c>
      <c r="Y258" s="13" t="s">
        <v>137</v>
      </c>
      <c r="Z258" s="13" t="s">
        <v>143</v>
      </c>
      <c r="AA258" s="13" t="s">
        <v>145</v>
      </c>
      <c r="AB258" s="13" t="s">
        <v>137</v>
      </c>
      <c r="AC258" s="13">
        <f>VLOOKUP(Table24[[#This Row],[3_Elephant_ID]],'[1]Attributes(OUTDATED)'!$A$2:$N$19,12,FALSE)</f>
        <v>234</v>
      </c>
      <c r="AD258" s="13">
        <f>VLOOKUP(Table24[[#This Row],[3_Elephant_ID]],'[1]Attributes(OUTDATED)'!$A$2:$N$19,13,FALSE)</f>
        <v>0.16500000000000001</v>
      </c>
      <c r="AE258" s="13">
        <f>VLOOKUP(Table24[[#This Row],[3_Elephant_ID]],'[1]Attributes(OUTDATED)'!$A$2:$N$19,14,FALSE)</f>
        <v>0.16420161303383449</v>
      </c>
      <c r="AF258" s="13">
        <v>0</v>
      </c>
      <c r="AG258" s="13">
        <v>0</v>
      </c>
      <c r="AH258" s="13">
        <v>0</v>
      </c>
      <c r="AI258" s="13">
        <v>0</v>
      </c>
      <c r="AJ258" s="13">
        <f>VLOOKUP(Table24[[#This Row],[3_Elephant_ID]],'[1]Attributes(OUTDATED)'!$A$2:$P$19,16,FALSE)</f>
        <v>1</v>
      </c>
      <c r="AK258" s="13">
        <f>VLOOKUP(Table24[[#This Row],[3_Elephant_ID]],'[1]Attributes(OUTDATED)'!$A$2:$S$19,17,FALSE)</f>
        <v>9</v>
      </c>
      <c r="AL258" s="13">
        <f>VLOOKUP(Table24[[#This Row],[3_Elephant_ID]],'[1]Attributes(OUTDATED)'!$A$2:$S$19,18,FALSE)</f>
        <v>9</v>
      </c>
    </row>
    <row r="259" spans="1:38" ht="28" x14ac:dyDescent="0.15">
      <c r="A259" s="3">
        <v>301</v>
      </c>
      <c r="B259" s="6">
        <v>1402241212</v>
      </c>
      <c r="C259" s="7">
        <v>14</v>
      </c>
      <c r="D259" s="7">
        <v>2</v>
      </c>
      <c r="E259" s="7">
        <v>2024</v>
      </c>
      <c r="F259" s="5">
        <v>45336</v>
      </c>
      <c r="G259" s="6" t="s">
        <v>11</v>
      </c>
      <c r="H259" s="17">
        <v>0.25608365019011414</v>
      </c>
      <c r="I259" s="3" t="str">
        <f>VLOOKUP(G259,'[1]Attributes(OUTDATED)'!$A$2:$C$19,2,FALSE)</f>
        <v>M</v>
      </c>
      <c r="J259" s="3" t="str">
        <f>VLOOKUP(G259,'[1]Attributes(OUTDATED)'!$A$2:$C$19,3,FALSE)</f>
        <v>A</v>
      </c>
      <c r="K259" s="3">
        <f>VLOOKUP(G259,'[1]Attributes(OUTDATED)'!$A$2:$H$19,8,FALSE)</f>
        <v>1223</v>
      </c>
      <c r="L259" s="3" t="str">
        <f>J259&amp;I259</f>
        <v>AM</v>
      </c>
      <c r="M259" s="11">
        <v>45334</v>
      </c>
      <c r="N259" s="13">
        <v>39.200000000000003</v>
      </c>
      <c r="O259" s="13">
        <v>26.2</v>
      </c>
      <c r="P259" s="13">
        <v>12.1</v>
      </c>
      <c r="Q259" s="13">
        <f>Table24[[#This Row],[2_Temp_H]]-Table24[[#This Row],[2_Temp_L]]</f>
        <v>27.1</v>
      </c>
      <c r="R259" s="13">
        <v>37.299999999999997</v>
      </c>
      <c r="S259" s="13">
        <v>4.7</v>
      </c>
      <c r="T259" s="13">
        <v>1013.88</v>
      </c>
      <c r="U259" s="13">
        <v>1007.79</v>
      </c>
      <c r="V259" s="13">
        <v>0</v>
      </c>
      <c r="W259" s="13" t="s">
        <v>148</v>
      </c>
      <c r="X259" s="16" t="s">
        <v>171</v>
      </c>
      <c r="Y259" s="13" t="s">
        <v>137</v>
      </c>
      <c r="Z259" s="13" t="s">
        <v>143</v>
      </c>
      <c r="AA259" s="13" t="s">
        <v>145</v>
      </c>
      <c r="AB259" s="13" t="s">
        <v>137</v>
      </c>
      <c r="AC259" s="13">
        <f>VLOOKUP(Table24[[#This Row],[3_Elephant_ID]],'[1]Attributes(OUTDATED)'!$A$2:$N$19,12,FALSE)</f>
        <v>404</v>
      </c>
      <c r="AD259" s="13">
        <f>VLOOKUP(Table24[[#This Row],[3_Elephant_ID]],'[1]Attributes(OUTDATED)'!$A$2:$N$19,13,FALSE)</f>
        <v>0.91700000000000004</v>
      </c>
      <c r="AE259" s="13">
        <f>VLOOKUP(Table24[[#This Row],[3_Elephant_ID]],'[1]Attributes(OUTDATED)'!$A$2:$N$19,14,FALSE)</f>
        <v>0.91664628583929353</v>
      </c>
      <c r="AF259" s="13">
        <v>0</v>
      </c>
      <c r="AG259" s="13">
        <v>0</v>
      </c>
      <c r="AH259" s="13">
        <v>0</v>
      </c>
      <c r="AI259" s="13">
        <v>0</v>
      </c>
      <c r="AJ259" s="13">
        <f>VLOOKUP(Table24[[#This Row],[3_Elephant_ID]],'[1]Attributes(OUTDATED)'!$A$2:$P$19,16,FALSE)</f>
        <v>1</v>
      </c>
      <c r="AK259" s="13">
        <f>VLOOKUP(Table24[[#This Row],[3_Elephant_ID]],'[1]Attributes(OUTDATED)'!$A$2:$S$19,17,FALSE)</f>
        <v>14</v>
      </c>
      <c r="AL259" s="13">
        <f>VLOOKUP(Table24[[#This Row],[3_Elephant_ID]],'[1]Attributes(OUTDATED)'!$A$2:$S$19,18,FALSE)</f>
        <v>17</v>
      </c>
    </row>
    <row r="260" spans="1:38" ht="28" x14ac:dyDescent="0.15">
      <c r="A260" s="3">
        <v>302</v>
      </c>
      <c r="B260" s="6">
        <v>1402241222</v>
      </c>
      <c r="C260" s="7">
        <v>14</v>
      </c>
      <c r="D260" s="7">
        <v>2</v>
      </c>
      <c r="E260" s="7">
        <v>2024</v>
      </c>
      <c r="F260" s="5">
        <v>45336</v>
      </c>
      <c r="G260" s="6" t="s">
        <v>10</v>
      </c>
      <c r="H260" s="17">
        <v>0.55459302325581394</v>
      </c>
      <c r="I260" s="3" t="str">
        <f>VLOOKUP(G260,'[1]Attributes(OUTDATED)'!$A$2:$C$19,2,FALSE)</f>
        <v>F</v>
      </c>
      <c r="J260" s="3" t="str">
        <f>VLOOKUP(G260,'[1]Attributes(OUTDATED)'!$A$2:$C$19,3,FALSE)</f>
        <v>A</v>
      </c>
      <c r="K260" s="3">
        <f>VLOOKUP(G260,'[1]Attributes(OUTDATED)'!$A$2:$H$19,8,FALSE)</f>
        <v>1146</v>
      </c>
      <c r="L260" s="3" t="str">
        <f>J260&amp;I260</f>
        <v>AF</v>
      </c>
      <c r="M260" s="11">
        <v>45334</v>
      </c>
      <c r="N260" s="13">
        <v>39.200000000000003</v>
      </c>
      <c r="O260" s="13">
        <v>26.2</v>
      </c>
      <c r="P260" s="13">
        <v>12.1</v>
      </c>
      <c r="Q260" s="13">
        <f>Table24[[#This Row],[2_Temp_H]]-Table24[[#This Row],[2_Temp_L]]</f>
        <v>27.1</v>
      </c>
      <c r="R260" s="13">
        <v>37.299999999999997</v>
      </c>
      <c r="S260" s="13">
        <v>4.7</v>
      </c>
      <c r="T260" s="13">
        <v>1013.88</v>
      </c>
      <c r="U260" s="13">
        <v>1007.79</v>
      </c>
      <c r="V260" s="13">
        <v>0</v>
      </c>
      <c r="W260" s="13" t="s">
        <v>148</v>
      </c>
      <c r="X260" s="16" t="s">
        <v>171</v>
      </c>
      <c r="Y260" s="13" t="s">
        <v>137</v>
      </c>
      <c r="Z260" s="13" t="s">
        <v>143</v>
      </c>
      <c r="AA260" s="13" t="s">
        <v>145</v>
      </c>
      <c r="AB260" s="13" t="s">
        <v>137</v>
      </c>
      <c r="AC260" s="13">
        <f>VLOOKUP(Table24[[#This Row],[3_Elephant_ID]],'[1]Attributes(OUTDATED)'!$A$2:$N$19,12,FALSE)</f>
        <v>424</v>
      </c>
      <c r="AD260" s="13">
        <f>VLOOKUP(Table24[[#This Row],[3_Elephant_ID]],'[1]Attributes(OUTDATED)'!$A$2:$N$19,13,FALSE)</f>
        <v>0.10299999999999999</v>
      </c>
      <c r="AE260" s="13">
        <f>VLOOKUP(Table24[[#This Row],[3_Elephant_ID]],'[1]Attributes(OUTDATED)'!$A$2:$N$19,14,FALSE)</f>
        <v>0.10282190709599449</v>
      </c>
      <c r="AF260" s="13">
        <v>0</v>
      </c>
      <c r="AG260" s="13">
        <v>0</v>
      </c>
      <c r="AH260" s="13">
        <v>0</v>
      </c>
      <c r="AI260" s="13">
        <v>0</v>
      </c>
      <c r="AJ260" s="13">
        <f>VLOOKUP(Table24[[#This Row],[3_Elephant_ID]],'[1]Attributes(OUTDATED)'!$A$2:$P$19,16,FALSE)</f>
        <v>1</v>
      </c>
      <c r="AK260" s="13">
        <f>VLOOKUP(Table24[[#This Row],[3_Elephant_ID]],'[1]Attributes(OUTDATED)'!$A$2:$S$19,17,FALSE)</f>
        <v>9</v>
      </c>
      <c r="AL260" s="13">
        <f>VLOOKUP(Table24[[#This Row],[3_Elephant_ID]],'[1]Attributes(OUTDATED)'!$A$2:$S$19,18,FALSE)</f>
        <v>8</v>
      </c>
    </row>
    <row r="261" spans="1:38" ht="28" x14ac:dyDescent="0.15">
      <c r="A261" s="3">
        <v>304</v>
      </c>
      <c r="B261" s="6">
        <v>1402240925</v>
      </c>
      <c r="C261" s="7">
        <v>14</v>
      </c>
      <c r="D261" s="7">
        <v>2</v>
      </c>
      <c r="E261" s="7">
        <v>2024</v>
      </c>
      <c r="F261" s="5">
        <v>45336</v>
      </c>
      <c r="G261" s="6" t="s">
        <v>1</v>
      </c>
      <c r="H261" s="17">
        <v>0.32650000000000001</v>
      </c>
      <c r="I261" s="3" t="str">
        <f>VLOOKUP(G261,'[1]Attributes(OUTDATED)'!$A$2:$C$19,2,FALSE)</f>
        <v>F</v>
      </c>
      <c r="J261" s="3" t="str">
        <f>VLOOKUP(G261,'[1]Attributes(OUTDATED)'!$A$2:$C$19,3,FALSE)</f>
        <v>A</v>
      </c>
      <c r="K261" s="3">
        <f>VLOOKUP(G261,'[1]Attributes(OUTDATED)'!$A$2:$H$19,8,FALSE)</f>
        <v>929</v>
      </c>
      <c r="L261" s="3" t="str">
        <f>J261&amp;I261</f>
        <v>AF</v>
      </c>
      <c r="M261" s="11">
        <v>45334</v>
      </c>
      <c r="N261" s="13">
        <v>39.200000000000003</v>
      </c>
      <c r="O261" s="13">
        <v>26.2</v>
      </c>
      <c r="P261" s="13">
        <v>12.1</v>
      </c>
      <c r="Q261" s="13">
        <f>Table24[[#This Row],[2_Temp_H]]-Table24[[#This Row],[2_Temp_L]]</f>
        <v>27.1</v>
      </c>
      <c r="R261" s="13">
        <v>37.299999999999997</v>
      </c>
      <c r="S261" s="13">
        <v>4.7</v>
      </c>
      <c r="T261" s="13">
        <v>1013.88</v>
      </c>
      <c r="U261" s="13">
        <v>1007.79</v>
      </c>
      <c r="V261" s="13">
        <v>0</v>
      </c>
      <c r="W261" s="13" t="s">
        <v>148</v>
      </c>
      <c r="X261" s="16" t="s">
        <v>171</v>
      </c>
      <c r="Y261" s="13" t="s">
        <v>137</v>
      </c>
      <c r="Z261" s="13" t="s">
        <v>143</v>
      </c>
      <c r="AA261" s="13" t="s">
        <v>145</v>
      </c>
      <c r="AB261" s="13" t="s">
        <v>137</v>
      </c>
      <c r="AC261" s="13">
        <f>VLOOKUP(Table24[[#This Row],[3_Elephant_ID]],'[1]Attributes(OUTDATED)'!$A$2:$N$19,12,FALSE)</f>
        <v>321</v>
      </c>
      <c r="AD261" s="13">
        <f>VLOOKUP(Table24[[#This Row],[3_Elephant_ID]],'[1]Attributes(OUTDATED)'!$A$2:$N$19,13,FALSE)</f>
        <v>0.17599999999999999</v>
      </c>
      <c r="AE261" s="13">
        <f>VLOOKUP(Table24[[#This Row],[3_Elephant_ID]],'[1]Attributes(OUTDATED)'!$A$2:$N$19,14,FALSE)</f>
        <v>0.17530262753188491</v>
      </c>
      <c r="AF261" s="13">
        <v>0</v>
      </c>
      <c r="AG261" s="13">
        <v>0</v>
      </c>
      <c r="AH261" s="13">
        <v>0</v>
      </c>
      <c r="AI261" s="13">
        <v>0</v>
      </c>
      <c r="AJ261" s="13">
        <f>VLOOKUP(Table24[[#This Row],[3_Elephant_ID]],'[1]Attributes(OUTDATED)'!$A$2:$P$19,16,FALSE)</f>
        <v>1</v>
      </c>
      <c r="AK261" s="13">
        <f>VLOOKUP(Table24[[#This Row],[3_Elephant_ID]],'[1]Attributes(OUTDATED)'!$A$2:$S$19,17,FALSE)</f>
        <v>6</v>
      </c>
      <c r="AL261" s="13">
        <f>VLOOKUP(Table24[[#This Row],[3_Elephant_ID]],'[1]Attributes(OUTDATED)'!$A$2:$S$19,18,FALSE)</f>
        <v>8</v>
      </c>
    </row>
    <row r="262" spans="1:38" ht="28" x14ac:dyDescent="0.15">
      <c r="A262" s="3">
        <v>303</v>
      </c>
      <c r="B262" s="6">
        <v>1402240949</v>
      </c>
      <c r="C262" s="7">
        <v>14</v>
      </c>
      <c r="D262" s="7">
        <v>2</v>
      </c>
      <c r="E262" s="7">
        <v>2024</v>
      </c>
      <c r="F262" s="5">
        <v>45336</v>
      </c>
      <c r="G262" s="6" t="s">
        <v>13</v>
      </c>
      <c r="H262" s="17">
        <v>0.34669758812615953</v>
      </c>
      <c r="I262" s="3" t="str">
        <f>VLOOKUP(G262,'[1]Attributes(OUTDATED)'!$A$2:$C$19,2,FALSE)</f>
        <v>F</v>
      </c>
      <c r="J262" s="3" t="str">
        <f>VLOOKUP(G262,'[1]Attributes(OUTDATED)'!$A$2:$C$19,3,FALSE)</f>
        <v>A</v>
      </c>
      <c r="K262" s="3">
        <f>VLOOKUP(G262,'[1]Attributes(OUTDATED)'!$A$2:$H$19,8,FALSE)</f>
        <v>963</v>
      </c>
      <c r="L262" s="3" t="str">
        <f>J262&amp;I262</f>
        <v>AF</v>
      </c>
      <c r="M262" s="11">
        <v>45334</v>
      </c>
      <c r="N262" s="13">
        <v>39.200000000000003</v>
      </c>
      <c r="O262" s="13">
        <v>26.2</v>
      </c>
      <c r="P262" s="13">
        <v>12.1</v>
      </c>
      <c r="Q262" s="13">
        <f>Table24[[#This Row],[2_Temp_H]]-Table24[[#This Row],[2_Temp_L]]</f>
        <v>27.1</v>
      </c>
      <c r="R262" s="13">
        <v>37.299999999999997</v>
      </c>
      <c r="S262" s="13">
        <v>4.7</v>
      </c>
      <c r="T262" s="13">
        <v>1013.88</v>
      </c>
      <c r="U262" s="13">
        <v>1007.79</v>
      </c>
      <c r="V262" s="13">
        <v>0</v>
      </c>
      <c r="W262" s="13" t="s">
        <v>148</v>
      </c>
      <c r="X262" s="16" t="s">
        <v>171</v>
      </c>
      <c r="Y262" s="13" t="s">
        <v>137</v>
      </c>
      <c r="Z262" s="13" t="s">
        <v>143</v>
      </c>
      <c r="AA262" s="13" t="s">
        <v>145</v>
      </c>
      <c r="AB262" s="13" t="s">
        <v>137</v>
      </c>
      <c r="AC262" s="13">
        <f>VLOOKUP(Table24[[#This Row],[3_Elephant_ID]],'[1]Attributes(OUTDATED)'!$A$2:$N$19,12,FALSE)</f>
        <v>289</v>
      </c>
      <c r="AD262" s="13">
        <f>VLOOKUP(Table24[[#This Row],[3_Elephant_ID]],'[1]Attributes(OUTDATED)'!$A$2:$N$19,13,FALSE)</f>
        <v>0.32400000000000001</v>
      </c>
      <c r="AE262" s="13">
        <f>VLOOKUP(Table24[[#This Row],[3_Elephant_ID]],'[1]Attributes(OUTDATED)'!$A$2:$N$19,14,FALSE)</f>
        <v>0.32380809109629533</v>
      </c>
      <c r="AF262" s="13">
        <v>0</v>
      </c>
      <c r="AG262" s="13">
        <v>0</v>
      </c>
      <c r="AH262" s="13">
        <v>0</v>
      </c>
      <c r="AI262" s="13">
        <v>0</v>
      </c>
      <c r="AJ262" s="13">
        <f>VLOOKUP(Table24[[#This Row],[3_Elephant_ID]],'[1]Attributes(OUTDATED)'!$A$2:$P$19,16,FALSE)</f>
        <v>2</v>
      </c>
      <c r="AK262" s="13">
        <f>VLOOKUP(Table24[[#This Row],[3_Elephant_ID]],'[1]Attributes(OUTDATED)'!$A$2:$S$19,17,FALSE)</f>
        <v>9</v>
      </c>
      <c r="AL262" s="13">
        <f>VLOOKUP(Table24[[#This Row],[3_Elephant_ID]],'[1]Attributes(OUTDATED)'!$A$2:$S$19,18,FALSE)</f>
        <v>9</v>
      </c>
    </row>
    <row r="263" spans="1:38" ht="28" x14ac:dyDescent="0.15">
      <c r="A263" s="3">
        <v>298</v>
      </c>
      <c r="B263" s="6">
        <v>1502240953</v>
      </c>
      <c r="C263" s="7">
        <v>15</v>
      </c>
      <c r="D263" s="7">
        <v>2</v>
      </c>
      <c r="E263" s="7">
        <v>2024</v>
      </c>
      <c r="F263" s="5">
        <v>45337</v>
      </c>
      <c r="G263" s="6" t="s">
        <v>17</v>
      </c>
      <c r="H263" s="17">
        <v>0.22290502793296096</v>
      </c>
      <c r="I263" s="3" t="str">
        <f>VLOOKUP(G263,'[1]Attributes(OUTDATED)'!$A$2:$C$19,2,FALSE)</f>
        <v>M</v>
      </c>
      <c r="J263" s="3" t="str">
        <f>VLOOKUP(G263,'[1]Attributes(OUTDATED)'!$A$2:$C$19,3,FALSE)</f>
        <v>J</v>
      </c>
      <c r="K263" s="3">
        <f>VLOOKUP(G263,'[1]Attributes(OUTDATED)'!$A$2:$H$19,8,FALSE)</f>
        <v>699</v>
      </c>
      <c r="L263" s="3" t="str">
        <f>J263&amp;I263</f>
        <v>JM</v>
      </c>
      <c r="M263" s="11">
        <v>45335</v>
      </c>
      <c r="N263" s="13">
        <v>37.9</v>
      </c>
      <c r="O263" s="13">
        <v>28.1</v>
      </c>
      <c r="P263" s="13">
        <v>18.2</v>
      </c>
      <c r="Q263" s="13">
        <f>Table24[[#This Row],[2_Temp_H]]-Table24[[#This Row],[2_Temp_L]]</f>
        <v>19.7</v>
      </c>
      <c r="R263" s="13">
        <v>30.1</v>
      </c>
      <c r="S263" s="13">
        <v>6</v>
      </c>
      <c r="T263" s="13">
        <v>1011.85</v>
      </c>
      <c r="U263" s="13">
        <v>1006.77</v>
      </c>
      <c r="V263" s="13">
        <v>0</v>
      </c>
      <c r="W263" s="13" t="s">
        <v>148</v>
      </c>
      <c r="X263" s="16" t="s">
        <v>171</v>
      </c>
      <c r="Y263" s="13" t="s">
        <v>137</v>
      </c>
      <c r="Z263" s="13" t="s">
        <v>143</v>
      </c>
      <c r="AA263" s="13" t="s">
        <v>145</v>
      </c>
      <c r="AB263" s="13" t="s">
        <v>137</v>
      </c>
      <c r="AC263" s="13">
        <f>VLOOKUP(Table24[[#This Row],[3_Elephant_ID]],'[1]Attributes(OUTDATED)'!$A$2:$N$19,12,FALSE)</f>
        <v>343</v>
      </c>
      <c r="AD263" s="13">
        <f>VLOOKUP(Table24[[#This Row],[3_Elephant_ID]],'[1]Attributes(OUTDATED)'!$A$2:$N$19,13,FALSE)</f>
        <v>0.81</v>
      </c>
      <c r="AE263" s="13">
        <f>VLOOKUP(Table24[[#This Row],[3_Elephant_ID]],'[1]Attributes(OUTDATED)'!$A$2:$N$19,14,FALSE)</f>
        <v>0.80966774571167055</v>
      </c>
      <c r="AF263" s="13">
        <v>2</v>
      </c>
      <c r="AG263" s="13">
        <v>0</v>
      </c>
      <c r="AH263" s="13">
        <v>0</v>
      </c>
      <c r="AI263" s="13">
        <v>0</v>
      </c>
      <c r="AJ263" s="13">
        <f>VLOOKUP(Table24[[#This Row],[3_Elephant_ID]],'[1]Attributes(OUTDATED)'!$A$2:$P$19,16,FALSE)</f>
        <v>1</v>
      </c>
      <c r="AK263" s="13">
        <f>VLOOKUP(Table24[[#This Row],[3_Elephant_ID]],'[1]Attributes(OUTDATED)'!$A$2:$S$19,17,FALSE)</f>
        <v>0</v>
      </c>
      <c r="AL263" s="13">
        <f>VLOOKUP(Table24[[#This Row],[3_Elephant_ID]],'[1]Attributes(OUTDATED)'!$A$2:$S$19,18,FALSE)</f>
        <v>8</v>
      </c>
    </row>
    <row r="264" spans="1:38" ht="28" x14ac:dyDescent="0.15">
      <c r="A264" s="3">
        <v>299</v>
      </c>
      <c r="B264" s="6">
        <v>1502240934</v>
      </c>
      <c r="C264" s="7">
        <v>15</v>
      </c>
      <c r="D264" s="7">
        <v>2</v>
      </c>
      <c r="E264" s="7">
        <v>2024</v>
      </c>
      <c r="F264" s="5">
        <v>45337</v>
      </c>
      <c r="G264" s="6" t="s">
        <v>11</v>
      </c>
      <c r="H264" s="17">
        <v>0.3360773480662983</v>
      </c>
      <c r="I264" s="3" t="str">
        <f>VLOOKUP(G264,'[1]Attributes(OUTDATED)'!$A$2:$C$19,2,FALSE)</f>
        <v>M</v>
      </c>
      <c r="J264" s="3" t="str">
        <f>VLOOKUP(G264,'[1]Attributes(OUTDATED)'!$A$2:$C$19,3,FALSE)</f>
        <v>A</v>
      </c>
      <c r="K264" s="3">
        <f>VLOOKUP(G264,'[1]Attributes(OUTDATED)'!$A$2:$H$19,8,FALSE)</f>
        <v>1223</v>
      </c>
      <c r="L264" s="3" t="str">
        <f>J264&amp;I264</f>
        <v>AM</v>
      </c>
      <c r="M264" s="11">
        <v>45335</v>
      </c>
      <c r="N264" s="13">
        <v>37.9</v>
      </c>
      <c r="O264" s="13">
        <v>28.1</v>
      </c>
      <c r="P264" s="13">
        <v>18.2</v>
      </c>
      <c r="Q264" s="13">
        <f>Table24[[#This Row],[2_Temp_H]]-Table24[[#This Row],[2_Temp_L]]</f>
        <v>19.7</v>
      </c>
      <c r="R264" s="13">
        <v>30.1</v>
      </c>
      <c r="S264" s="13">
        <v>6</v>
      </c>
      <c r="T264" s="13">
        <v>1011.85</v>
      </c>
      <c r="U264" s="13">
        <v>1006.77</v>
      </c>
      <c r="V264" s="13">
        <v>0</v>
      </c>
      <c r="W264" s="13" t="s">
        <v>148</v>
      </c>
      <c r="X264" s="16" t="s">
        <v>171</v>
      </c>
      <c r="Y264" s="13" t="s">
        <v>137</v>
      </c>
      <c r="Z264" s="13" t="s">
        <v>143</v>
      </c>
      <c r="AA264" s="13" t="s">
        <v>145</v>
      </c>
      <c r="AB264" s="13" t="s">
        <v>137</v>
      </c>
      <c r="AC264" s="13">
        <f>VLOOKUP(Table24[[#This Row],[3_Elephant_ID]],'[1]Attributes(OUTDATED)'!$A$2:$N$19,12,FALSE)</f>
        <v>404</v>
      </c>
      <c r="AD264" s="13">
        <f>VLOOKUP(Table24[[#This Row],[3_Elephant_ID]],'[1]Attributes(OUTDATED)'!$A$2:$N$19,13,FALSE)</f>
        <v>0.91700000000000004</v>
      </c>
      <c r="AE264" s="13">
        <f>VLOOKUP(Table24[[#This Row],[3_Elephant_ID]],'[1]Attributes(OUTDATED)'!$A$2:$N$19,14,FALSE)</f>
        <v>0.91664628583929353</v>
      </c>
      <c r="AF264" s="13">
        <v>2</v>
      </c>
      <c r="AG264" s="13">
        <v>0</v>
      </c>
      <c r="AH264" s="13">
        <v>0</v>
      </c>
      <c r="AI264" s="13">
        <v>0</v>
      </c>
      <c r="AJ264" s="13">
        <f>VLOOKUP(Table24[[#This Row],[3_Elephant_ID]],'[1]Attributes(OUTDATED)'!$A$2:$P$19,16,FALSE)</f>
        <v>1</v>
      </c>
      <c r="AK264" s="13">
        <f>VLOOKUP(Table24[[#This Row],[3_Elephant_ID]],'[1]Attributes(OUTDATED)'!$A$2:$S$19,17,FALSE)</f>
        <v>14</v>
      </c>
      <c r="AL264" s="13">
        <f>VLOOKUP(Table24[[#This Row],[3_Elephant_ID]],'[1]Attributes(OUTDATED)'!$A$2:$S$19,18,FALSE)</f>
        <v>17</v>
      </c>
    </row>
    <row r="265" spans="1:38" ht="28" x14ac:dyDescent="0.15">
      <c r="A265" s="3">
        <v>296</v>
      </c>
      <c r="B265" s="6">
        <v>1502241054</v>
      </c>
      <c r="C265" s="7">
        <v>15</v>
      </c>
      <c r="D265" s="7">
        <v>2</v>
      </c>
      <c r="E265" s="7">
        <v>2024</v>
      </c>
      <c r="F265" s="5">
        <v>45337</v>
      </c>
      <c r="G265" s="6" t="s">
        <v>12</v>
      </c>
      <c r="H265" s="17">
        <v>0.59446069469835472</v>
      </c>
      <c r="I265" s="3" t="str">
        <f>VLOOKUP(G265,'[1]Attributes(OUTDATED)'!$A$2:$C$19,2,FALSE)</f>
        <v>M</v>
      </c>
      <c r="J265" s="3" t="str">
        <f>VLOOKUP(G265,'[1]Attributes(OUTDATED)'!$A$2:$C$19,3,FALSE)</f>
        <v>A</v>
      </c>
      <c r="K265" s="3">
        <f>VLOOKUP(G265,'[1]Attributes(OUTDATED)'!$A$2:$H$19,8,FALSE)</f>
        <v>1509</v>
      </c>
      <c r="L265" s="3" t="str">
        <f>J265&amp;I265</f>
        <v>AM</v>
      </c>
      <c r="M265" s="11">
        <v>45335</v>
      </c>
      <c r="N265" s="13">
        <v>37.9</v>
      </c>
      <c r="O265" s="13">
        <v>28.1</v>
      </c>
      <c r="P265" s="13">
        <v>18.2</v>
      </c>
      <c r="Q265" s="13">
        <f>Table24[[#This Row],[2_Temp_H]]-Table24[[#This Row],[2_Temp_L]]</f>
        <v>19.7</v>
      </c>
      <c r="R265" s="13">
        <v>30.1</v>
      </c>
      <c r="S265" s="13">
        <v>6</v>
      </c>
      <c r="T265" s="13">
        <v>1011.85</v>
      </c>
      <c r="U265" s="13">
        <v>1006.77</v>
      </c>
      <c r="V265" s="13">
        <v>0</v>
      </c>
      <c r="W265" s="13" t="s">
        <v>148</v>
      </c>
      <c r="X265" s="16" t="s">
        <v>171</v>
      </c>
      <c r="Y265" s="13" t="s">
        <v>137</v>
      </c>
      <c r="Z265" s="13" t="s">
        <v>143</v>
      </c>
      <c r="AA265" s="13" t="s">
        <v>145</v>
      </c>
      <c r="AB265" s="13" t="s">
        <v>137</v>
      </c>
      <c r="AC265" s="13">
        <f>VLOOKUP(Table24[[#This Row],[3_Elephant_ID]],'[1]Attributes(OUTDATED)'!$A$2:$N$19,12,FALSE)</f>
        <v>450</v>
      </c>
      <c r="AD265" s="13">
        <f>VLOOKUP(Table24[[#This Row],[3_Elephant_ID]],'[1]Attributes(OUTDATED)'!$A$2:$N$19,13,FALSE)</f>
        <v>0.375</v>
      </c>
      <c r="AE265" s="13">
        <f>VLOOKUP(Table24[[#This Row],[3_Elephant_ID]],'[1]Attributes(OUTDATED)'!$A$2:$N$19,14,FALSE)</f>
        <v>0.37414375430996583</v>
      </c>
      <c r="AF265" s="13">
        <v>2</v>
      </c>
      <c r="AG265" s="13">
        <v>0</v>
      </c>
      <c r="AH265" s="13">
        <v>0</v>
      </c>
      <c r="AI265" s="13">
        <v>0</v>
      </c>
      <c r="AJ265" s="13">
        <f>VLOOKUP(Table24[[#This Row],[3_Elephant_ID]],'[1]Attributes(OUTDATED)'!$A$2:$P$19,16,FALSE)</f>
        <v>1</v>
      </c>
      <c r="AK265" s="13">
        <f>VLOOKUP(Table24[[#This Row],[3_Elephant_ID]],'[1]Attributes(OUTDATED)'!$A$2:$S$19,17,FALSE)</f>
        <v>48</v>
      </c>
      <c r="AL265" s="13">
        <f>VLOOKUP(Table24[[#This Row],[3_Elephant_ID]],'[1]Attributes(OUTDATED)'!$A$2:$S$19,18,FALSE)</f>
        <v>3</v>
      </c>
    </row>
    <row r="266" spans="1:38" ht="28" x14ac:dyDescent="0.15">
      <c r="A266" s="3">
        <v>293</v>
      </c>
      <c r="B266" s="6">
        <v>1502241509</v>
      </c>
      <c r="C266" s="7">
        <v>15</v>
      </c>
      <c r="D266" s="7">
        <v>2</v>
      </c>
      <c r="E266" s="7">
        <v>2024</v>
      </c>
      <c r="F266" s="5">
        <v>45337</v>
      </c>
      <c r="G266" s="6" t="s">
        <v>10</v>
      </c>
      <c r="H266" s="17">
        <v>0.44988165680473374</v>
      </c>
      <c r="I266" s="3" t="str">
        <f>VLOOKUP(G266,'[1]Attributes(OUTDATED)'!$A$2:$C$19,2,FALSE)</f>
        <v>F</v>
      </c>
      <c r="J266" s="3" t="str">
        <f>VLOOKUP(G266,'[1]Attributes(OUTDATED)'!$A$2:$C$19,3,FALSE)</f>
        <v>A</v>
      </c>
      <c r="K266" s="3">
        <f>VLOOKUP(G266,'[1]Attributes(OUTDATED)'!$A$2:$H$19,8,FALSE)</f>
        <v>1146</v>
      </c>
      <c r="L266" s="3" t="str">
        <f>J266&amp;I266</f>
        <v>AF</v>
      </c>
      <c r="M266" s="11">
        <v>45335</v>
      </c>
      <c r="N266" s="13">
        <v>37.9</v>
      </c>
      <c r="O266" s="13">
        <v>28.1</v>
      </c>
      <c r="P266" s="13">
        <v>18.2</v>
      </c>
      <c r="Q266" s="13">
        <f>Table24[[#This Row],[2_Temp_H]]-Table24[[#This Row],[2_Temp_L]]</f>
        <v>19.7</v>
      </c>
      <c r="R266" s="13">
        <v>30.1</v>
      </c>
      <c r="S266" s="13">
        <v>6</v>
      </c>
      <c r="T266" s="13">
        <v>1011.85</v>
      </c>
      <c r="U266" s="13">
        <v>1006.77</v>
      </c>
      <c r="V266" s="13">
        <v>0</v>
      </c>
      <c r="W266" s="13" t="s">
        <v>148</v>
      </c>
      <c r="X266" s="16" t="s">
        <v>171</v>
      </c>
      <c r="Y266" s="13" t="s">
        <v>137</v>
      </c>
      <c r="Z266" s="13" t="s">
        <v>143</v>
      </c>
      <c r="AA266" s="13" t="s">
        <v>145</v>
      </c>
      <c r="AB266" s="13" t="s">
        <v>137</v>
      </c>
      <c r="AC266" s="13">
        <f>VLOOKUP(Table24[[#This Row],[3_Elephant_ID]],'[1]Attributes(OUTDATED)'!$A$2:$N$19,12,FALSE)</f>
        <v>424</v>
      </c>
      <c r="AD266" s="13">
        <f>VLOOKUP(Table24[[#This Row],[3_Elephant_ID]],'[1]Attributes(OUTDATED)'!$A$2:$N$19,13,FALSE)</f>
        <v>0.10299999999999999</v>
      </c>
      <c r="AE266" s="13">
        <f>VLOOKUP(Table24[[#This Row],[3_Elephant_ID]],'[1]Attributes(OUTDATED)'!$A$2:$N$19,14,FALSE)</f>
        <v>0.10282190709599449</v>
      </c>
      <c r="AF266" s="13">
        <v>2</v>
      </c>
      <c r="AG266" s="13">
        <v>0</v>
      </c>
      <c r="AH266" s="13">
        <v>1</v>
      </c>
      <c r="AI266" s="13">
        <v>1</v>
      </c>
      <c r="AJ266" s="13">
        <f>VLOOKUP(Table24[[#This Row],[3_Elephant_ID]],'[1]Attributes(OUTDATED)'!$A$2:$P$19,16,FALSE)</f>
        <v>1</v>
      </c>
      <c r="AK266" s="13">
        <f>VLOOKUP(Table24[[#This Row],[3_Elephant_ID]],'[1]Attributes(OUTDATED)'!$A$2:$S$19,17,FALSE)</f>
        <v>9</v>
      </c>
      <c r="AL266" s="13">
        <f>VLOOKUP(Table24[[#This Row],[3_Elephant_ID]],'[1]Attributes(OUTDATED)'!$A$2:$S$19,18,FALSE)</f>
        <v>8</v>
      </c>
    </row>
    <row r="267" spans="1:38" ht="28" x14ac:dyDescent="0.15">
      <c r="A267" s="3">
        <v>294</v>
      </c>
      <c r="B267" s="6">
        <v>1502241145</v>
      </c>
      <c r="C267" s="7">
        <v>15</v>
      </c>
      <c r="D267" s="7">
        <v>2</v>
      </c>
      <c r="E267" s="7">
        <v>2024</v>
      </c>
      <c r="F267" s="5">
        <v>45337</v>
      </c>
      <c r="G267" s="6" t="s">
        <v>1</v>
      </c>
      <c r="H267" s="17">
        <v>0.22083175803402644</v>
      </c>
      <c r="I267" s="3" t="str">
        <f>VLOOKUP(G267,'[1]Attributes(OUTDATED)'!$A$2:$C$19,2,FALSE)</f>
        <v>F</v>
      </c>
      <c r="J267" s="3" t="str">
        <f>VLOOKUP(G267,'[1]Attributes(OUTDATED)'!$A$2:$C$19,3,FALSE)</f>
        <v>A</v>
      </c>
      <c r="K267" s="3">
        <f>VLOOKUP(G267,'[1]Attributes(OUTDATED)'!$A$2:$H$19,8,FALSE)</f>
        <v>929</v>
      </c>
      <c r="L267" s="3" t="str">
        <f>J267&amp;I267</f>
        <v>AF</v>
      </c>
      <c r="M267" s="11">
        <v>45335</v>
      </c>
      <c r="N267" s="13">
        <v>37.9</v>
      </c>
      <c r="O267" s="13">
        <v>28.1</v>
      </c>
      <c r="P267" s="13">
        <v>18.2</v>
      </c>
      <c r="Q267" s="13">
        <f>Table24[[#This Row],[2_Temp_H]]-Table24[[#This Row],[2_Temp_L]]</f>
        <v>19.7</v>
      </c>
      <c r="R267" s="13">
        <v>30.1</v>
      </c>
      <c r="S267" s="13">
        <v>6</v>
      </c>
      <c r="T267" s="13">
        <v>1011.85</v>
      </c>
      <c r="U267" s="13">
        <v>1006.77</v>
      </c>
      <c r="V267" s="13">
        <v>0</v>
      </c>
      <c r="W267" s="13" t="s">
        <v>148</v>
      </c>
      <c r="X267" s="16" t="s">
        <v>171</v>
      </c>
      <c r="Y267" s="13" t="s">
        <v>137</v>
      </c>
      <c r="Z267" s="13" t="s">
        <v>143</v>
      </c>
      <c r="AA267" s="13" t="s">
        <v>145</v>
      </c>
      <c r="AB267" s="13" t="s">
        <v>137</v>
      </c>
      <c r="AC267" s="13">
        <f>VLOOKUP(Table24[[#This Row],[3_Elephant_ID]],'[1]Attributes(OUTDATED)'!$A$2:$N$19,12,FALSE)</f>
        <v>321</v>
      </c>
      <c r="AD267" s="13">
        <f>VLOOKUP(Table24[[#This Row],[3_Elephant_ID]],'[1]Attributes(OUTDATED)'!$A$2:$N$19,13,FALSE)</f>
        <v>0.17599999999999999</v>
      </c>
      <c r="AE267" s="13">
        <f>VLOOKUP(Table24[[#This Row],[3_Elephant_ID]],'[1]Attributes(OUTDATED)'!$A$2:$N$19,14,FALSE)</f>
        <v>0.17530262753188491</v>
      </c>
      <c r="AF267" s="13">
        <v>2</v>
      </c>
      <c r="AG267" s="13">
        <v>0</v>
      </c>
      <c r="AH267" s="13">
        <v>0</v>
      </c>
      <c r="AI267" s="13">
        <v>0</v>
      </c>
      <c r="AJ267" s="13">
        <f>VLOOKUP(Table24[[#This Row],[3_Elephant_ID]],'[1]Attributes(OUTDATED)'!$A$2:$P$19,16,FALSE)</f>
        <v>1</v>
      </c>
      <c r="AK267" s="13">
        <f>VLOOKUP(Table24[[#This Row],[3_Elephant_ID]],'[1]Attributes(OUTDATED)'!$A$2:$S$19,17,FALSE)</f>
        <v>6</v>
      </c>
      <c r="AL267" s="13">
        <f>VLOOKUP(Table24[[#This Row],[3_Elephant_ID]],'[1]Attributes(OUTDATED)'!$A$2:$S$19,18,FALSE)</f>
        <v>8</v>
      </c>
    </row>
    <row r="268" spans="1:38" ht="28" x14ac:dyDescent="0.15">
      <c r="A268" s="3">
        <v>295</v>
      </c>
      <c r="B268" s="6">
        <v>1502241048</v>
      </c>
      <c r="C268" s="7">
        <v>15</v>
      </c>
      <c r="D268" s="7">
        <v>2</v>
      </c>
      <c r="E268" s="7">
        <v>2024</v>
      </c>
      <c r="F268" s="5">
        <v>45337</v>
      </c>
      <c r="G268" s="6" t="s">
        <v>2</v>
      </c>
      <c r="H268" s="17">
        <v>0.34488847583643117</v>
      </c>
      <c r="I268" s="3" t="str">
        <f>VLOOKUP(G268,'[1]Attributes(OUTDATED)'!$A$2:$C$19,2,FALSE)</f>
        <v>F</v>
      </c>
      <c r="J268" s="3" t="str">
        <f>VLOOKUP(G268,'[1]Attributes(OUTDATED)'!$A$2:$C$19,3,FALSE)</f>
        <v>A</v>
      </c>
      <c r="K268" s="3">
        <f>VLOOKUP(G268,'[1]Attributes(OUTDATED)'!$A$2:$H$19,8,FALSE)</f>
        <v>892</v>
      </c>
      <c r="L268" s="3" t="str">
        <f>J268&amp;I268</f>
        <v>AF</v>
      </c>
      <c r="M268" s="11">
        <v>45335</v>
      </c>
      <c r="N268" s="13">
        <v>37.9</v>
      </c>
      <c r="O268" s="13">
        <v>28.1</v>
      </c>
      <c r="P268" s="13">
        <v>18.2</v>
      </c>
      <c r="Q268" s="13">
        <f>Table24[[#This Row],[2_Temp_H]]-Table24[[#This Row],[2_Temp_L]]</f>
        <v>19.7</v>
      </c>
      <c r="R268" s="13">
        <v>30.1</v>
      </c>
      <c r="S268" s="13">
        <v>6</v>
      </c>
      <c r="T268" s="13">
        <v>1011.85</v>
      </c>
      <c r="U268" s="13">
        <v>1006.77</v>
      </c>
      <c r="V268" s="13">
        <v>0</v>
      </c>
      <c r="W268" s="13" t="s">
        <v>148</v>
      </c>
      <c r="X268" s="16" t="s">
        <v>171</v>
      </c>
      <c r="Y268" s="13" t="s">
        <v>137</v>
      </c>
      <c r="Z268" s="13" t="s">
        <v>143</v>
      </c>
      <c r="AA268" s="13" t="s">
        <v>145</v>
      </c>
      <c r="AB268" s="13" t="s">
        <v>137</v>
      </c>
      <c r="AC268" s="13">
        <f>VLOOKUP(Table24[[#This Row],[3_Elephant_ID]],'[1]Attributes(OUTDATED)'!$A$2:$N$19,12,FALSE)</f>
        <v>378</v>
      </c>
      <c r="AD268" s="13">
        <f>VLOOKUP(Table24[[#This Row],[3_Elephant_ID]],'[1]Attributes(OUTDATED)'!$A$2:$N$19,13,FALSE)</f>
        <v>8.6999999999999994E-2</v>
      </c>
      <c r="AE268" s="13">
        <f>VLOOKUP(Table24[[#This Row],[3_Elephant_ID]],'[1]Attributes(OUTDATED)'!$A$2:$N$19,14,FALSE)</f>
        <v>8.6599138783086713E-2</v>
      </c>
      <c r="AF268" s="13">
        <v>2</v>
      </c>
      <c r="AG268" s="13">
        <v>0</v>
      </c>
      <c r="AH268" s="13">
        <v>0</v>
      </c>
      <c r="AI268" s="13">
        <v>0</v>
      </c>
      <c r="AJ268" s="13">
        <f>VLOOKUP(Table24[[#This Row],[3_Elephant_ID]],'[1]Attributes(OUTDATED)'!$A$2:$P$19,16,FALSE)</f>
        <v>1</v>
      </c>
      <c r="AK268" s="13">
        <f>VLOOKUP(Table24[[#This Row],[3_Elephant_ID]],'[1]Attributes(OUTDATED)'!$A$2:$S$19,17,FALSE)</f>
        <v>4</v>
      </c>
      <c r="AL268" s="13">
        <f>VLOOKUP(Table24[[#This Row],[3_Elephant_ID]],'[1]Attributes(OUTDATED)'!$A$2:$S$19,18,FALSE)</f>
        <v>20</v>
      </c>
    </row>
    <row r="269" spans="1:38" ht="28" x14ac:dyDescent="0.15">
      <c r="A269" s="3">
        <v>297</v>
      </c>
      <c r="B269" s="6">
        <v>1502241000</v>
      </c>
      <c r="C269" s="7">
        <v>15</v>
      </c>
      <c r="D269" s="7">
        <v>2</v>
      </c>
      <c r="E269" s="7">
        <v>2024</v>
      </c>
      <c r="F269" s="5">
        <v>45337</v>
      </c>
      <c r="G269" s="6" t="s">
        <v>13</v>
      </c>
      <c r="H269" s="17">
        <v>0.40172932330827066</v>
      </c>
      <c r="I269" s="3" t="str">
        <f>VLOOKUP(G269,'[1]Attributes(OUTDATED)'!$A$2:$C$19,2,FALSE)</f>
        <v>F</v>
      </c>
      <c r="J269" s="3" t="str">
        <f>VLOOKUP(G269,'[1]Attributes(OUTDATED)'!$A$2:$C$19,3,FALSE)</f>
        <v>A</v>
      </c>
      <c r="K269" s="3">
        <f>VLOOKUP(G269,'[1]Attributes(OUTDATED)'!$A$2:$H$19,8,FALSE)</f>
        <v>963</v>
      </c>
      <c r="L269" s="3" t="str">
        <f>J269&amp;I269</f>
        <v>AF</v>
      </c>
      <c r="M269" s="11">
        <v>45335</v>
      </c>
      <c r="N269" s="13">
        <v>37.9</v>
      </c>
      <c r="O269" s="13">
        <v>28.1</v>
      </c>
      <c r="P269" s="13">
        <v>18.2</v>
      </c>
      <c r="Q269" s="13">
        <f>Table24[[#This Row],[2_Temp_H]]-Table24[[#This Row],[2_Temp_L]]</f>
        <v>19.7</v>
      </c>
      <c r="R269" s="13">
        <v>30.1</v>
      </c>
      <c r="S269" s="13">
        <v>6</v>
      </c>
      <c r="T269" s="13">
        <v>1011.85</v>
      </c>
      <c r="U269" s="13">
        <v>1006.77</v>
      </c>
      <c r="V269" s="13">
        <v>0</v>
      </c>
      <c r="W269" s="13" t="s">
        <v>148</v>
      </c>
      <c r="X269" s="16" t="s">
        <v>171</v>
      </c>
      <c r="Y269" s="13" t="s">
        <v>137</v>
      </c>
      <c r="Z269" s="13" t="s">
        <v>143</v>
      </c>
      <c r="AA269" s="13" t="s">
        <v>145</v>
      </c>
      <c r="AB269" s="13" t="s">
        <v>137</v>
      </c>
      <c r="AC269" s="13">
        <f>VLOOKUP(Table24[[#This Row],[3_Elephant_ID]],'[1]Attributes(OUTDATED)'!$A$2:$N$19,12,FALSE)</f>
        <v>289</v>
      </c>
      <c r="AD269" s="13">
        <f>VLOOKUP(Table24[[#This Row],[3_Elephant_ID]],'[1]Attributes(OUTDATED)'!$A$2:$N$19,13,FALSE)</f>
        <v>0.32400000000000001</v>
      </c>
      <c r="AE269" s="13">
        <f>VLOOKUP(Table24[[#This Row],[3_Elephant_ID]],'[1]Attributes(OUTDATED)'!$A$2:$N$19,14,FALSE)</f>
        <v>0.32380809109629533</v>
      </c>
      <c r="AF269" s="13">
        <v>2</v>
      </c>
      <c r="AG269" s="13">
        <v>0</v>
      </c>
      <c r="AH269" s="13">
        <v>0</v>
      </c>
      <c r="AI269" s="13">
        <v>0</v>
      </c>
      <c r="AJ269" s="13">
        <f>VLOOKUP(Table24[[#This Row],[3_Elephant_ID]],'[1]Attributes(OUTDATED)'!$A$2:$P$19,16,FALSE)</f>
        <v>2</v>
      </c>
      <c r="AK269" s="13">
        <f>VLOOKUP(Table24[[#This Row],[3_Elephant_ID]],'[1]Attributes(OUTDATED)'!$A$2:$S$19,17,FALSE)</f>
        <v>9</v>
      </c>
      <c r="AL269" s="13">
        <f>VLOOKUP(Table24[[#This Row],[3_Elephant_ID]],'[1]Attributes(OUTDATED)'!$A$2:$S$19,18,FALSE)</f>
        <v>9</v>
      </c>
    </row>
    <row r="270" spans="1:38" ht="28" x14ac:dyDescent="0.15">
      <c r="A270" s="3">
        <v>292</v>
      </c>
      <c r="B270" s="6">
        <v>1602241459</v>
      </c>
      <c r="C270" s="7">
        <v>16</v>
      </c>
      <c r="D270" s="7">
        <v>2</v>
      </c>
      <c r="E270" s="7">
        <v>2024</v>
      </c>
      <c r="F270" s="5">
        <v>45338</v>
      </c>
      <c r="G270" s="6" t="s">
        <v>12</v>
      </c>
      <c r="H270" s="17">
        <v>0.44863117870722435</v>
      </c>
      <c r="I270" s="3" t="str">
        <f>VLOOKUP(G270,'[1]Attributes(OUTDATED)'!$A$2:$C$19,2,FALSE)</f>
        <v>M</v>
      </c>
      <c r="J270" s="3" t="str">
        <f>VLOOKUP(G270,'[1]Attributes(OUTDATED)'!$A$2:$C$19,3,FALSE)</f>
        <v>A</v>
      </c>
      <c r="K270" s="3">
        <f>VLOOKUP(G270,'[1]Attributes(OUTDATED)'!$A$2:$H$19,8,FALSE)</f>
        <v>1509</v>
      </c>
      <c r="L270" s="3" t="str">
        <f>J270&amp;I270</f>
        <v>AM</v>
      </c>
      <c r="M270" s="11">
        <v>45336</v>
      </c>
      <c r="N270" s="13">
        <v>33.6</v>
      </c>
      <c r="O270" s="13">
        <v>23.3</v>
      </c>
      <c r="P270" s="13">
        <v>13.1</v>
      </c>
      <c r="Q270" s="13">
        <f>Table24[[#This Row],[2_Temp_H]]-Table24[[#This Row],[2_Temp_L]]</f>
        <v>20.5</v>
      </c>
      <c r="R270" s="13">
        <v>22.2</v>
      </c>
      <c r="S270" s="13">
        <v>4.7</v>
      </c>
      <c r="T270" s="13">
        <v>1011.85</v>
      </c>
      <c r="U270" s="13">
        <v>1006.1</v>
      </c>
      <c r="V270" s="13">
        <v>0</v>
      </c>
      <c r="W270" s="13" t="s">
        <v>148</v>
      </c>
      <c r="X270" s="16" t="s">
        <v>171</v>
      </c>
      <c r="Y270" s="13" t="s">
        <v>137</v>
      </c>
      <c r="Z270" s="13" t="s">
        <v>143</v>
      </c>
      <c r="AA270" s="13" t="s">
        <v>145</v>
      </c>
      <c r="AB270" s="13" t="s">
        <v>137</v>
      </c>
      <c r="AC270" s="13">
        <f>VLOOKUP(Table24[[#This Row],[3_Elephant_ID]],'[1]Attributes(OUTDATED)'!$A$2:$N$19,12,FALSE)</f>
        <v>450</v>
      </c>
      <c r="AD270" s="13">
        <f>VLOOKUP(Table24[[#This Row],[3_Elephant_ID]],'[1]Attributes(OUTDATED)'!$A$2:$N$19,13,FALSE)</f>
        <v>0.375</v>
      </c>
      <c r="AE270" s="13">
        <f>VLOOKUP(Table24[[#This Row],[3_Elephant_ID]],'[1]Attributes(OUTDATED)'!$A$2:$N$19,14,FALSE)</f>
        <v>0.37414375430996583</v>
      </c>
      <c r="AF270" s="13">
        <v>5</v>
      </c>
      <c r="AG270" s="13">
        <v>3</v>
      </c>
      <c r="AH270" s="13">
        <v>0</v>
      </c>
      <c r="AI270" s="13">
        <v>3</v>
      </c>
      <c r="AJ270" s="13">
        <f>VLOOKUP(Table24[[#This Row],[3_Elephant_ID]],'[1]Attributes(OUTDATED)'!$A$2:$P$19,16,FALSE)</f>
        <v>1</v>
      </c>
      <c r="AK270" s="13">
        <f>VLOOKUP(Table24[[#This Row],[3_Elephant_ID]],'[1]Attributes(OUTDATED)'!$A$2:$S$19,17,FALSE)</f>
        <v>48</v>
      </c>
      <c r="AL270" s="13">
        <f>VLOOKUP(Table24[[#This Row],[3_Elephant_ID]],'[1]Attributes(OUTDATED)'!$A$2:$S$19,18,FALSE)</f>
        <v>3</v>
      </c>
    </row>
    <row r="271" spans="1:38" ht="28" x14ac:dyDescent="0.15">
      <c r="A271" s="3">
        <v>291</v>
      </c>
      <c r="B271" s="6" t="s">
        <v>129</v>
      </c>
      <c r="C271" s="7">
        <v>16</v>
      </c>
      <c r="D271" s="7">
        <v>2</v>
      </c>
      <c r="E271" s="7">
        <v>2024</v>
      </c>
      <c r="F271" s="5">
        <v>45338</v>
      </c>
      <c r="G271" s="6" t="s">
        <v>7</v>
      </c>
      <c r="H271" s="17">
        <v>0.32210526315789478</v>
      </c>
      <c r="I271" s="3" t="str">
        <f>VLOOKUP(G271,'[1]Attributes(OUTDATED)'!$A$2:$C$19,2,FALSE)</f>
        <v>F</v>
      </c>
      <c r="J271" s="3" t="str">
        <f>VLOOKUP(G271,'[1]Attributes(OUTDATED)'!$A$2:$C$19,3,FALSE)</f>
        <v>J</v>
      </c>
      <c r="K271" s="3">
        <f>VLOOKUP(G271,'[1]Attributes(OUTDATED)'!$A$2:$H$19,8,FALSE)</f>
        <v>711</v>
      </c>
      <c r="L271" s="3" t="str">
        <f>J271&amp;I271</f>
        <v>JF</v>
      </c>
      <c r="M271" s="11">
        <v>45336</v>
      </c>
      <c r="N271" s="13">
        <v>33.6</v>
      </c>
      <c r="O271" s="13">
        <v>23.3</v>
      </c>
      <c r="P271" s="13">
        <v>13.1</v>
      </c>
      <c r="Q271" s="13">
        <f>Table24[[#This Row],[2_Temp_H]]-Table24[[#This Row],[2_Temp_L]]</f>
        <v>20.5</v>
      </c>
      <c r="R271" s="13">
        <v>22.2</v>
      </c>
      <c r="S271" s="13">
        <v>4.7</v>
      </c>
      <c r="T271" s="13">
        <v>1011.85</v>
      </c>
      <c r="U271" s="13">
        <v>1006.1</v>
      </c>
      <c r="V271" s="13">
        <v>0</v>
      </c>
      <c r="W271" s="13" t="s">
        <v>148</v>
      </c>
      <c r="X271" s="16" t="s">
        <v>171</v>
      </c>
      <c r="Y271" s="13" t="s">
        <v>137</v>
      </c>
      <c r="Z271" s="13" t="s">
        <v>143</v>
      </c>
      <c r="AA271" s="13" t="s">
        <v>145</v>
      </c>
      <c r="AB271" s="13" t="s">
        <v>137</v>
      </c>
      <c r="AC271" s="13">
        <f>VLOOKUP(Table24[[#This Row],[3_Elephant_ID]],'[1]Attributes(OUTDATED)'!$A$2:$N$19,12,FALSE)</f>
        <v>398</v>
      </c>
      <c r="AD271" s="13">
        <f>VLOOKUP(Table24[[#This Row],[3_Elephant_ID]],'[1]Attributes(OUTDATED)'!$A$2:$N$19,13,FALSE)</f>
        <v>0.47899999999999998</v>
      </c>
      <c r="AE271" s="13">
        <f>VLOOKUP(Table24[[#This Row],[3_Elephant_ID]],'[1]Attributes(OUTDATED)'!$A$2:$N$19,14,FALSE)</f>
        <v>0.47820662037086947</v>
      </c>
      <c r="AF271" s="13">
        <v>5</v>
      </c>
      <c r="AG271" s="13">
        <v>0</v>
      </c>
      <c r="AH271" s="13">
        <v>0</v>
      </c>
      <c r="AI271" s="13">
        <v>0</v>
      </c>
      <c r="AJ271" s="13">
        <f>VLOOKUP(Table24[[#This Row],[3_Elephant_ID]],'[1]Attributes(OUTDATED)'!$A$2:$P$19,16,FALSE)</f>
        <v>1</v>
      </c>
      <c r="AK271" s="13">
        <f>VLOOKUP(Table24[[#This Row],[3_Elephant_ID]],'[1]Attributes(OUTDATED)'!$A$2:$S$19,17,FALSE)</f>
        <v>0</v>
      </c>
      <c r="AL271" s="13">
        <f>VLOOKUP(Table24[[#This Row],[3_Elephant_ID]],'[1]Attributes(OUTDATED)'!$A$2:$S$19,18,FALSE)</f>
        <v>12</v>
      </c>
    </row>
    <row r="272" spans="1:38" ht="28" x14ac:dyDescent="0.15">
      <c r="A272" s="3">
        <v>290</v>
      </c>
      <c r="B272" s="6">
        <v>1702241114</v>
      </c>
      <c r="C272" s="7">
        <v>17</v>
      </c>
      <c r="D272" s="7">
        <v>2</v>
      </c>
      <c r="E272" s="7">
        <v>2024</v>
      </c>
      <c r="F272" s="5">
        <v>45339</v>
      </c>
      <c r="G272" s="6" t="s">
        <v>5</v>
      </c>
      <c r="H272" s="17">
        <v>0.30757115749525615</v>
      </c>
      <c r="I272" s="3" t="str">
        <f>VLOOKUP(G272,'[1]Attributes(OUTDATED)'!$A$2:$C$19,2,FALSE)</f>
        <v>M</v>
      </c>
      <c r="J272" s="3" t="str">
        <f>VLOOKUP(G272,'[1]Attributes(OUTDATED)'!$A$2:$C$19,3,FALSE)</f>
        <v>J</v>
      </c>
      <c r="K272" s="3">
        <f>VLOOKUP(G272,'[1]Attributes(OUTDATED)'!$A$2:$H$19,8,FALSE)</f>
        <v>940</v>
      </c>
      <c r="L272" s="3" t="str">
        <f>J272&amp;I272</f>
        <v>JM</v>
      </c>
      <c r="M272" s="11">
        <v>45337</v>
      </c>
      <c r="N272" s="13">
        <v>27.5</v>
      </c>
      <c r="O272" s="13">
        <v>18.8</v>
      </c>
      <c r="P272" s="13">
        <v>12.9</v>
      </c>
      <c r="Q272" s="13">
        <f>Table24[[#This Row],[2_Temp_H]]-Table24[[#This Row],[2_Temp_L]]</f>
        <v>14.6</v>
      </c>
      <c r="R272" s="13">
        <v>26.9</v>
      </c>
      <c r="S272" s="13">
        <v>5.7</v>
      </c>
      <c r="T272" s="13">
        <v>1006.77</v>
      </c>
      <c r="U272" s="13">
        <v>1000</v>
      </c>
      <c r="V272" s="13">
        <v>0</v>
      </c>
      <c r="W272" s="13" t="s">
        <v>148</v>
      </c>
      <c r="X272" s="13" t="s">
        <v>141</v>
      </c>
      <c r="Y272" s="13" t="s">
        <v>26</v>
      </c>
      <c r="Z272" s="13" t="s">
        <v>143</v>
      </c>
      <c r="AA272" s="13" t="s">
        <v>145</v>
      </c>
      <c r="AB272" s="13" t="s">
        <v>137</v>
      </c>
      <c r="AC272" s="13">
        <f>VLOOKUP(Table24[[#This Row],[3_Elephant_ID]],'[1]Attributes(OUTDATED)'!$A$2:$N$19,12,FALSE)</f>
        <v>361</v>
      </c>
      <c r="AD272" s="13">
        <f>VLOOKUP(Table24[[#This Row],[3_Elephant_ID]],'[1]Attributes(OUTDATED)'!$A$2:$N$19,13,FALSE)</f>
        <v>0.40600000000000003</v>
      </c>
      <c r="AE272" s="13">
        <f>VLOOKUP(Table24[[#This Row],[3_Elephant_ID]],'[1]Attributes(OUTDATED)'!$A$2:$N$19,14,FALSE)</f>
        <v>0.40590323220736402</v>
      </c>
      <c r="AF272" s="13">
        <v>0</v>
      </c>
      <c r="AG272" s="13">
        <v>0</v>
      </c>
      <c r="AH272" s="13">
        <v>0</v>
      </c>
      <c r="AI272" s="13">
        <v>0</v>
      </c>
      <c r="AJ272" s="13">
        <f>VLOOKUP(Table24[[#This Row],[3_Elephant_ID]],'[1]Attributes(OUTDATED)'!$A$2:$P$19,16,FALSE)</f>
        <v>1</v>
      </c>
      <c r="AK272" s="13">
        <f>VLOOKUP(Table24[[#This Row],[3_Elephant_ID]],'[1]Attributes(OUTDATED)'!$A$2:$S$19,17,FALSE)</f>
        <v>2</v>
      </c>
      <c r="AL272" s="13">
        <f>VLOOKUP(Table24[[#This Row],[3_Elephant_ID]],'[1]Attributes(OUTDATED)'!$A$2:$S$19,18,FALSE)</f>
        <v>7</v>
      </c>
    </row>
    <row r="273" spans="1:38" ht="28" x14ac:dyDescent="0.15">
      <c r="A273" s="3">
        <v>285</v>
      </c>
      <c r="B273" s="6">
        <v>2302241115</v>
      </c>
      <c r="C273" s="7">
        <v>23</v>
      </c>
      <c r="D273" s="7">
        <v>2</v>
      </c>
      <c r="E273" s="7">
        <v>2024</v>
      </c>
      <c r="F273" s="5">
        <v>45345</v>
      </c>
      <c r="G273" s="6" t="s">
        <v>17</v>
      </c>
      <c r="H273" s="17">
        <v>0.34143122676579923</v>
      </c>
      <c r="I273" s="3" t="str">
        <f>VLOOKUP(G273,'[1]Attributes(OUTDATED)'!$A$2:$C$19,2,FALSE)</f>
        <v>M</v>
      </c>
      <c r="J273" s="3" t="str">
        <f>VLOOKUP(G273,'[1]Attributes(OUTDATED)'!$A$2:$C$19,3,FALSE)</f>
        <v>J</v>
      </c>
      <c r="K273" s="3">
        <f>VLOOKUP(G273,'[1]Attributes(OUTDATED)'!$A$2:$H$19,8,FALSE)</f>
        <v>699</v>
      </c>
      <c r="L273" s="3" t="str">
        <f>J273&amp;I273</f>
        <v>JM</v>
      </c>
      <c r="M273" s="11">
        <v>45343</v>
      </c>
      <c r="N273" s="13">
        <v>32.5</v>
      </c>
      <c r="O273" s="13">
        <v>23.1</v>
      </c>
      <c r="P273" s="13">
        <v>14.3</v>
      </c>
      <c r="Q273" s="13">
        <f>Table24[[#This Row],[2_Temp_H]]-Table24[[#This Row],[2_Temp_L]]</f>
        <v>18.2</v>
      </c>
      <c r="R273" s="13">
        <v>28.3</v>
      </c>
      <c r="S273" s="13">
        <v>5.8</v>
      </c>
      <c r="T273" s="13">
        <v>1009.82</v>
      </c>
      <c r="U273" s="13">
        <v>1005.08</v>
      </c>
      <c r="V273" s="13">
        <v>0</v>
      </c>
      <c r="W273" s="13" t="s">
        <v>148</v>
      </c>
      <c r="X273" s="16" t="s">
        <v>171</v>
      </c>
      <c r="Y273" s="13" t="s">
        <v>137</v>
      </c>
      <c r="Z273" s="13" t="s">
        <v>143</v>
      </c>
      <c r="AA273" s="13" t="s">
        <v>145</v>
      </c>
      <c r="AB273" s="13" t="s">
        <v>137</v>
      </c>
      <c r="AC273" s="13">
        <f>VLOOKUP(Table24[[#This Row],[3_Elephant_ID]],'[1]Attributes(OUTDATED)'!$A$2:$N$19,12,FALSE)</f>
        <v>343</v>
      </c>
      <c r="AD273" s="13">
        <f>VLOOKUP(Table24[[#This Row],[3_Elephant_ID]],'[1]Attributes(OUTDATED)'!$A$2:$N$19,13,FALSE)</f>
        <v>0.81</v>
      </c>
      <c r="AE273" s="13">
        <f>VLOOKUP(Table24[[#This Row],[3_Elephant_ID]],'[1]Attributes(OUTDATED)'!$A$2:$N$19,14,FALSE)</f>
        <v>0.80966774571167055</v>
      </c>
      <c r="AF273" s="13">
        <v>0</v>
      </c>
      <c r="AG273" s="13">
        <v>0</v>
      </c>
      <c r="AH273" s="13">
        <v>0</v>
      </c>
      <c r="AI273" s="13">
        <v>0</v>
      </c>
      <c r="AJ273" s="13">
        <f>VLOOKUP(Table24[[#This Row],[3_Elephant_ID]],'[1]Attributes(OUTDATED)'!$A$2:$P$19,16,FALSE)</f>
        <v>1</v>
      </c>
      <c r="AK273" s="13">
        <f>VLOOKUP(Table24[[#This Row],[3_Elephant_ID]],'[1]Attributes(OUTDATED)'!$A$2:$S$19,17,FALSE)</f>
        <v>0</v>
      </c>
      <c r="AL273" s="13">
        <f>VLOOKUP(Table24[[#This Row],[3_Elephant_ID]],'[1]Attributes(OUTDATED)'!$A$2:$S$19,18,FALSE)</f>
        <v>8</v>
      </c>
    </row>
    <row r="274" spans="1:38" ht="28" x14ac:dyDescent="0.15">
      <c r="A274" s="3">
        <v>283</v>
      </c>
      <c r="B274" s="6">
        <v>2302241119</v>
      </c>
      <c r="C274" s="7">
        <v>23</v>
      </c>
      <c r="D274" s="7">
        <v>2</v>
      </c>
      <c r="E274" s="7">
        <v>2024</v>
      </c>
      <c r="F274" s="5">
        <v>45345</v>
      </c>
      <c r="G274" s="6" t="s">
        <v>31</v>
      </c>
      <c r="H274" s="17">
        <v>0.52733583489681046</v>
      </c>
      <c r="I274" s="3" t="str">
        <f>VLOOKUP(G274,'[1]Attributes(OUTDATED)'!$A$2:$C$19,2,FALSE)</f>
        <v>F</v>
      </c>
      <c r="J274" s="3" t="str">
        <f>VLOOKUP(G274,'[1]Attributes(OUTDATED)'!$A$2:$C$19,3,FALSE)</f>
        <v>J</v>
      </c>
      <c r="K274" s="3">
        <f>VLOOKUP(G274,'[1]Attributes(OUTDATED)'!$A$2:$H$19,8,FALSE)</f>
        <v>765</v>
      </c>
      <c r="L274" s="3" t="str">
        <f>J274&amp;I274</f>
        <v>JF</v>
      </c>
      <c r="M274" s="11">
        <v>45343</v>
      </c>
      <c r="N274" s="13">
        <v>32.5</v>
      </c>
      <c r="O274" s="13">
        <v>23.1</v>
      </c>
      <c r="P274" s="13">
        <v>14.3</v>
      </c>
      <c r="Q274" s="13">
        <f>Table24[[#This Row],[2_Temp_H]]-Table24[[#This Row],[2_Temp_L]]</f>
        <v>18.2</v>
      </c>
      <c r="R274" s="13">
        <v>28.3</v>
      </c>
      <c r="S274" s="13">
        <v>5.8</v>
      </c>
      <c r="T274" s="13">
        <v>1009.82</v>
      </c>
      <c r="U274" s="13">
        <v>1005.08</v>
      </c>
      <c r="V274" s="13">
        <v>0</v>
      </c>
      <c r="W274" s="13" t="s">
        <v>148</v>
      </c>
      <c r="X274" s="16" t="s">
        <v>171</v>
      </c>
      <c r="Y274" s="13" t="s">
        <v>137</v>
      </c>
      <c r="Z274" s="13" t="s">
        <v>143</v>
      </c>
      <c r="AA274" s="13" t="s">
        <v>145</v>
      </c>
      <c r="AB274" s="13" t="s">
        <v>137</v>
      </c>
      <c r="AC274" s="13">
        <f>VLOOKUP(Table24[[#This Row],[3_Elephant_ID]],'[1]Attributes(OUTDATED)'!$A$2:$N$19,12,FALSE)</f>
        <v>258</v>
      </c>
      <c r="AD274" s="13">
        <f>VLOOKUP(Table24[[#This Row],[3_Elephant_ID]],'[1]Attributes(OUTDATED)'!$A$2:$N$19,13,FALSE)</f>
        <v>0.25700000000000001</v>
      </c>
      <c r="AE274" s="13">
        <f>VLOOKUP(Table24[[#This Row],[3_Elephant_ID]],'[1]Attributes(OUTDATED)'!$A$2:$N$19,14,FALSE)</f>
        <v>0.25665547185998128</v>
      </c>
      <c r="AF274" s="13">
        <v>0</v>
      </c>
      <c r="AG274" s="13">
        <v>0</v>
      </c>
      <c r="AH274" s="13">
        <v>0</v>
      </c>
      <c r="AI274" s="13">
        <v>0</v>
      </c>
      <c r="AJ274" s="13">
        <f>VLOOKUP(Table24[[#This Row],[3_Elephant_ID]],'[1]Attributes(OUTDATED)'!$A$2:$P$19,16,FALSE)</f>
        <v>2</v>
      </c>
      <c r="AK274" s="13">
        <f>VLOOKUP(Table24[[#This Row],[3_Elephant_ID]],'[1]Attributes(OUTDATED)'!$A$2:$S$19,17,FALSE)</f>
        <v>1</v>
      </c>
      <c r="AL274" s="13">
        <f>VLOOKUP(Table24[[#This Row],[3_Elephant_ID]],'[1]Attributes(OUTDATED)'!$A$2:$S$19,18,FALSE)</f>
        <v>10</v>
      </c>
    </row>
    <row r="275" spans="1:38" ht="28" x14ac:dyDescent="0.15">
      <c r="A275" s="3">
        <v>288</v>
      </c>
      <c r="B275" s="6">
        <v>2302240952</v>
      </c>
      <c r="C275" s="7">
        <v>23</v>
      </c>
      <c r="D275" s="7">
        <v>2</v>
      </c>
      <c r="E275" s="7">
        <v>2024</v>
      </c>
      <c r="F275" s="5">
        <v>45345</v>
      </c>
      <c r="G275" s="6" t="s">
        <v>11</v>
      </c>
      <c r="H275" s="17">
        <v>0.34374301675977653</v>
      </c>
      <c r="I275" s="3" t="str">
        <f>VLOOKUP(G275,'[1]Attributes(OUTDATED)'!$A$2:$C$19,2,FALSE)</f>
        <v>M</v>
      </c>
      <c r="J275" s="3" t="str">
        <f>VLOOKUP(G275,'[1]Attributes(OUTDATED)'!$A$2:$C$19,3,FALSE)</f>
        <v>A</v>
      </c>
      <c r="K275" s="3">
        <f>VLOOKUP(G275,'[1]Attributes(OUTDATED)'!$A$2:$H$19,8,FALSE)</f>
        <v>1223</v>
      </c>
      <c r="L275" s="3" t="str">
        <f>J275&amp;I275</f>
        <v>AM</v>
      </c>
      <c r="M275" s="11">
        <v>45343</v>
      </c>
      <c r="N275" s="13">
        <v>32.5</v>
      </c>
      <c r="O275" s="13">
        <v>23.1</v>
      </c>
      <c r="P275" s="13">
        <v>14.3</v>
      </c>
      <c r="Q275" s="13">
        <f>Table24[[#This Row],[2_Temp_H]]-Table24[[#This Row],[2_Temp_L]]</f>
        <v>18.2</v>
      </c>
      <c r="R275" s="13">
        <v>28.3</v>
      </c>
      <c r="S275" s="13">
        <v>5.8</v>
      </c>
      <c r="T275" s="13">
        <v>1009.82</v>
      </c>
      <c r="U275" s="13">
        <v>1005.08</v>
      </c>
      <c r="V275" s="13">
        <v>0</v>
      </c>
      <c r="W275" s="13" t="s">
        <v>148</v>
      </c>
      <c r="X275" s="16" t="s">
        <v>171</v>
      </c>
      <c r="Y275" s="13" t="s">
        <v>137</v>
      </c>
      <c r="Z275" s="13" t="s">
        <v>143</v>
      </c>
      <c r="AA275" s="13" t="s">
        <v>145</v>
      </c>
      <c r="AB275" s="13" t="s">
        <v>137</v>
      </c>
      <c r="AC275" s="13">
        <f>VLOOKUP(Table24[[#This Row],[3_Elephant_ID]],'[1]Attributes(OUTDATED)'!$A$2:$N$19,12,FALSE)</f>
        <v>404</v>
      </c>
      <c r="AD275" s="13">
        <f>VLOOKUP(Table24[[#This Row],[3_Elephant_ID]],'[1]Attributes(OUTDATED)'!$A$2:$N$19,13,FALSE)</f>
        <v>0.91700000000000004</v>
      </c>
      <c r="AE275" s="13">
        <f>VLOOKUP(Table24[[#This Row],[3_Elephant_ID]],'[1]Attributes(OUTDATED)'!$A$2:$N$19,14,FALSE)</f>
        <v>0.91664628583929353</v>
      </c>
      <c r="AF275" s="13">
        <v>0</v>
      </c>
      <c r="AG275" s="13">
        <v>0</v>
      </c>
      <c r="AH275" s="13">
        <v>0</v>
      </c>
      <c r="AI275" s="13">
        <v>0</v>
      </c>
      <c r="AJ275" s="13">
        <f>VLOOKUP(Table24[[#This Row],[3_Elephant_ID]],'[1]Attributes(OUTDATED)'!$A$2:$P$19,16,FALSE)</f>
        <v>1</v>
      </c>
      <c r="AK275" s="13">
        <f>VLOOKUP(Table24[[#This Row],[3_Elephant_ID]],'[1]Attributes(OUTDATED)'!$A$2:$S$19,17,FALSE)</f>
        <v>14</v>
      </c>
      <c r="AL275" s="13">
        <f>VLOOKUP(Table24[[#This Row],[3_Elephant_ID]],'[1]Attributes(OUTDATED)'!$A$2:$S$19,18,FALSE)</f>
        <v>17</v>
      </c>
    </row>
    <row r="276" spans="1:38" ht="28" x14ac:dyDescent="0.15">
      <c r="A276" s="3">
        <v>284</v>
      </c>
      <c r="B276" s="6">
        <v>2302241114</v>
      </c>
      <c r="C276" s="7">
        <v>23</v>
      </c>
      <c r="D276" s="7">
        <v>2</v>
      </c>
      <c r="E276" s="7">
        <v>2024</v>
      </c>
      <c r="F276" s="5">
        <v>45345</v>
      </c>
      <c r="G276" s="6" t="s">
        <v>9</v>
      </c>
      <c r="H276" s="17">
        <v>0.46834615384615391</v>
      </c>
      <c r="I276" s="3" t="str">
        <f>VLOOKUP(G276,'[1]Attributes(OUTDATED)'!$A$2:$C$19,2,FALSE)</f>
        <v>F</v>
      </c>
      <c r="J276" s="3" t="str">
        <f>VLOOKUP(G276,'[1]Attributes(OUTDATED)'!$A$2:$C$19,3,FALSE)</f>
        <v>J</v>
      </c>
      <c r="K276" s="3">
        <f>VLOOKUP(G276,'[1]Attributes(OUTDATED)'!$A$2:$H$19,8,FALSE)</f>
        <v>820</v>
      </c>
      <c r="L276" s="3" t="str">
        <f>J276&amp;I276</f>
        <v>JF</v>
      </c>
      <c r="M276" s="11">
        <v>45343</v>
      </c>
      <c r="N276" s="13">
        <v>32.5</v>
      </c>
      <c r="O276" s="13">
        <v>23.1</v>
      </c>
      <c r="P276" s="13">
        <v>14.3</v>
      </c>
      <c r="Q276" s="13">
        <f>Table24[[#This Row],[2_Temp_H]]-Table24[[#This Row],[2_Temp_L]]</f>
        <v>18.2</v>
      </c>
      <c r="R276" s="13">
        <v>28.3</v>
      </c>
      <c r="S276" s="13">
        <v>5.8</v>
      </c>
      <c r="T276" s="13">
        <v>1009.82</v>
      </c>
      <c r="U276" s="13">
        <v>1005.08</v>
      </c>
      <c r="V276" s="13">
        <v>0</v>
      </c>
      <c r="W276" s="13" t="s">
        <v>148</v>
      </c>
      <c r="X276" s="16" t="s">
        <v>171</v>
      </c>
      <c r="Y276" s="13" t="s">
        <v>137</v>
      </c>
      <c r="Z276" s="13" t="s">
        <v>143</v>
      </c>
      <c r="AA276" s="13" t="s">
        <v>145</v>
      </c>
      <c r="AB276" s="13" t="s">
        <v>137</v>
      </c>
      <c r="AC276" s="13">
        <f>VLOOKUP(Table24[[#This Row],[3_Elephant_ID]],'[1]Attributes(OUTDATED)'!$A$2:$N$19,12,FALSE)</f>
        <v>305</v>
      </c>
      <c r="AD276" s="13">
        <f>VLOOKUP(Table24[[#This Row],[3_Elephant_ID]],'[1]Attributes(OUTDATED)'!$A$2:$N$19,13,FALSE)</f>
        <v>0.17499999999999999</v>
      </c>
      <c r="AE276" s="13">
        <f>VLOOKUP(Table24[[#This Row],[3_Elephant_ID]],'[1]Attributes(OUTDATED)'!$A$2:$N$19,14,FALSE)</f>
        <v>0.17467336145108631</v>
      </c>
      <c r="AF276" s="13">
        <v>0</v>
      </c>
      <c r="AG276" s="13">
        <v>0</v>
      </c>
      <c r="AH276" s="13">
        <v>0</v>
      </c>
      <c r="AI276" s="13">
        <v>0</v>
      </c>
      <c r="AJ276" s="13">
        <f>VLOOKUP(Table24[[#This Row],[3_Elephant_ID]],'[1]Attributes(OUTDATED)'!$A$2:$P$19,16,FALSE)</f>
        <v>2</v>
      </c>
      <c r="AK276" s="13">
        <f>VLOOKUP(Table24[[#This Row],[3_Elephant_ID]],'[1]Attributes(OUTDATED)'!$A$2:$S$19,17,FALSE)</f>
        <v>0</v>
      </c>
      <c r="AL276" s="13">
        <f>VLOOKUP(Table24[[#This Row],[3_Elephant_ID]],'[1]Attributes(OUTDATED)'!$A$2:$S$19,18,FALSE)</f>
        <v>4</v>
      </c>
    </row>
    <row r="277" spans="1:38" ht="28" x14ac:dyDescent="0.15">
      <c r="A277" s="3">
        <v>289</v>
      </c>
      <c r="B277" s="6">
        <v>2302241001</v>
      </c>
      <c r="C277" s="7">
        <v>23</v>
      </c>
      <c r="D277" s="7">
        <v>2</v>
      </c>
      <c r="E277" s="7">
        <v>2024</v>
      </c>
      <c r="F277" s="5">
        <v>45345</v>
      </c>
      <c r="G277" s="6" t="s">
        <v>6</v>
      </c>
      <c r="H277" s="17">
        <v>0.79834615384615382</v>
      </c>
      <c r="I277" s="3" t="str">
        <f>VLOOKUP(G277,'[1]Attributes(OUTDATED)'!$A$2:$C$19,2,FALSE)</f>
        <v>F</v>
      </c>
      <c r="J277" s="3" t="str">
        <f>VLOOKUP(G277,'[1]Attributes(OUTDATED)'!$A$2:$C$19,3,FALSE)</f>
        <v>A</v>
      </c>
      <c r="K277" s="3">
        <f>VLOOKUP(G277,'[1]Attributes(OUTDATED)'!$A$2:$H$19,8,FALSE)</f>
        <v>1168</v>
      </c>
      <c r="L277" s="3" t="str">
        <f>J277&amp;I277</f>
        <v>AF</v>
      </c>
      <c r="M277" s="11">
        <v>45343</v>
      </c>
      <c r="N277" s="13">
        <v>32.5</v>
      </c>
      <c r="O277" s="13">
        <v>23.1</v>
      </c>
      <c r="P277" s="13">
        <v>14.3</v>
      </c>
      <c r="Q277" s="13">
        <f>Table24[[#This Row],[2_Temp_H]]-Table24[[#This Row],[2_Temp_L]]</f>
        <v>18.2</v>
      </c>
      <c r="R277" s="13">
        <v>28.3</v>
      </c>
      <c r="S277" s="13">
        <v>5.8</v>
      </c>
      <c r="T277" s="13">
        <v>1009.82</v>
      </c>
      <c r="U277" s="13">
        <v>1005.08</v>
      </c>
      <c r="V277" s="13">
        <v>0</v>
      </c>
      <c r="W277" s="13" t="s">
        <v>148</v>
      </c>
      <c r="X277" s="16" t="s">
        <v>171</v>
      </c>
      <c r="Y277" s="13" t="s">
        <v>137</v>
      </c>
      <c r="Z277" s="13" t="s">
        <v>143</v>
      </c>
      <c r="AA277" s="13" t="s">
        <v>145</v>
      </c>
      <c r="AB277" s="13" t="s">
        <v>137</v>
      </c>
      <c r="AC277" s="13">
        <f>VLOOKUP(Table24[[#This Row],[3_Elephant_ID]],'[1]Attributes(OUTDATED)'!$A$2:$N$19,12,FALSE)</f>
        <v>286</v>
      </c>
      <c r="AD277" s="13">
        <f>VLOOKUP(Table24[[#This Row],[3_Elephant_ID]],'[1]Attributes(OUTDATED)'!$A$2:$N$19,13,FALSE)</f>
        <v>0.26800000000000002</v>
      </c>
      <c r="AE277" s="13">
        <f>VLOOKUP(Table24[[#This Row],[3_Elephant_ID]],'[1]Attributes(OUTDATED)'!$A$2:$N$19,14,FALSE)</f>
        <v>0.26721028245328138</v>
      </c>
      <c r="AF277" s="13">
        <v>0</v>
      </c>
      <c r="AG277" s="13">
        <v>0</v>
      </c>
      <c r="AH277" s="13">
        <v>0</v>
      </c>
      <c r="AI277" s="13">
        <v>0</v>
      </c>
      <c r="AJ277" s="13">
        <f>VLOOKUP(Table24[[#This Row],[3_Elephant_ID]],'[1]Attributes(OUTDATED)'!$A$2:$P$19,16,FALSE)</f>
        <v>2</v>
      </c>
      <c r="AK277" s="13">
        <f>VLOOKUP(Table24[[#This Row],[3_Elephant_ID]],'[1]Attributes(OUTDATED)'!$A$2:$S$19,17,FALSE)</f>
        <v>12</v>
      </c>
      <c r="AL277" s="13">
        <f>VLOOKUP(Table24[[#This Row],[3_Elephant_ID]],'[1]Attributes(OUTDATED)'!$A$2:$S$19,18,FALSE)</f>
        <v>5</v>
      </c>
    </row>
    <row r="278" spans="1:38" ht="28" x14ac:dyDescent="0.15">
      <c r="A278" s="3">
        <v>286</v>
      </c>
      <c r="B278" s="6">
        <v>2302241113</v>
      </c>
      <c r="C278" s="7">
        <v>23</v>
      </c>
      <c r="D278" s="7">
        <v>2</v>
      </c>
      <c r="E278" s="7">
        <v>2024</v>
      </c>
      <c r="F278" s="5">
        <v>45345</v>
      </c>
      <c r="G278" s="6" t="s">
        <v>1</v>
      </c>
      <c r="H278" s="17">
        <v>0.25352272727272729</v>
      </c>
      <c r="I278" s="3" t="str">
        <f>VLOOKUP(G278,'[1]Attributes(OUTDATED)'!$A$2:$C$19,2,FALSE)</f>
        <v>F</v>
      </c>
      <c r="J278" s="3" t="str">
        <f>VLOOKUP(G278,'[1]Attributes(OUTDATED)'!$A$2:$C$19,3,FALSE)</f>
        <v>A</v>
      </c>
      <c r="K278" s="3">
        <f>VLOOKUP(G278,'[1]Attributes(OUTDATED)'!$A$2:$H$19,8,FALSE)</f>
        <v>929</v>
      </c>
      <c r="L278" s="3" t="str">
        <f>J278&amp;I278</f>
        <v>AF</v>
      </c>
      <c r="M278" s="11">
        <v>45343</v>
      </c>
      <c r="N278" s="13">
        <v>32.5</v>
      </c>
      <c r="O278" s="13">
        <v>23.1</v>
      </c>
      <c r="P278" s="13">
        <v>14.3</v>
      </c>
      <c r="Q278" s="13">
        <f>Table24[[#This Row],[2_Temp_H]]-Table24[[#This Row],[2_Temp_L]]</f>
        <v>18.2</v>
      </c>
      <c r="R278" s="13">
        <v>28.3</v>
      </c>
      <c r="S278" s="13">
        <v>5.8</v>
      </c>
      <c r="T278" s="13">
        <v>1009.82</v>
      </c>
      <c r="U278" s="13">
        <v>1005.08</v>
      </c>
      <c r="V278" s="13">
        <v>0</v>
      </c>
      <c r="W278" s="13" t="s">
        <v>148</v>
      </c>
      <c r="X278" s="16" t="s">
        <v>171</v>
      </c>
      <c r="Y278" s="13" t="s">
        <v>137</v>
      </c>
      <c r="Z278" s="13" t="s">
        <v>143</v>
      </c>
      <c r="AA278" s="13" t="s">
        <v>145</v>
      </c>
      <c r="AB278" s="13" t="s">
        <v>137</v>
      </c>
      <c r="AC278" s="13">
        <f>VLOOKUP(Table24[[#This Row],[3_Elephant_ID]],'[1]Attributes(OUTDATED)'!$A$2:$N$19,12,FALSE)</f>
        <v>321</v>
      </c>
      <c r="AD278" s="13">
        <f>VLOOKUP(Table24[[#This Row],[3_Elephant_ID]],'[1]Attributes(OUTDATED)'!$A$2:$N$19,13,FALSE)</f>
        <v>0.17599999999999999</v>
      </c>
      <c r="AE278" s="13">
        <f>VLOOKUP(Table24[[#This Row],[3_Elephant_ID]],'[1]Attributes(OUTDATED)'!$A$2:$N$19,14,FALSE)</f>
        <v>0.17530262753188491</v>
      </c>
      <c r="AF278" s="13">
        <v>0</v>
      </c>
      <c r="AG278" s="13">
        <v>0</v>
      </c>
      <c r="AH278" s="13">
        <v>0</v>
      </c>
      <c r="AI278" s="13">
        <v>0</v>
      </c>
      <c r="AJ278" s="13">
        <f>VLOOKUP(Table24[[#This Row],[3_Elephant_ID]],'[1]Attributes(OUTDATED)'!$A$2:$P$19,16,FALSE)</f>
        <v>1</v>
      </c>
      <c r="AK278" s="13">
        <f>VLOOKUP(Table24[[#This Row],[3_Elephant_ID]],'[1]Attributes(OUTDATED)'!$A$2:$S$19,17,FALSE)</f>
        <v>6</v>
      </c>
      <c r="AL278" s="13">
        <f>VLOOKUP(Table24[[#This Row],[3_Elephant_ID]],'[1]Attributes(OUTDATED)'!$A$2:$S$19,18,FALSE)</f>
        <v>8</v>
      </c>
    </row>
    <row r="279" spans="1:38" ht="28" x14ac:dyDescent="0.15">
      <c r="A279" s="3">
        <v>287</v>
      </c>
      <c r="B279" s="6">
        <v>2302240928</v>
      </c>
      <c r="C279" s="7">
        <v>23</v>
      </c>
      <c r="D279" s="7">
        <v>2</v>
      </c>
      <c r="E279" s="7">
        <v>2024</v>
      </c>
      <c r="F279" s="5">
        <v>45345</v>
      </c>
      <c r="G279" s="6" t="s">
        <v>13</v>
      </c>
      <c r="H279" s="17">
        <v>0.46369811320754717</v>
      </c>
      <c r="I279" s="3" t="str">
        <f>VLOOKUP(G279,'[1]Attributes(OUTDATED)'!$A$2:$C$19,2,FALSE)</f>
        <v>F</v>
      </c>
      <c r="J279" s="3" t="str">
        <f>VLOOKUP(G279,'[1]Attributes(OUTDATED)'!$A$2:$C$19,3,FALSE)</f>
        <v>A</v>
      </c>
      <c r="K279" s="3">
        <f>VLOOKUP(G279,'[1]Attributes(OUTDATED)'!$A$2:$H$19,8,FALSE)</f>
        <v>963</v>
      </c>
      <c r="L279" s="3" t="str">
        <f>J279&amp;I279</f>
        <v>AF</v>
      </c>
      <c r="M279" s="11">
        <v>45343</v>
      </c>
      <c r="N279" s="13">
        <v>32.5</v>
      </c>
      <c r="O279" s="13">
        <v>23.1</v>
      </c>
      <c r="P279" s="13">
        <v>14.3</v>
      </c>
      <c r="Q279" s="13">
        <f>Table24[[#This Row],[2_Temp_H]]-Table24[[#This Row],[2_Temp_L]]</f>
        <v>18.2</v>
      </c>
      <c r="R279" s="13">
        <v>28.3</v>
      </c>
      <c r="S279" s="13">
        <v>5.8</v>
      </c>
      <c r="T279" s="13">
        <v>1009.82</v>
      </c>
      <c r="U279" s="13">
        <v>1005.08</v>
      </c>
      <c r="V279" s="13">
        <v>0</v>
      </c>
      <c r="W279" s="13" t="s">
        <v>148</v>
      </c>
      <c r="X279" s="16" t="s">
        <v>171</v>
      </c>
      <c r="Y279" s="13" t="s">
        <v>137</v>
      </c>
      <c r="Z279" s="13" t="s">
        <v>143</v>
      </c>
      <c r="AA279" s="13" t="s">
        <v>145</v>
      </c>
      <c r="AB279" s="13" t="s">
        <v>137</v>
      </c>
      <c r="AC279" s="13">
        <f>VLOOKUP(Table24[[#This Row],[3_Elephant_ID]],'[1]Attributes(OUTDATED)'!$A$2:$N$19,12,FALSE)</f>
        <v>289</v>
      </c>
      <c r="AD279" s="13">
        <f>VLOOKUP(Table24[[#This Row],[3_Elephant_ID]],'[1]Attributes(OUTDATED)'!$A$2:$N$19,13,FALSE)</f>
        <v>0.32400000000000001</v>
      </c>
      <c r="AE279" s="13">
        <f>VLOOKUP(Table24[[#This Row],[3_Elephant_ID]],'[1]Attributes(OUTDATED)'!$A$2:$N$19,14,FALSE)</f>
        <v>0.32380809109629533</v>
      </c>
      <c r="AF279" s="13">
        <v>0</v>
      </c>
      <c r="AG279" s="13">
        <v>0</v>
      </c>
      <c r="AH279" s="13">
        <v>0</v>
      </c>
      <c r="AI279" s="13">
        <v>0</v>
      </c>
      <c r="AJ279" s="13">
        <f>VLOOKUP(Table24[[#This Row],[3_Elephant_ID]],'[1]Attributes(OUTDATED)'!$A$2:$P$19,16,FALSE)</f>
        <v>2</v>
      </c>
      <c r="AK279" s="13">
        <f>VLOOKUP(Table24[[#This Row],[3_Elephant_ID]],'[1]Attributes(OUTDATED)'!$A$2:$S$19,17,FALSE)</f>
        <v>9</v>
      </c>
      <c r="AL279" s="13">
        <f>VLOOKUP(Table24[[#This Row],[3_Elephant_ID]],'[1]Attributes(OUTDATED)'!$A$2:$S$19,18,FALSE)</f>
        <v>9</v>
      </c>
    </row>
    <row r="280" spans="1:38" ht="28" x14ac:dyDescent="0.15">
      <c r="A280" s="3">
        <v>282</v>
      </c>
      <c r="B280" s="6">
        <v>2302241122</v>
      </c>
      <c r="C280" s="7">
        <v>23</v>
      </c>
      <c r="D280" s="7">
        <v>2</v>
      </c>
      <c r="E280" s="7">
        <v>2024</v>
      </c>
      <c r="F280" s="5">
        <v>45345</v>
      </c>
      <c r="G280" s="6" t="s">
        <v>15</v>
      </c>
      <c r="H280" s="17">
        <v>0.35175438596491226</v>
      </c>
      <c r="I280" s="3" t="str">
        <f>VLOOKUP(G280,'[1]Attributes(OUTDATED)'!$A$2:$C$19,2,FALSE)</f>
        <v>M</v>
      </c>
      <c r="J280" s="3" t="str">
        <f>VLOOKUP(G280,'[1]Attributes(OUTDATED)'!$A$2:$C$19,3,FALSE)</f>
        <v>J</v>
      </c>
      <c r="K280" s="3">
        <f>VLOOKUP(G280,'[1]Attributes(OUTDATED)'!$A$2:$H$19,8,FALSE)</f>
        <v>828</v>
      </c>
      <c r="L280" s="3" t="str">
        <f>J280&amp;I280</f>
        <v>JM</v>
      </c>
      <c r="M280" s="11">
        <v>45343</v>
      </c>
      <c r="N280" s="13">
        <v>32.5</v>
      </c>
      <c r="O280" s="13">
        <v>23.1</v>
      </c>
      <c r="P280" s="13">
        <v>14.3</v>
      </c>
      <c r="Q280" s="13">
        <f>Table24[[#This Row],[2_Temp_H]]-Table24[[#This Row],[2_Temp_L]]</f>
        <v>18.2</v>
      </c>
      <c r="R280" s="13">
        <v>28.3</v>
      </c>
      <c r="S280" s="13">
        <v>5.8</v>
      </c>
      <c r="T280" s="13">
        <v>1009.82</v>
      </c>
      <c r="U280" s="13">
        <v>1005.08</v>
      </c>
      <c r="V280" s="13">
        <v>0</v>
      </c>
      <c r="W280" s="13" t="s">
        <v>148</v>
      </c>
      <c r="X280" s="16" t="s">
        <v>171</v>
      </c>
      <c r="Y280" s="13" t="s">
        <v>137</v>
      </c>
      <c r="Z280" s="13" t="s">
        <v>143</v>
      </c>
      <c r="AA280" s="13" t="s">
        <v>145</v>
      </c>
      <c r="AB280" s="13" t="s">
        <v>137</v>
      </c>
      <c r="AC280" s="13">
        <f>VLOOKUP(Table24[[#This Row],[3_Elephant_ID]],'[1]Attributes(OUTDATED)'!$A$2:$N$19,12,FALSE)</f>
        <v>219</v>
      </c>
      <c r="AD280" s="13">
        <f>VLOOKUP(Table24[[#This Row],[3_Elephant_ID]],'[1]Attributes(OUTDATED)'!$A$2:$N$19,13,FALSE)</f>
        <v>0.32300000000000001</v>
      </c>
      <c r="AE280" s="13">
        <f>VLOOKUP(Table24[[#This Row],[3_Elephant_ID]],'[1]Attributes(OUTDATED)'!$A$2:$N$19,14,FALSE)</f>
        <v>0.32257531484312868</v>
      </c>
      <c r="AF280" s="13">
        <v>0</v>
      </c>
      <c r="AG280" s="13">
        <v>0</v>
      </c>
      <c r="AH280" s="13">
        <v>0</v>
      </c>
      <c r="AI280" s="13">
        <v>0</v>
      </c>
      <c r="AJ280" s="13">
        <f>VLOOKUP(Table24[[#This Row],[3_Elephant_ID]],'[1]Attributes(OUTDATED)'!$A$2:$P$19,16,FALSE)</f>
        <v>2</v>
      </c>
      <c r="AK280" s="13">
        <f>VLOOKUP(Table24[[#This Row],[3_Elephant_ID]],'[1]Attributes(OUTDATED)'!$A$2:$S$19,17,FALSE)</f>
        <v>1</v>
      </c>
      <c r="AL280" s="13">
        <f>VLOOKUP(Table24[[#This Row],[3_Elephant_ID]],'[1]Attributes(OUTDATED)'!$A$2:$S$19,18,FALSE)</f>
        <v>6</v>
      </c>
    </row>
    <row r="281" spans="1:38" ht="28" x14ac:dyDescent="0.15">
      <c r="A281" s="3">
        <v>281</v>
      </c>
      <c r="B281" s="6">
        <v>2502240804</v>
      </c>
      <c r="C281" s="7">
        <v>25</v>
      </c>
      <c r="D281" s="7">
        <v>2</v>
      </c>
      <c r="E281" s="7">
        <v>2024</v>
      </c>
      <c r="F281" s="5">
        <v>45347</v>
      </c>
      <c r="G281" s="6" t="s">
        <v>4</v>
      </c>
      <c r="H281" s="17">
        <v>0.34774011299435026</v>
      </c>
      <c r="I281" s="3" t="str">
        <f>VLOOKUP(G281,'[1]Attributes(OUTDATED)'!$A$2:$C$19,2,FALSE)</f>
        <v>M</v>
      </c>
      <c r="J281" s="3" t="str">
        <f>VLOOKUP(G281,'[1]Attributes(OUTDATED)'!$A$2:$C$19,3,FALSE)</f>
        <v>J</v>
      </c>
      <c r="K281" s="3">
        <f>VLOOKUP(G281,'[1]Attributes(OUTDATED)'!$A$2:$H$19,8,FALSE)</f>
        <v>1055</v>
      </c>
      <c r="L281" s="3" t="str">
        <f>J281&amp;I281</f>
        <v>JM</v>
      </c>
      <c r="M281" s="11">
        <v>45345</v>
      </c>
      <c r="N281" s="13">
        <v>38.6</v>
      </c>
      <c r="O281" s="13">
        <v>24.2</v>
      </c>
      <c r="P281" s="13">
        <v>9.8000000000000007</v>
      </c>
      <c r="Q281" s="13">
        <f>Table24[[#This Row],[2_Temp_H]]-Table24[[#This Row],[2_Temp_L]]</f>
        <v>28.8</v>
      </c>
      <c r="R281" s="13">
        <v>53.6</v>
      </c>
      <c r="S281" s="13">
        <v>7.1</v>
      </c>
      <c r="T281" s="13">
        <v>1008.81</v>
      </c>
      <c r="U281" s="13">
        <v>1000</v>
      </c>
      <c r="V281" s="13">
        <v>0</v>
      </c>
      <c r="W281" s="13" t="s">
        <v>148</v>
      </c>
      <c r="X281" s="16" t="s">
        <v>171</v>
      </c>
      <c r="Y281" s="13" t="s">
        <v>137</v>
      </c>
      <c r="Z281" s="13" t="s">
        <v>143</v>
      </c>
      <c r="AA281" s="13" t="s">
        <v>145</v>
      </c>
      <c r="AB281" s="13" t="s">
        <v>137</v>
      </c>
      <c r="AC281" s="13">
        <f>VLOOKUP(Table24[[#This Row],[3_Elephant_ID]],'[1]Attributes(OUTDATED)'!$A$2:$N$19,12,FALSE)</f>
        <v>181</v>
      </c>
      <c r="AD281" s="13">
        <f>VLOOKUP(Table24[[#This Row],[3_Elephant_ID]],'[1]Attributes(OUTDATED)'!$A$2:$N$19,13,FALSE)</f>
        <v>7.3999999999999996E-2</v>
      </c>
      <c r="AE281" s="13">
        <f>VLOOKUP(Table24[[#This Row],[3_Elephant_ID]],'[1]Attributes(OUTDATED)'!$A$2:$N$19,14,FALSE)</f>
        <v>7.3914663535330896E-2</v>
      </c>
      <c r="AF281" s="13">
        <v>5</v>
      </c>
      <c r="AG281" s="13">
        <v>0</v>
      </c>
      <c r="AH281" s="13">
        <v>0</v>
      </c>
      <c r="AI281" s="13">
        <v>0</v>
      </c>
      <c r="AJ281" s="13">
        <f>VLOOKUP(Table24[[#This Row],[3_Elephant_ID]],'[1]Attributes(OUTDATED)'!$A$2:$P$19,16,FALSE)</f>
        <v>1</v>
      </c>
      <c r="AK281" s="13">
        <f>VLOOKUP(Table24[[#This Row],[3_Elephant_ID]],'[1]Attributes(OUTDATED)'!$A$2:$S$19,17,FALSE)</f>
        <v>7</v>
      </c>
      <c r="AL281" s="13">
        <f>VLOOKUP(Table24[[#This Row],[3_Elephant_ID]],'[1]Attributes(OUTDATED)'!$A$2:$S$19,18,FALSE)</f>
        <v>9</v>
      </c>
    </row>
    <row r="282" spans="1:38" ht="28" x14ac:dyDescent="0.15">
      <c r="A282" s="3">
        <v>280</v>
      </c>
      <c r="B282" s="6">
        <v>2602241015</v>
      </c>
      <c r="C282" s="7">
        <v>26</v>
      </c>
      <c r="D282" s="7">
        <v>2</v>
      </c>
      <c r="E282" s="7">
        <v>2024</v>
      </c>
      <c r="F282" s="5">
        <v>45348</v>
      </c>
      <c r="G282" s="6" t="s">
        <v>12</v>
      </c>
      <c r="H282" s="17">
        <v>0.38588126159554725</v>
      </c>
      <c r="I282" s="3" t="str">
        <f>VLOOKUP(G282,'[1]Attributes(OUTDATED)'!$A$2:$C$19,2,FALSE)</f>
        <v>M</v>
      </c>
      <c r="J282" s="3" t="str">
        <f>VLOOKUP(G282,'[1]Attributes(OUTDATED)'!$A$2:$C$19,3,FALSE)</f>
        <v>A</v>
      </c>
      <c r="K282" s="3">
        <f>VLOOKUP(G282,'[1]Attributes(OUTDATED)'!$A$2:$H$19,8,FALSE)</f>
        <v>1509</v>
      </c>
      <c r="L282" s="3" t="str">
        <f>J282&amp;I282</f>
        <v>AM</v>
      </c>
      <c r="M282" s="11">
        <v>45346</v>
      </c>
      <c r="N282" s="13">
        <v>36.5</v>
      </c>
      <c r="O282" s="13">
        <v>27.7</v>
      </c>
      <c r="P282" s="13">
        <v>15.2</v>
      </c>
      <c r="Q282" s="13">
        <f>Table24[[#This Row],[2_Temp_H]]-Table24[[#This Row],[2_Temp_L]]</f>
        <v>21.3</v>
      </c>
      <c r="R282" s="13">
        <v>49.6</v>
      </c>
      <c r="S282" s="13">
        <v>14.5</v>
      </c>
      <c r="T282" s="13">
        <v>1008.81</v>
      </c>
      <c r="U282" s="13">
        <v>1002.03</v>
      </c>
      <c r="V282" s="13">
        <v>2.79</v>
      </c>
      <c r="W282" s="13" t="s">
        <v>148</v>
      </c>
      <c r="X282" s="16" t="s">
        <v>171</v>
      </c>
      <c r="Y282" s="13" t="s">
        <v>137</v>
      </c>
      <c r="Z282" s="13" t="s">
        <v>143</v>
      </c>
      <c r="AA282" s="13" t="s">
        <v>145</v>
      </c>
      <c r="AB282" s="13" t="s">
        <v>137</v>
      </c>
      <c r="AC282" s="13">
        <f>VLOOKUP(Table24[[#This Row],[3_Elephant_ID]],'[1]Attributes(OUTDATED)'!$A$2:$N$19,12,FALSE)</f>
        <v>450</v>
      </c>
      <c r="AD282" s="13">
        <f>VLOOKUP(Table24[[#This Row],[3_Elephant_ID]],'[1]Attributes(OUTDATED)'!$A$2:$N$19,13,FALSE)</f>
        <v>0.375</v>
      </c>
      <c r="AE282" s="13">
        <f>VLOOKUP(Table24[[#This Row],[3_Elephant_ID]],'[1]Attributes(OUTDATED)'!$A$2:$N$19,14,FALSE)</f>
        <v>0.37414375430996583</v>
      </c>
      <c r="AF282" s="13">
        <v>0</v>
      </c>
      <c r="AG282" s="13">
        <v>0</v>
      </c>
      <c r="AH282" s="13">
        <v>0</v>
      </c>
      <c r="AI282" s="13">
        <v>0</v>
      </c>
      <c r="AJ282" s="13">
        <f>VLOOKUP(Table24[[#This Row],[3_Elephant_ID]],'[1]Attributes(OUTDATED)'!$A$2:$P$19,16,FALSE)</f>
        <v>1</v>
      </c>
      <c r="AK282" s="13">
        <f>VLOOKUP(Table24[[#This Row],[3_Elephant_ID]],'[1]Attributes(OUTDATED)'!$A$2:$S$19,17,FALSE)</f>
        <v>48</v>
      </c>
      <c r="AL282" s="13">
        <f>VLOOKUP(Table24[[#This Row],[3_Elephant_ID]],'[1]Attributes(OUTDATED)'!$A$2:$S$19,18,FALSE)</f>
        <v>3</v>
      </c>
    </row>
    <row r="283" spans="1:38" ht="28" x14ac:dyDescent="0.15">
      <c r="A283" s="3">
        <v>279</v>
      </c>
      <c r="B283" s="6">
        <v>2802240948</v>
      </c>
      <c r="C283" s="7">
        <v>28</v>
      </c>
      <c r="D283" s="7">
        <v>2</v>
      </c>
      <c r="E283" s="7">
        <v>2024</v>
      </c>
      <c r="F283" s="5">
        <v>45350</v>
      </c>
      <c r="G283" s="6" t="s">
        <v>3</v>
      </c>
      <c r="H283" s="17">
        <v>0.33770114942528745</v>
      </c>
      <c r="I283" s="3" t="str">
        <f>VLOOKUP(G283,'[1]Attributes(OUTDATED)'!$A$2:$C$19,2,FALSE)</f>
        <v>M</v>
      </c>
      <c r="J283" s="3" t="str">
        <f>VLOOKUP(G283,'[1]Attributes(OUTDATED)'!$A$2:$C$19,3,FALSE)</f>
        <v>J</v>
      </c>
      <c r="K283" s="3">
        <f>VLOOKUP(G283,'[1]Attributes(OUTDATED)'!$A$2:$H$19,8,FALSE)</f>
        <v>1031</v>
      </c>
      <c r="L283" s="3" t="str">
        <f>J283&amp;I283</f>
        <v>JM</v>
      </c>
      <c r="M283" s="11">
        <v>45348</v>
      </c>
      <c r="N283" s="13">
        <v>23.5</v>
      </c>
      <c r="O283" s="13">
        <v>16</v>
      </c>
      <c r="P283" s="13">
        <v>8</v>
      </c>
      <c r="Q283" s="13">
        <f>Table24[[#This Row],[2_Temp_H]]-Table24[[#This Row],[2_Temp_L]]</f>
        <v>15.5</v>
      </c>
      <c r="R283" s="13">
        <v>43.1</v>
      </c>
      <c r="S283" s="13">
        <v>5.4</v>
      </c>
      <c r="T283" s="13">
        <v>1016.93</v>
      </c>
      <c r="U283" s="13">
        <v>1013.88</v>
      </c>
      <c r="V283" s="13">
        <v>0</v>
      </c>
      <c r="W283" s="13" t="s">
        <v>148</v>
      </c>
      <c r="X283" s="16" t="s">
        <v>171</v>
      </c>
      <c r="Y283" s="13" t="s">
        <v>137</v>
      </c>
      <c r="Z283" s="13" t="s">
        <v>143</v>
      </c>
      <c r="AA283" s="13" t="s">
        <v>145</v>
      </c>
      <c r="AB283" s="13" t="s">
        <v>137</v>
      </c>
      <c r="AC283" s="13">
        <f>VLOOKUP(Table24[[#This Row],[3_Elephant_ID]],'[1]Attributes(OUTDATED)'!$A$2:$N$19,12,FALSE)</f>
        <v>234</v>
      </c>
      <c r="AD283" s="13">
        <f>VLOOKUP(Table24[[#This Row],[3_Elephant_ID]],'[1]Attributes(OUTDATED)'!$A$2:$N$19,13,FALSE)</f>
        <v>0.16500000000000001</v>
      </c>
      <c r="AE283" s="13">
        <f>VLOOKUP(Table24[[#This Row],[3_Elephant_ID]],'[1]Attributes(OUTDATED)'!$A$2:$N$19,14,FALSE)</f>
        <v>0.16420161303383449</v>
      </c>
      <c r="AF283" s="13">
        <v>0</v>
      </c>
      <c r="AG283" s="13">
        <v>0</v>
      </c>
      <c r="AH283" s="13">
        <v>0</v>
      </c>
      <c r="AI283" s="13">
        <v>0</v>
      </c>
      <c r="AJ283" s="13">
        <f>VLOOKUP(Table24[[#This Row],[3_Elephant_ID]],'[1]Attributes(OUTDATED)'!$A$2:$P$19,16,FALSE)</f>
        <v>1</v>
      </c>
      <c r="AK283" s="13">
        <f>VLOOKUP(Table24[[#This Row],[3_Elephant_ID]],'[1]Attributes(OUTDATED)'!$A$2:$S$19,17,FALSE)</f>
        <v>9</v>
      </c>
      <c r="AL283" s="13">
        <f>VLOOKUP(Table24[[#This Row],[3_Elephant_ID]],'[1]Attributes(OUTDATED)'!$A$2:$S$19,18,FALSE)</f>
        <v>9</v>
      </c>
    </row>
    <row r="284" spans="1:38" ht="28" x14ac:dyDescent="0.15">
      <c r="A284" s="3">
        <v>275</v>
      </c>
      <c r="B284" s="6">
        <v>2802240815</v>
      </c>
      <c r="C284" s="7">
        <v>28</v>
      </c>
      <c r="D284" s="7">
        <v>2</v>
      </c>
      <c r="E284" s="7">
        <v>2024</v>
      </c>
      <c r="F284" s="5">
        <v>45350</v>
      </c>
      <c r="G284" s="6" t="s">
        <v>5</v>
      </c>
      <c r="H284" s="17">
        <v>0.26147601476014765</v>
      </c>
      <c r="I284" s="3" t="str">
        <f>VLOOKUP(G284,'[1]Attributes(OUTDATED)'!$A$2:$C$19,2,FALSE)</f>
        <v>M</v>
      </c>
      <c r="J284" s="3" t="str">
        <f>VLOOKUP(G284,'[1]Attributes(OUTDATED)'!$A$2:$C$19,3,FALSE)</f>
        <v>J</v>
      </c>
      <c r="K284" s="3">
        <f>VLOOKUP(G284,'[1]Attributes(OUTDATED)'!$A$2:$H$19,8,FALSE)</f>
        <v>940</v>
      </c>
      <c r="L284" s="3" t="str">
        <f>J284&amp;I284</f>
        <v>JM</v>
      </c>
      <c r="M284" s="11">
        <v>45348</v>
      </c>
      <c r="N284" s="13">
        <v>23.5</v>
      </c>
      <c r="O284" s="13">
        <v>16</v>
      </c>
      <c r="P284" s="13">
        <v>8</v>
      </c>
      <c r="Q284" s="13">
        <f>Table24[[#This Row],[2_Temp_H]]-Table24[[#This Row],[2_Temp_L]]</f>
        <v>15.5</v>
      </c>
      <c r="R284" s="13">
        <v>43.1</v>
      </c>
      <c r="S284" s="13">
        <v>5.4</v>
      </c>
      <c r="T284" s="13">
        <v>1016.93</v>
      </c>
      <c r="U284" s="13">
        <v>1013.88</v>
      </c>
      <c r="V284" s="13">
        <v>0</v>
      </c>
      <c r="W284" s="13" t="s">
        <v>148</v>
      </c>
      <c r="X284" s="16" t="s">
        <v>171</v>
      </c>
      <c r="Y284" s="13" t="s">
        <v>137</v>
      </c>
      <c r="Z284" s="13" t="s">
        <v>143</v>
      </c>
      <c r="AA284" s="13" t="s">
        <v>145</v>
      </c>
      <c r="AB284" s="13" t="s">
        <v>137</v>
      </c>
      <c r="AC284" s="13">
        <f>VLOOKUP(Table24[[#This Row],[3_Elephant_ID]],'[1]Attributes(OUTDATED)'!$A$2:$N$19,12,FALSE)</f>
        <v>361</v>
      </c>
      <c r="AD284" s="13">
        <f>VLOOKUP(Table24[[#This Row],[3_Elephant_ID]],'[1]Attributes(OUTDATED)'!$A$2:$N$19,13,FALSE)</f>
        <v>0.40600000000000003</v>
      </c>
      <c r="AE284" s="13">
        <f>VLOOKUP(Table24[[#This Row],[3_Elephant_ID]],'[1]Attributes(OUTDATED)'!$A$2:$N$19,14,FALSE)</f>
        <v>0.40590323220736402</v>
      </c>
      <c r="AF284" s="13">
        <v>0</v>
      </c>
      <c r="AG284" s="13">
        <v>0</v>
      </c>
      <c r="AH284" s="13">
        <v>0</v>
      </c>
      <c r="AI284" s="13">
        <v>0</v>
      </c>
      <c r="AJ284" s="13">
        <f>VLOOKUP(Table24[[#This Row],[3_Elephant_ID]],'[1]Attributes(OUTDATED)'!$A$2:$P$19,16,FALSE)</f>
        <v>1</v>
      </c>
      <c r="AK284" s="13">
        <f>VLOOKUP(Table24[[#This Row],[3_Elephant_ID]],'[1]Attributes(OUTDATED)'!$A$2:$S$19,17,FALSE)</f>
        <v>2</v>
      </c>
      <c r="AL284" s="13">
        <f>VLOOKUP(Table24[[#This Row],[3_Elephant_ID]],'[1]Attributes(OUTDATED)'!$A$2:$S$19,18,FALSE)</f>
        <v>7</v>
      </c>
    </row>
    <row r="285" spans="1:38" ht="28" x14ac:dyDescent="0.15">
      <c r="A285" s="3">
        <v>276</v>
      </c>
      <c r="B285" s="6">
        <v>2802240852</v>
      </c>
      <c r="C285" s="7">
        <v>28</v>
      </c>
      <c r="D285" s="7">
        <v>2</v>
      </c>
      <c r="E285" s="7">
        <v>2024</v>
      </c>
      <c r="F285" s="5">
        <v>45350</v>
      </c>
      <c r="G285" s="6" t="s">
        <v>11</v>
      </c>
      <c r="H285" s="17">
        <v>0.24000000000000007</v>
      </c>
      <c r="I285" s="3" t="str">
        <f>VLOOKUP(G285,'[1]Attributes(OUTDATED)'!$A$2:$C$19,2,FALSE)</f>
        <v>M</v>
      </c>
      <c r="J285" s="3" t="str">
        <f>VLOOKUP(G285,'[1]Attributes(OUTDATED)'!$A$2:$C$19,3,FALSE)</f>
        <v>A</v>
      </c>
      <c r="K285" s="3">
        <f>VLOOKUP(G285,'[1]Attributes(OUTDATED)'!$A$2:$H$19,8,FALSE)</f>
        <v>1223</v>
      </c>
      <c r="L285" s="3" t="str">
        <f>J285&amp;I285</f>
        <v>AM</v>
      </c>
      <c r="M285" s="11">
        <v>45348</v>
      </c>
      <c r="N285" s="13">
        <v>23.5</v>
      </c>
      <c r="O285" s="13">
        <v>16</v>
      </c>
      <c r="P285" s="13">
        <v>8</v>
      </c>
      <c r="Q285" s="13">
        <f>Table24[[#This Row],[2_Temp_H]]-Table24[[#This Row],[2_Temp_L]]</f>
        <v>15.5</v>
      </c>
      <c r="R285" s="13">
        <v>43.1</v>
      </c>
      <c r="S285" s="13">
        <v>5.4</v>
      </c>
      <c r="T285" s="13">
        <v>1016.93</v>
      </c>
      <c r="U285" s="13">
        <v>1013.88</v>
      </c>
      <c r="V285" s="13">
        <v>0</v>
      </c>
      <c r="W285" s="13" t="s">
        <v>148</v>
      </c>
      <c r="X285" s="16" t="s">
        <v>171</v>
      </c>
      <c r="Y285" s="13" t="s">
        <v>137</v>
      </c>
      <c r="Z285" s="13" t="s">
        <v>143</v>
      </c>
      <c r="AA285" s="13" t="s">
        <v>145</v>
      </c>
      <c r="AB285" s="13" t="s">
        <v>137</v>
      </c>
      <c r="AC285" s="13">
        <f>VLOOKUP(Table24[[#This Row],[3_Elephant_ID]],'[1]Attributes(OUTDATED)'!$A$2:$N$19,12,FALSE)</f>
        <v>404</v>
      </c>
      <c r="AD285" s="13">
        <f>VLOOKUP(Table24[[#This Row],[3_Elephant_ID]],'[1]Attributes(OUTDATED)'!$A$2:$N$19,13,FALSE)</f>
        <v>0.91700000000000004</v>
      </c>
      <c r="AE285" s="13">
        <f>VLOOKUP(Table24[[#This Row],[3_Elephant_ID]],'[1]Attributes(OUTDATED)'!$A$2:$N$19,14,FALSE)</f>
        <v>0.91664628583929353</v>
      </c>
      <c r="AF285" s="13">
        <v>0</v>
      </c>
      <c r="AG285" s="13">
        <v>0</v>
      </c>
      <c r="AH285" s="13">
        <v>0</v>
      </c>
      <c r="AI285" s="13">
        <v>0</v>
      </c>
      <c r="AJ285" s="13">
        <f>VLOOKUP(Table24[[#This Row],[3_Elephant_ID]],'[1]Attributes(OUTDATED)'!$A$2:$P$19,16,FALSE)</f>
        <v>1</v>
      </c>
      <c r="AK285" s="13">
        <f>VLOOKUP(Table24[[#This Row],[3_Elephant_ID]],'[1]Attributes(OUTDATED)'!$A$2:$S$19,17,FALSE)</f>
        <v>14</v>
      </c>
      <c r="AL285" s="13">
        <f>VLOOKUP(Table24[[#This Row],[3_Elephant_ID]],'[1]Attributes(OUTDATED)'!$A$2:$S$19,18,FALSE)</f>
        <v>17</v>
      </c>
    </row>
    <row r="286" spans="1:38" ht="28" x14ac:dyDescent="0.15">
      <c r="A286" s="3">
        <v>272</v>
      </c>
      <c r="B286" s="6">
        <v>2802241448</v>
      </c>
      <c r="C286" s="7">
        <v>28</v>
      </c>
      <c r="D286" s="7">
        <v>2</v>
      </c>
      <c r="E286" s="7">
        <v>2024</v>
      </c>
      <c r="F286" s="5">
        <v>45350</v>
      </c>
      <c r="G286" s="6" t="s">
        <v>8</v>
      </c>
      <c r="H286" s="17">
        <v>0.31472324723247236</v>
      </c>
      <c r="I286" s="3" t="str">
        <f>VLOOKUP(G286,'[1]Attributes(OUTDATED)'!$A$2:$C$19,2,FALSE)</f>
        <v>F</v>
      </c>
      <c r="J286" s="3" t="str">
        <f>VLOOKUP(G286,'[1]Attributes(OUTDATED)'!$A$2:$C$19,3,FALSE)</f>
        <v>A</v>
      </c>
      <c r="K286" s="3">
        <f>VLOOKUP(G286,'[1]Attributes(OUTDATED)'!$A$2:$H$19,8,FALSE)</f>
        <v>1096</v>
      </c>
      <c r="L286" s="3" t="str">
        <f>J286&amp;I286</f>
        <v>AF</v>
      </c>
      <c r="M286" s="11">
        <v>45348</v>
      </c>
      <c r="N286" s="13">
        <v>23.5</v>
      </c>
      <c r="O286" s="13">
        <v>16</v>
      </c>
      <c r="P286" s="13">
        <v>8</v>
      </c>
      <c r="Q286" s="13">
        <f>Table24[[#This Row],[2_Temp_H]]-Table24[[#This Row],[2_Temp_L]]</f>
        <v>15.5</v>
      </c>
      <c r="R286" s="13">
        <v>43.1</v>
      </c>
      <c r="S286" s="13">
        <v>5.4</v>
      </c>
      <c r="T286" s="13">
        <v>1016.93</v>
      </c>
      <c r="U286" s="13">
        <v>1013.88</v>
      </c>
      <c r="V286" s="13">
        <v>0</v>
      </c>
      <c r="W286" s="13" t="s">
        <v>148</v>
      </c>
      <c r="X286" s="16" t="s">
        <v>171</v>
      </c>
      <c r="Y286" s="13" t="s">
        <v>137</v>
      </c>
      <c r="Z286" s="13" t="s">
        <v>143</v>
      </c>
      <c r="AA286" s="13" t="s">
        <v>145</v>
      </c>
      <c r="AB286" s="13" t="s">
        <v>137</v>
      </c>
      <c r="AC286" s="13">
        <f>VLOOKUP(Table24[[#This Row],[3_Elephant_ID]],'[1]Attributes(OUTDATED)'!$A$2:$N$19,12,FALSE)</f>
        <v>346</v>
      </c>
      <c r="AD286" s="13">
        <f>VLOOKUP(Table24[[#This Row],[3_Elephant_ID]],'[1]Attributes(OUTDATED)'!$A$2:$N$19,13,FALSE)</f>
        <v>0.28999999999999998</v>
      </c>
      <c r="AE286" s="13">
        <f>VLOOKUP(Table24[[#This Row],[3_Elephant_ID]],'[1]Attributes(OUTDATED)'!$A$2:$N$19,14,FALSE)</f>
        <v>0.28929989906834258</v>
      </c>
      <c r="AF286" s="13">
        <v>0</v>
      </c>
      <c r="AG286" s="13">
        <v>0</v>
      </c>
      <c r="AH286" s="13">
        <v>0</v>
      </c>
      <c r="AI286" s="13">
        <v>0</v>
      </c>
      <c r="AJ286" s="13">
        <f>VLOOKUP(Table24[[#This Row],[3_Elephant_ID]],'[1]Attributes(OUTDATED)'!$A$2:$P$19,16,FALSE)</f>
        <v>1</v>
      </c>
      <c r="AK286" s="13">
        <f>VLOOKUP(Table24[[#This Row],[3_Elephant_ID]],'[1]Attributes(OUTDATED)'!$A$2:$S$19,17,FALSE)</f>
        <v>11</v>
      </c>
      <c r="AL286" s="13">
        <f>VLOOKUP(Table24[[#This Row],[3_Elephant_ID]],'[1]Attributes(OUTDATED)'!$A$2:$S$19,18,FALSE)</f>
        <v>7</v>
      </c>
    </row>
    <row r="287" spans="1:38" ht="28" x14ac:dyDescent="0.15">
      <c r="A287" s="3">
        <v>278</v>
      </c>
      <c r="B287" s="6">
        <v>2802241042</v>
      </c>
      <c r="C287" s="7">
        <v>28</v>
      </c>
      <c r="D287" s="7">
        <v>2</v>
      </c>
      <c r="E287" s="7">
        <v>2024</v>
      </c>
      <c r="F287" s="5">
        <v>45350</v>
      </c>
      <c r="G287" s="6" t="s">
        <v>12</v>
      </c>
      <c r="H287" s="17">
        <v>0.32066037735849057</v>
      </c>
      <c r="I287" s="3" t="str">
        <f>VLOOKUP(G287,'[1]Attributes(OUTDATED)'!$A$2:$C$19,2,FALSE)</f>
        <v>M</v>
      </c>
      <c r="J287" s="3" t="str">
        <f>VLOOKUP(G287,'[1]Attributes(OUTDATED)'!$A$2:$C$19,3,FALSE)</f>
        <v>A</v>
      </c>
      <c r="K287" s="3">
        <f>VLOOKUP(G287,'[1]Attributes(OUTDATED)'!$A$2:$H$19,8,FALSE)</f>
        <v>1509</v>
      </c>
      <c r="L287" s="3" t="str">
        <f>J287&amp;I287</f>
        <v>AM</v>
      </c>
      <c r="M287" s="11">
        <v>45348</v>
      </c>
      <c r="N287" s="13">
        <v>23.5</v>
      </c>
      <c r="O287" s="13">
        <v>16</v>
      </c>
      <c r="P287" s="13">
        <v>8</v>
      </c>
      <c r="Q287" s="13">
        <f>Table24[[#This Row],[2_Temp_H]]-Table24[[#This Row],[2_Temp_L]]</f>
        <v>15.5</v>
      </c>
      <c r="R287" s="13">
        <v>43.1</v>
      </c>
      <c r="S287" s="13">
        <v>5.4</v>
      </c>
      <c r="T287" s="13">
        <v>1016.93</v>
      </c>
      <c r="U287" s="13">
        <v>1013.88</v>
      </c>
      <c r="V287" s="13">
        <v>0</v>
      </c>
      <c r="W287" s="13" t="s">
        <v>148</v>
      </c>
      <c r="X287" s="16" t="s">
        <v>171</v>
      </c>
      <c r="Y287" s="13" t="s">
        <v>137</v>
      </c>
      <c r="Z287" s="13" t="s">
        <v>143</v>
      </c>
      <c r="AA287" s="13" t="s">
        <v>145</v>
      </c>
      <c r="AB287" s="13" t="s">
        <v>137</v>
      </c>
      <c r="AC287" s="13">
        <f>VLOOKUP(Table24[[#This Row],[3_Elephant_ID]],'[1]Attributes(OUTDATED)'!$A$2:$N$19,12,FALSE)</f>
        <v>450</v>
      </c>
      <c r="AD287" s="13">
        <f>VLOOKUP(Table24[[#This Row],[3_Elephant_ID]],'[1]Attributes(OUTDATED)'!$A$2:$N$19,13,FALSE)</f>
        <v>0.375</v>
      </c>
      <c r="AE287" s="13">
        <f>VLOOKUP(Table24[[#This Row],[3_Elephant_ID]],'[1]Attributes(OUTDATED)'!$A$2:$N$19,14,FALSE)</f>
        <v>0.37414375430996583</v>
      </c>
      <c r="AF287" s="13">
        <v>0</v>
      </c>
      <c r="AG287" s="13">
        <v>0</v>
      </c>
      <c r="AH287" s="13">
        <v>0</v>
      </c>
      <c r="AI287" s="13">
        <v>0</v>
      </c>
      <c r="AJ287" s="13">
        <f>VLOOKUP(Table24[[#This Row],[3_Elephant_ID]],'[1]Attributes(OUTDATED)'!$A$2:$P$19,16,FALSE)</f>
        <v>1</v>
      </c>
      <c r="AK287" s="13">
        <f>VLOOKUP(Table24[[#This Row],[3_Elephant_ID]],'[1]Attributes(OUTDATED)'!$A$2:$S$19,17,FALSE)</f>
        <v>48</v>
      </c>
      <c r="AL287" s="13">
        <f>VLOOKUP(Table24[[#This Row],[3_Elephant_ID]],'[1]Attributes(OUTDATED)'!$A$2:$S$19,18,FALSE)</f>
        <v>3</v>
      </c>
    </row>
    <row r="288" spans="1:38" ht="28" x14ac:dyDescent="0.15">
      <c r="A288" s="3">
        <v>277</v>
      </c>
      <c r="B288" s="6">
        <v>2802240905</v>
      </c>
      <c r="C288" s="7">
        <v>28</v>
      </c>
      <c r="D288" s="7">
        <v>2</v>
      </c>
      <c r="E288" s="7">
        <v>2024</v>
      </c>
      <c r="F288" s="5">
        <v>45350</v>
      </c>
      <c r="G288" s="6" t="s">
        <v>2</v>
      </c>
      <c r="H288" s="17">
        <v>0.28721495327102803</v>
      </c>
      <c r="I288" s="3" t="str">
        <f>VLOOKUP(G288,'[1]Attributes(OUTDATED)'!$A$2:$C$19,2,FALSE)</f>
        <v>F</v>
      </c>
      <c r="J288" s="3" t="str">
        <f>VLOOKUP(G288,'[1]Attributes(OUTDATED)'!$A$2:$C$19,3,FALSE)</f>
        <v>A</v>
      </c>
      <c r="K288" s="3">
        <f>VLOOKUP(G288,'[1]Attributes(OUTDATED)'!$A$2:$H$19,8,FALSE)</f>
        <v>892</v>
      </c>
      <c r="L288" s="3" t="str">
        <f>J288&amp;I288</f>
        <v>AF</v>
      </c>
      <c r="M288" s="11">
        <v>45348</v>
      </c>
      <c r="N288" s="13">
        <v>23.5</v>
      </c>
      <c r="O288" s="13">
        <v>16</v>
      </c>
      <c r="P288" s="13">
        <v>8</v>
      </c>
      <c r="Q288" s="13">
        <f>Table24[[#This Row],[2_Temp_H]]-Table24[[#This Row],[2_Temp_L]]</f>
        <v>15.5</v>
      </c>
      <c r="R288" s="13">
        <v>43.1</v>
      </c>
      <c r="S288" s="13">
        <v>5.4</v>
      </c>
      <c r="T288" s="13">
        <v>1016.93</v>
      </c>
      <c r="U288" s="13">
        <v>1013.88</v>
      </c>
      <c r="V288" s="13">
        <v>0</v>
      </c>
      <c r="W288" s="13" t="s">
        <v>148</v>
      </c>
      <c r="X288" s="16" t="s">
        <v>171</v>
      </c>
      <c r="Y288" s="13" t="s">
        <v>137</v>
      </c>
      <c r="Z288" s="13" t="s">
        <v>143</v>
      </c>
      <c r="AA288" s="13" t="s">
        <v>145</v>
      </c>
      <c r="AB288" s="13" t="s">
        <v>137</v>
      </c>
      <c r="AC288" s="13">
        <f>VLOOKUP(Table24[[#This Row],[3_Elephant_ID]],'[1]Attributes(OUTDATED)'!$A$2:$N$19,12,FALSE)</f>
        <v>378</v>
      </c>
      <c r="AD288" s="13">
        <f>VLOOKUP(Table24[[#This Row],[3_Elephant_ID]],'[1]Attributes(OUTDATED)'!$A$2:$N$19,13,FALSE)</f>
        <v>8.6999999999999994E-2</v>
      </c>
      <c r="AE288" s="13">
        <f>VLOOKUP(Table24[[#This Row],[3_Elephant_ID]],'[1]Attributes(OUTDATED)'!$A$2:$N$19,14,FALSE)</f>
        <v>8.6599138783086713E-2</v>
      </c>
      <c r="AF288" s="13">
        <v>0</v>
      </c>
      <c r="AG288" s="13">
        <v>0</v>
      </c>
      <c r="AH288" s="13">
        <v>0</v>
      </c>
      <c r="AI288" s="13">
        <v>0</v>
      </c>
      <c r="AJ288" s="13">
        <f>VLOOKUP(Table24[[#This Row],[3_Elephant_ID]],'[1]Attributes(OUTDATED)'!$A$2:$P$19,16,FALSE)</f>
        <v>1</v>
      </c>
      <c r="AK288" s="13">
        <f>VLOOKUP(Table24[[#This Row],[3_Elephant_ID]],'[1]Attributes(OUTDATED)'!$A$2:$S$19,17,FALSE)</f>
        <v>4</v>
      </c>
      <c r="AL288" s="13">
        <f>VLOOKUP(Table24[[#This Row],[3_Elephant_ID]],'[1]Attributes(OUTDATED)'!$A$2:$S$19,18,FALSE)</f>
        <v>20</v>
      </c>
    </row>
    <row r="289" spans="1:38" ht="28" x14ac:dyDescent="0.15">
      <c r="A289" s="3">
        <v>273</v>
      </c>
      <c r="B289" s="6">
        <v>2802241030</v>
      </c>
      <c r="C289" s="7">
        <v>28</v>
      </c>
      <c r="D289" s="7">
        <v>2</v>
      </c>
      <c r="E289" s="7">
        <v>2024</v>
      </c>
      <c r="F289" s="5">
        <v>45350</v>
      </c>
      <c r="G289" s="6" t="s">
        <v>16</v>
      </c>
      <c r="H289" s="17">
        <v>0.32169322709163345</v>
      </c>
      <c r="I289" s="3" t="str">
        <f>VLOOKUP(G289,'[1]Attributes(OUTDATED)'!$A$2:$C$19,2,FALSE)</f>
        <v>F</v>
      </c>
      <c r="J289" s="3" t="str">
        <f>VLOOKUP(G289,'[1]Attributes(OUTDATED)'!$A$2:$C$19,3,FALSE)</f>
        <v>A</v>
      </c>
      <c r="K289" s="3">
        <f>VLOOKUP(G289,'[1]Attributes(OUTDATED)'!$A$2:$H$19,8,FALSE)</f>
        <v>1346</v>
      </c>
      <c r="L289" s="3" t="str">
        <f>J289&amp;I289</f>
        <v>AF</v>
      </c>
      <c r="M289" s="11">
        <v>45348</v>
      </c>
      <c r="N289" s="13">
        <v>23.5</v>
      </c>
      <c r="O289" s="13">
        <v>16</v>
      </c>
      <c r="P289" s="13">
        <v>8</v>
      </c>
      <c r="Q289" s="13">
        <f>Table24[[#This Row],[2_Temp_H]]-Table24[[#This Row],[2_Temp_L]]</f>
        <v>15.5</v>
      </c>
      <c r="R289" s="13">
        <v>43.1</v>
      </c>
      <c r="S289" s="13">
        <v>5.4</v>
      </c>
      <c r="T289" s="13">
        <v>1016.93</v>
      </c>
      <c r="U289" s="13">
        <v>1013.88</v>
      </c>
      <c r="V289" s="13">
        <v>0</v>
      </c>
      <c r="W289" s="13" t="s">
        <v>148</v>
      </c>
      <c r="X289" s="16" t="s">
        <v>171</v>
      </c>
      <c r="Y289" s="13" t="s">
        <v>137</v>
      </c>
      <c r="Z289" s="13" t="s">
        <v>143</v>
      </c>
      <c r="AA289" s="13" t="s">
        <v>145</v>
      </c>
      <c r="AB289" s="13" t="s">
        <v>137</v>
      </c>
      <c r="AC289" s="13">
        <f>VLOOKUP(Table24[[#This Row],[3_Elephant_ID]],'[1]Attributes(OUTDATED)'!$A$2:$N$19,12,FALSE)</f>
        <v>474</v>
      </c>
      <c r="AD289" s="13">
        <f>VLOOKUP(Table24[[#This Row],[3_Elephant_ID]],'[1]Attributes(OUTDATED)'!$A$2:$N$19,13,FALSE)</f>
        <v>0.121</v>
      </c>
      <c r="AE289" s="13">
        <f>VLOOKUP(Table24[[#This Row],[3_Elephant_ID]],'[1]Attributes(OUTDATED)'!$A$2:$N$19,14,FALSE)</f>
        <v>0.1206993463154281</v>
      </c>
      <c r="AF289" s="13">
        <v>0</v>
      </c>
      <c r="AG289" s="13">
        <v>0</v>
      </c>
      <c r="AH289" s="13">
        <v>0</v>
      </c>
      <c r="AI289" s="13">
        <v>0</v>
      </c>
      <c r="AJ289" s="13">
        <f>VLOOKUP(Table24[[#This Row],[3_Elephant_ID]],'[1]Attributes(OUTDATED)'!$A$2:$P$19,16,FALSE)</f>
        <v>1</v>
      </c>
      <c r="AK289" s="13">
        <f>VLOOKUP(Table24[[#This Row],[3_Elephant_ID]],'[1]Attributes(OUTDATED)'!$A$2:$S$19,17,FALSE)</f>
        <v>16</v>
      </c>
      <c r="AL289" s="13">
        <f>VLOOKUP(Table24[[#This Row],[3_Elephant_ID]],'[1]Attributes(OUTDATED)'!$A$2:$S$19,18,FALSE)</f>
        <v>1</v>
      </c>
    </row>
    <row r="290" spans="1:38" ht="28" x14ac:dyDescent="0.15">
      <c r="A290" s="3">
        <v>274</v>
      </c>
      <c r="B290" s="6">
        <v>2802240822</v>
      </c>
      <c r="C290" s="7">
        <v>28</v>
      </c>
      <c r="D290" s="7">
        <v>2</v>
      </c>
      <c r="E290" s="7">
        <v>2024</v>
      </c>
      <c r="F290" s="5">
        <v>45350</v>
      </c>
      <c r="G290" s="6" t="s">
        <v>16</v>
      </c>
      <c r="H290" s="17">
        <v>0.28897623400365635</v>
      </c>
      <c r="I290" s="3" t="str">
        <f>VLOOKUP(G290,'[1]Attributes(OUTDATED)'!$A$2:$C$19,2,FALSE)</f>
        <v>F</v>
      </c>
      <c r="J290" s="3" t="str">
        <f>VLOOKUP(G290,'[1]Attributes(OUTDATED)'!$A$2:$C$19,3,FALSE)</f>
        <v>A</v>
      </c>
      <c r="K290" s="3">
        <f>VLOOKUP(G290,'[1]Attributes(OUTDATED)'!$A$2:$H$19,8,FALSE)</f>
        <v>1346</v>
      </c>
      <c r="L290" s="3" t="str">
        <f>J290&amp;I290</f>
        <v>AF</v>
      </c>
      <c r="M290" s="11">
        <v>45348</v>
      </c>
      <c r="N290" s="13">
        <v>23.5</v>
      </c>
      <c r="O290" s="13">
        <v>16</v>
      </c>
      <c r="P290" s="13">
        <v>8</v>
      </c>
      <c r="Q290" s="13">
        <f>Table24[[#This Row],[2_Temp_H]]-Table24[[#This Row],[2_Temp_L]]</f>
        <v>15.5</v>
      </c>
      <c r="R290" s="13">
        <v>43.1</v>
      </c>
      <c r="S290" s="13">
        <v>5.4</v>
      </c>
      <c r="T290" s="13">
        <v>1016.93</v>
      </c>
      <c r="U290" s="13">
        <v>1013.88</v>
      </c>
      <c r="V290" s="13">
        <v>0</v>
      </c>
      <c r="W290" s="13" t="s">
        <v>148</v>
      </c>
      <c r="X290" s="16" t="s">
        <v>171</v>
      </c>
      <c r="Y290" s="13" t="s">
        <v>137</v>
      </c>
      <c r="Z290" s="13" t="s">
        <v>143</v>
      </c>
      <c r="AA290" s="13" t="s">
        <v>145</v>
      </c>
      <c r="AB290" s="13" t="s">
        <v>137</v>
      </c>
      <c r="AC290" s="13">
        <f>VLOOKUP(Table24[[#This Row],[3_Elephant_ID]],'[1]Attributes(OUTDATED)'!$A$2:$N$19,12,FALSE)</f>
        <v>474</v>
      </c>
      <c r="AD290" s="13">
        <f>VLOOKUP(Table24[[#This Row],[3_Elephant_ID]],'[1]Attributes(OUTDATED)'!$A$2:$N$19,13,FALSE)</f>
        <v>0.121</v>
      </c>
      <c r="AE290" s="13">
        <f>VLOOKUP(Table24[[#This Row],[3_Elephant_ID]],'[1]Attributes(OUTDATED)'!$A$2:$N$19,14,FALSE)</f>
        <v>0.1206993463154281</v>
      </c>
      <c r="AF290" s="13">
        <v>0</v>
      </c>
      <c r="AG290" s="13">
        <v>0</v>
      </c>
      <c r="AH290" s="13">
        <v>0</v>
      </c>
      <c r="AI290" s="13">
        <v>0</v>
      </c>
      <c r="AJ290" s="13">
        <f>VLOOKUP(Table24[[#This Row],[3_Elephant_ID]],'[1]Attributes(OUTDATED)'!$A$2:$P$19,16,FALSE)</f>
        <v>1</v>
      </c>
      <c r="AK290" s="13">
        <f>VLOOKUP(Table24[[#This Row],[3_Elephant_ID]],'[1]Attributes(OUTDATED)'!$A$2:$S$19,17,FALSE)</f>
        <v>16</v>
      </c>
      <c r="AL290" s="13">
        <f>VLOOKUP(Table24[[#This Row],[3_Elephant_ID]],'[1]Attributes(OUTDATED)'!$A$2:$S$19,18,FALSE)</f>
        <v>1</v>
      </c>
    </row>
    <row r="291" spans="1:38" ht="28" x14ac:dyDescent="0.15">
      <c r="A291" s="3">
        <v>269</v>
      </c>
      <c r="B291" s="6" t="s">
        <v>106</v>
      </c>
      <c r="C291" s="7">
        <v>1</v>
      </c>
      <c r="D291" s="7">
        <v>3</v>
      </c>
      <c r="E291" s="7">
        <v>2024</v>
      </c>
      <c r="F291" s="5">
        <v>45352</v>
      </c>
      <c r="G291" s="6" t="s">
        <v>17</v>
      </c>
      <c r="H291" s="17">
        <v>0.23582061068702287</v>
      </c>
      <c r="I291" s="3" t="str">
        <f>VLOOKUP(G291,'[1]Attributes(OUTDATED)'!$A$2:$C$19,2,FALSE)</f>
        <v>M</v>
      </c>
      <c r="J291" s="3" t="str">
        <f>VLOOKUP(G291,'[1]Attributes(OUTDATED)'!$A$2:$C$19,3,FALSE)</f>
        <v>J</v>
      </c>
      <c r="K291" s="3">
        <f>VLOOKUP(G291,'[1]Attributes(OUTDATED)'!$A$2:$H$19,8,FALSE)</f>
        <v>699</v>
      </c>
      <c r="L291" s="3" t="str">
        <f>J291&amp;I291</f>
        <v>JM</v>
      </c>
      <c r="M291" s="11">
        <v>45350</v>
      </c>
      <c r="N291" s="13">
        <v>32.6</v>
      </c>
      <c r="O291" s="13">
        <v>18.899999999999999</v>
      </c>
      <c r="P291" s="13">
        <v>6.2</v>
      </c>
      <c r="Q291" s="13">
        <f>Table24[[#This Row],[2_Temp_H]]-Table24[[#This Row],[2_Temp_L]]</f>
        <v>26.400000000000002</v>
      </c>
      <c r="R291" s="13">
        <v>23.3</v>
      </c>
      <c r="S291" s="13">
        <v>4</v>
      </c>
      <c r="T291" s="13">
        <v>1015.92</v>
      </c>
      <c r="U291" s="13">
        <v>1009.82</v>
      </c>
      <c r="V291" s="13">
        <v>0</v>
      </c>
      <c r="W291" s="13" t="s">
        <v>148</v>
      </c>
      <c r="X291" s="16" t="s">
        <v>171</v>
      </c>
      <c r="Y291" s="13" t="s">
        <v>137</v>
      </c>
      <c r="Z291" s="13" t="s">
        <v>143</v>
      </c>
      <c r="AA291" s="13" t="s">
        <v>145</v>
      </c>
      <c r="AB291" s="13" t="s">
        <v>137</v>
      </c>
      <c r="AC291" s="13">
        <f>VLOOKUP(Table24[[#This Row],[3_Elephant_ID]],'[1]Attributes(OUTDATED)'!$A$2:$N$19,12,FALSE)</f>
        <v>343</v>
      </c>
      <c r="AD291" s="13">
        <f>VLOOKUP(Table24[[#This Row],[3_Elephant_ID]],'[1]Attributes(OUTDATED)'!$A$2:$N$19,13,FALSE)</f>
        <v>0.81</v>
      </c>
      <c r="AE291" s="13">
        <f>VLOOKUP(Table24[[#This Row],[3_Elephant_ID]],'[1]Attributes(OUTDATED)'!$A$2:$N$19,14,FALSE)</f>
        <v>0.80966774571167055</v>
      </c>
      <c r="AF291" s="13">
        <v>3</v>
      </c>
      <c r="AG291" s="13">
        <v>0</v>
      </c>
      <c r="AH291" s="13">
        <v>0</v>
      </c>
      <c r="AI291" s="13">
        <v>0</v>
      </c>
      <c r="AJ291" s="13">
        <f>VLOOKUP(Table24[[#This Row],[3_Elephant_ID]],'[1]Attributes(OUTDATED)'!$A$2:$P$19,16,FALSE)</f>
        <v>1</v>
      </c>
      <c r="AK291" s="13">
        <f>VLOOKUP(Table24[[#This Row],[3_Elephant_ID]],'[1]Attributes(OUTDATED)'!$A$2:$S$19,17,FALSE)</f>
        <v>0</v>
      </c>
      <c r="AL291" s="13">
        <f>VLOOKUP(Table24[[#This Row],[3_Elephant_ID]],'[1]Attributes(OUTDATED)'!$A$2:$S$19,18,FALSE)</f>
        <v>8</v>
      </c>
    </row>
    <row r="292" spans="1:38" ht="28" x14ac:dyDescent="0.15">
      <c r="A292" s="3">
        <v>268</v>
      </c>
      <c r="B292" s="6" t="s">
        <v>105</v>
      </c>
      <c r="C292" s="7">
        <v>1</v>
      </c>
      <c r="D292" s="7">
        <v>3</v>
      </c>
      <c r="E292" s="7">
        <v>2024</v>
      </c>
      <c r="F292" s="5">
        <v>45352</v>
      </c>
      <c r="G292" s="6" t="s">
        <v>14</v>
      </c>
      <c r="H292" s="17">
        <v>0.28763736263736261</v>
      </c>
      <c r="I292" s="3" t="str">
        <f>VLOOKUP(G292,'[1]Attributes(OUTDATED)'!$A$2:$C$19,2,FALSE)</f>
        <v>F</v>
      </c>
      <c r="J292" s="3" t="str">
        <f>VLOOKUP(G292,'[1]Attributes(OUTDATED)'!$A$2:$C$19,3,FALSE)</f>
        <v>J</v>
      </c>
      <c r="K292" s="3">
        <f>VLOOKUP(G292,'[1]Attributes(OUTDATED)'!$A$2:$H$19,8,FALSE)</f>
        <v>879</v>
      </c>
      <c r="L292" s="3" t="str">
        <f>J292&amp;I292</f>
        <v>JF</v>
      </c>
      <c r="M292" s="11">
        <v>45350</v>
      </c>
      <c r="N292" s="13">
        <v>32.6</v>
      </c>
      <c r="O292" s="13">
        <v>18.899999999999999</v>
      </c>
      <c r="P292" s="13">
        <v>6.2</v>
      </c>
      <c r="Q292" s="13">
        <f>Table24[[#This Row],[2_Temp_H]]-Table24[[#This Row],[2_Temp_L]]</f>
        <v>26.400000000000002</v>
      </c>
      <c r="R292" s="13">
        <v>23.3</v>
      </c>
      <c r="S292" s="13">
        <v>4</v>
      </c>
      <c r="T292" s="13">
        <v>1015.92</v>
      </c>
      <c r="U292" s="13">
        <v>1009.82</v>
      </c>
      <c r="V292" s="13">
        <v>0</v>
      </c>
      <c r="W292" s="13" t="s">
        <v>148</v>
      </c>
      <c r="X292" s="16" t="s">
        <v>171</v>
      </c>
      <c r="Y292" s="13" t="s">
        <v>137</v>
      </c>
      <c r="Z292" s="13" t="s">
        <v>143</v>
      </c>
      <c r="AA292" s="13" t="s">
        <v>145</v>
      </c>
      <c r="AB292" s="13" t="s">
        <v>137</v>
      </c>
      <c r="AC292" s="13">
        <f>VLOOKUP(Table24[[#This Row],[3_Elephant_ID]],'[1]Attributes(OUTDATED)'!$A$2:$N$19,12,FALSE)</f>
        <v>269</v>
      </c>
      <c r="AD292" s="13">
        <f>VLOOKUP(Table24[[#This Row],[3_Elephant_ID]],'[1]Attributes(OUTDATED)'!$A$2:$N$19,13,FALSE)</f>
        <v>0.65800000000000003</v>
      </c>
      <c r="AE292" s="13">
        <f>VLOOKUP(Table24[[#This Row],[3_Elephant_ID]],'[1]Attributes(OUTDATED)'!$A$2:$N$19,14,FALSE)</f>
        <v>0.65767064449315993</v>
      </c>
      <c r="AF292" s="13">
        <v>3</v>
      </c>
      <c r="AG292" s="13">
        <v>0</v>
      </c>
      <c r="AH292" s="13">
        <v>1</v>
      </c>
      <c r="AI292" s="13">
        <v>1</v>
      </c>
      <c r="AJ292" s="13">
        <f>VLOOKUP(Table24[[#This Row],[3_Elephant_ID]],'[1]Attributes(OUTDATED)'!$A$2:$P$19,16,FALSE)</f>
        <v>1</v>
      </c>
      <c r="AK292" s="13">
        <f>VLOOKUP(Table24[[#This Row],[3_Elephant_ID]],'[1]Attributes(OUTDATED)'!$A$2:$S$19,17,FALSE)</f>
        <v>3</v>
      </c>
      <c r="AL292" s="13">
        <f>VLOOKUP(Table24[[#This Row],[3_Elephant_ID]],'[1]Attributes(OUTDATED)'!$A$2:$S$19,18,FALSE)</f>
        <v>9</v>
      </c>
    </row>
    <row r="293" spans="1:38" ht="28" x14ac:dyDescent="0.15">
      <c r="A293" s="3">
        <v>270</v>
      </c>
      <c r="B293" s="6" t="s">
        <v>107</v>
      </c>
      <c r="C293" s="7">
        <v>1</v>
      </c>
      <c r="D293" s="7">
        <v>3</v>
      </c>
      <c r="E293" s="7">
        <v>2024</v>
      </c>
      <c r="F293" s="5">
        <v>45352</v>
      </c>
      <c r="G293" s="6" t="s">
        <v>1</v>
      </c>
      <c r="H293" s="17">
        <v>0.25700598802395208</v>
      </c>
      <c r="I293" s="3" t="str">
        <f>VLOOKUP(G293,'[1]Attributes(OUTDATED)'!$A$2:$C$19,2,FALSE)</f>
        <v>F</v>
      </c>
      <c r="J293" s="3" t="str">
        <f>VLOOKUP(G293,'[1]Attributes(OUTDATED)'!$A$2:$C$19,3,FALSE)</f>
        <v>A</v>
      </c>
      <c r="K293" s="3">
        <f>VLOOKUP(G293,'[1]Attributes(OUTDATED)'!$A$2:$H$19,8,FALSE)</f>
        <v>929</v>
      </c>
      <c r="L293" s="3" t="str">
        <f>J293&amp;I293</f>
        <v>AF</v>
      </c>
      <c r="M293" s="11">
        <v>45350</v>
      </c>
      <c r="N293" s="13">
        <v>32.6</v>
      </c>
      <c r="O293" s="13">
        <v>18.899999999999999</v>
      </c>
      <c r="P293" s="13">
        <v>6.2</v>
      </c>
      <c r="Q293" s="13">
        <f>Table24[[#This Row],[2_Temp_H]]-Table24[[#This Row],[2_Temp_L]]</f>
        <v>26.400000000000002</v>
      </c>
      <c r="R293" s="13">
        <v>23.3</v>
      </c>
      <c r="S293" s="13">
        <v>4</v>
      </c>
      <c r="T293" s="13">
        <v>1015.92</v>
      </c>
      <c r="U293" s="13">
        <v>1009.82</v>
      </c>
      <c r="V293" s="13">
        <v>0</v>
      </c>
      <c r="W293" s="13" t="s">
        <v>148</v>
      </c>
      <c r="X293" s="16" t="s">
        <v>171</v>
      </c>
      <c r="Y293" s="13" t="s">
        <v>137</v>
      </c>
      <c r="Z293" s="13" t="s">
        <v>143</v>
      </c>
      <c r="AA293" s="13" t="s">
        <v>145</v>
      </c>
      <c r="AB293" s="13" t="s">
        <v>137</v>
      </c>
      <c r="AC293" s="13">
        <f>VLOOKUP(Table24[[#This Row],[3_Elephant_ID]],'[1]Attributes(OUTDATED)'!$A$2:$N$19,12,FALSE)</f>
        <v>321</v>
      </c>
      <c r="AD293" s="13">
        <f>VLOOKUP(Table24[[#This Row],[3_Elephant_ID]],'[1]Attributes(OUTDATED)'!$A$2:$N$19,13,FALSE)</f>
        <v>0.17599999999999999</v>
      </c>
      <c r="AE293" s="13">
        <f>VLOOKUP(Table24[[#This Row],[3_Elephant_ID]],'[1]Attributes(OUTDATED)'!$A$2:$N$19,14,FALSE)</f>
        <v>0.17530262753188491</v>
      </c>
      <c r="AF293" s="13">
        <v>3</v>
      </c>
      <c r="AG293" s="13">
        <v>0</v>
      </c>
      <c r="AH293" s="13">
        <v>2</v>
      </c>
      <c r="AI293" s="13">
        <v>2</v>
      </c>
      <c r="AJ293" s="13">
        <f>VLOOKUP(Table24[[#This Row],[3_Elephant_ID]],'[1]Attributes(OUTDATED)'!$A$2:$P$19,16,FALSE)</f>
        <v>1</v>
      </c>
      <c r="AK293" s="13">
        <f>VLOOKUP(Table24[[#This Row],[3_Elephant_ID]],'[1]Attributes(OUTDATED)'!$A$2:$S$19,17,FALSE)</f>
        <v>6</v>
      </c>
      <c r="AL293" s="13">
        <f>VLOOKUP(Table24[[#This Row],[3_Elephant_ID]],'[1]Attributes(OUTDATED)'!$A$2:$S$19,18,FALSE)</f>
        <v>8</v>
      </c>
    </row>
    <row r="294" spans="1:38" ht="28" x14ac:dyDescent="0.15">
      <c r="A294" s="3">
        <v>267</v>
      </c>
      <c r="B294" s="6" t="s">
        <v>104</v>
      </c>
      <c r="C294" s="7">
        <v>1</v>
      </c>
      <c r="D294" s="7">
        <v>3</v>
      </c>
      <c r="E294" s="7">
        <v>2024</v>
      </c>
      <c r="F294" s="5">
        <v>45352</v>
      </c>
      <c r="G294" s="6" t="s">
        <v>2</v>
      </c>
      <c r="H294" s="17">
        <v>0.25090909090909086</v>
      </c>
      <c r="I294" s="3" t="str">
        <f>VLOOKUP(G294,'[1]Attributes(OUTDATED)'!$A$2:$C$19,2,FALSE)</f>
        <v>F</v>
      </c>
      <c r="J294" s="3" t="str">
        <f>VLOOKUP(G294,'[1]Attributes(OUTDATED)'!$A$2:$C$19,3,FALSE)</f>
        <v>A</v>
      </c>
      <c r="K294" s="3">
        <f>VLOOKUP(G294,'[1]Attributes(OUTDATED)'!$A$2:$H$19,8,FALSE)</f>
        <v>892</v>
      </c>
      <c r="L294" s="3" t="str">
        <f>J294&amp;I294</f>
        <v>AF</v>
      </c>
      <c r="M294" s="11">
        <v>45350</v>
      </c>
      <c r="N294" s="13">
        <v>32.6</v>
      </c>
      <c r="O294" s="13">
        <v>18.899999999999999</v>
      </c>
      <c r="P294" s="13">
        <v>6.2</v>
      </c>
      <c r="Q294" s="13">
        <f>Table24[[#This Row],[2_Temp_H]]-Table24[[#This Row],[2_Temp_L]]</f>
        <v>26.400000000000002</v>
      </c>
      <c r="R294" s="13">
        <v>23.3</v>
      </c>
      <c r="S294" s="13">
        <v>4</v>
      </c>
      <c r="T294" s="13">
        <v>1015.92</v>
      </c>
      <c r="U294" s="13">
        <v>1009.82</v>
      </c>
      <c r="V294" s="13">
        <v>0</v>
      </c>
      <c r="W294" s="13" t="s">
        <v>148</v>
      </c>
      <c r="X294" s="16" t="s">
        <v>171</v>
      </c>
      <c r="Y294" s="13" t="s">
        <v>137</v>
      </c>
      <c r="Z294" s="13" t="s">
        <v>143</v>
      </c>
      <c r="AA294" s="13" t="s">
        <v>145</v>
      </c>
      <c r="AB294" s="13" t="s">
        <v>137</v>
      </c>
      <c r="AC294" s="13">
        <f>VLOOKUP(Table24[[#This Row],[3_Elephant_ID]],'[1]Attributes(OUTDATED)'!$A$2:$N$19,12,FALSE)</f>
        <v>378</v>
      </c>
      <c r="AD294" s="13">
        <f>VLOOKUP(Table24[[#This Row],[3_Elephant_ID]],'[1]Attributes(OUTDATED)'!$A$2:$N$19,13,FALSE)</f>
        <v>8.6999999999999994E-2</v>
      </c>
      <c r="AE294" s="13">
        <f>VLOOKUP(Table24[[#This Row],[3_Elephant_ID]],'[1]Attributes(OUTDATED)'!$A$2:$N$19,14,FALSE)</f>
        <v>8.6599138783086713E-2</v>
      </c>
      <c r="AF294" s="13">
        <v>3</v>
      </c>
      <c r="AG294" s="13">
        <v>0</v>
      </c>
      <c r="AH294" s="13">
        <v>0</v>
      </c>
      <c r="AI294" s="13">
        <v>0</v>
      </c>
      <c r="AJ294" s="13">
        <f>VLOOKUP(Table24[[#This Row],[3_Elephant_ID]],'[1]Attributes(OUTDATED)'!$A$2:$P$19,16,FALSE)</f>
        <v>1</v>
      </c>
      <c r="AK294" s="13">
        <f>VLOOKUP(Table24[[#This Row],[3_Elephant_ID]],'[1]Attributes(OUTDATED)'!$A$2:$S$19,17,FALSE)</f>
        <v>4</v>
      </c>
      <c r="AL294" s="13">
        <f>VLOOKUP(Table24[[#This Row],[3_Elephant_ID]],'[1]Attributes(OUTDATED)'!$A$2:$S$19,18,FALSE)</f>
        <v>20</v>
      </c>
    </row>
    <row r="295" spans="1:38" ht="28" x14ac:dyDescent="0.15">
      <c r="A295" s="3">
        <v>266</v>
      </c>
      <c r="B295" s="6" t="s">
        <v>103</v>
      </c>
      <c r="C295" s="7">
        <v>1</v>
      </c>
      <c r="D295" s="7">
        <v>3</v>
      </c>
      <c r="E295" s="7">
        <v>2024</v>
      </c>
      <c r="F295" s="5">
        <v>45352</v>
      </c>
      <c r="G295" s="6" t="s">
        <v>15</v>
      </c>
      <c r="H295" s="17">
        <v>0.34307339449541285</v>
      </c>
      <c r="I295" s="3" t="str">
        <f>VLOOKUP(G295,'[1]Attributes(OUTDATED)'!$A$2:$C$19,2,FALSE)</f>
        <v>M</v>
      </c>
      <c r="J295" s="3" t="str">
        <f>VLOOKUP(G295,'[1]Attributes(OUTDATED)'!$A$2:$C$19,3,FALSE)</f>
        <v>J</v>
      </c>
      <c r="K295" s="3">
        <f>VLOOKUP(G295,'[1]Attributes(OUTDATED)'!$A$2:$H$19,8,FALSE)</f>
        <v>828</v>
      </c>
      <c r="L295" s="3" t="str">
        <f>J295&amp;I295</f>
        <v>JM</v>
      </c>
      <c r="M295" s="11">
        <v>45350</v>
      </c>
      <c r="N295" s="13">
        <v>32.6</v>
      </c>
      <c r="O295" s="13">
        <v>18.899999999999999</v>
      </c>
      <c r="P295" s="13">
        <v>6.2</v>
      </c>
      <c r="Q295" s="13">
        <f>Table24[[#This Row],[2_Temp_H]]-Table24[[#This Row],[2_Temp_L]]</f>
        <v>26.400000000000002</v>
      </c>
      <c r="R295" s="13">
        <v>23.3</v>
      </c>
      <c r="S295" s="13">
        <v>4</v>
      </c>
      <c r="T295" s="13">
        <v>1015.92</v>
      </c>
      <c r="U295" s="13">
        <v>1009.82</v>
      </c>
      <c r="V295" s="13">
        <v>0</v>
      </c>
      <c r="W295" s="13" t="s">
        <v>148</v>
      </c>
      <c r="X295" s="16" t="s">
        <v>171</v>
      </c>
      <c r="Y295" s="13" t="s">
        <v>137</v>
      </c>
      <c r="Z295" s="13" t="s">
        <v>143</v>
      </c>
      <c r="AA295" s="13" t="s">
        <v>145</v>
      </c>
      <c r="AB295" s="13" t="s">
        <v>137</v>
      </c>
      <c r="AC295" s="13">
        <f>VLOOKUP(Table24[[#This Row],[3_Elephant_ID]],'[1]Attributes(OUTDATED)'!$A$2:$N$19,12,FALSE)</f>
        <v>219</v>
      </c>
      <c r="AD295" s="13">
        <f>VLOOKUP(Table24[[#This Row],[3_Elephant_ID]],'[1]Attributes(OUTDATED)'!$A$2:$N$19,13,FALSE)</f>
        <v>0.32300000000000001</v>
      </c>
      <c r="AE295" s="13">
        <f>VLOOKUP(Table24[[#This Row],[3_Elephant_ID]],'[1]Attributes(OUTDATED)'!$A$2:$N$19,14,FALSE)</f>
        <v>0.32257531484312868</v>
      </c>
      <c r="AF295" s="13">
        <v>3</v>
      </c>
      <c r="AG295" s="13">
        <v>0</v>
      </c>
      <c r="AH295" s="13">
        <v>0</v>
      </c>
      <c r="AI295" s="13">
        <v>0</v>
      </c>
      <c r="AJ295" s="13">
        <f>VLOOKUP(Table24[[#This Row],[3_Elephant_ID]],'[1]Attributes(OUTDATED)'!$A$2:$P$19,16,FALSE)</f>
        <v>2</v>
      </c>
      <c r="AK295" s="13">
        <f>VLOOKUP(Table24[[#This Row],[3_Elephant_ID]],'[1]Attributes(OUTDATED)'!$A$2:$S$19,17,FALSE)</f>
        <v>1</v>
      </c>
      <c r="AL295" s="13">
        <f>VLOOKUP(Table24[[#This Row],[3_Elephant_ID]],'[1]Attributes(OUTDATED)'!$A$2:$S$19,18,FALSE)</f>
        <v>6</v>
      </c>
    </row>
    <row r="296" spans="1:38" ht="28" x14ac:dyDescent="0.15">
      <c r="A296" s="3">
        <v>271</v>
      </c>
      <c r="B296" s="6" t="s">
        <v>108</v>
      </c>
      <c r="C296" s="7">
        <v>1</v>
      </c>
      <c r="D296" s="7">
        <v>3</v>
      </c>
      <c r="E296" s="7">
        <v>2024</v>
      </c>
      <c r="F296" s="5">
        <v>45352</v>
      </c>
      <c r="G296" s="6" t="s">
        <v>7</v>
      </c>
      <c r="H296" s="17">
        <v>0.30582352941176466</v>
      </c>
      <c r="I296" s="3" t="str">
        <f>VLOOKUP(G296,'[1]Attributes(OUTDATED)'!$A$2:$C$19,2,FALSE)</f>
        <v>F</v>
      </c>
      <c r="J296" s="3" t="str">
        <f>VLOOKUP(G296,'[1]Attributes(OUTDATED)'!$A$2:$C$19,3,FALSE)</f>
        <v>J</v>
      </c>
      <c r="K296" s="3">
        <f>VLOOKUP(G296,'[1]Attributes(OUTDATED)'!$A$2:$H$19,8,FALSE)</f>
        <v>711</v>
      </c>
      <c r="L296" s="3" t="str">
        <f>J296&amp;I296</f>
        <v>JF</v>
      </c>
      <c r="M296" s="11">
        <v>45350</v>
      </c>
      <c r="N296" s="13">
        <v>32.6</v>
      </c>
      <c r="O296" s="13">
        <v>18.899999999999999</v>
      </c>
      <c r="P296" s="13">
        <v>6.2</v>
      </c>
      <c r="Q296" s="13">
        <f>Table24[[#This Row],[2_Temp_H]]-Table24[[#This Row],[2_Temp_L]]</f>
        <v>26.400000000000002</v>
      </c>
      <c r="R296" s="13">
        <v>23.3</v>
      </c>
      <c r="S296" s="13">
        <v>4</v>
      </c>
      <c r="T296" s="13">
        <v>1015.92</v>
      </c>
      <c r="U296" s="13">
        <v>1009.82</v>
      </c>
      <c r="V296" s="13">
        <v>0</v>
      </c>
      <c r="W296" s="13" t="s">
        <v>148</v>
      </c>
      <c r="X296" s="16" t="s">
        <v>171</v>
      </c>
      <c r="Y296" s="13" t="s">
        <v>137</v>
      </c>
      <c r="Z296" s="13" t="s">
        <v>143</v>
      </c>
      <c r="AA296" s="13" t="s">
        <v>145</v>
      </c>
      <c r="AB296" s="13" t="s">
        <v>137</v>
      </c>
      <c r="AC296" s="13">
        <f>VLOOKUP(Table24[[#This Row],[3_Elephant_ID]],'[1]Attributes(OUTDATED)'!$A$2:$N$19,12,FALSE)</f>
        <v>398</v>
      </c>
      <c r="AD296" s="13">
        <f>VLOOKUP(Table24[[#This Row],[3_Elephant_ID]],'[1]Attributes(OUTDATED)'!$A$2:$N$19,13,FALSE)</f>
        <v>0.47899999999999998</v>
      </c>
      <c r="AE296" s="13">
        <f>VLOOKUP(Table24[[#This Row],[3_Elephant_ID]],'[1]Attributes(OUTDATED)'!$A$2:$N$19,14,FALSE)</f>
        <v>0.47820662037086947</v>
      </c>
      <c r="AF296" s="13">
        <v>3</v>
      </c>
      <c r="AG296" s="13">
        <v>0</v>
      </c>
      <c r="AH296" s="13">
        <v>0</v>
      </c>
      <c r="AI296" s="13">
        <v>0</v>
      </c>
      <c r="AJ296" s="13">
        <f>VLOOKUP(Table24[[#This Row],[3_Elephant_ID]],'[1]Attributes(OUTDATED)'!$A$2:$P$19,16,FALSE)</f>
        <v>1</v>
      </c>
      <c r="AK296" s="13">
        <f>VLOOKUP(Table24[[#This Row],[3_Elephant_ID]],'[1]Attributes(OUTDATED)'!$A$2:$S$19,17,FALSE)</f>
        <v>0</v>
      </c>
      <c r="AL296" s="13">
        <f>VLOOKUP(Table24[[#This Row],[3_Elephant_ID]],'[1]Attributes(OUTDATED)'!$A$2:$S$19,18,FALSE)</f>
        <v>12</v>
      </c>
    </row>
    <row r="297" spans="1:38" ht="28" x14ac:dyDescent="0.15">
      <c r="A297" s="3">
        <v>265</v>
      </c>
      <c r="B297" s="6" t="s">
        <v>102</v>
      </c>
      <c r="C297" s="7">
        <v>1</v>
      </c>
      <c r="D297" s="7">
        <v>3</v>
      </c>
      <c r="E297" s="7">
        <v>2024</v>
      </c>
      <c r="F297" s="5">
        <v>45352</v>
      </c>
      <c r="G297" s="6" t="s">
        <v>16</v>
      </c>
      <c r="H297" s="17">
        <v>0.29570588235294115</v>
      </c>
      <c r="I297" s="3" t="str">
        <f>VLOOKUP(G297,'[1]Attributes(OUTDATED)'!$A$2:$C$19,2,FALSE)</f>
        <v>F</v>
      </c>
      <c r="J297" s="3" t="str">
        <f>VLOOKUP(G297,'[1]Attributes(OUTDATED)'!$A$2:$C$19,3,FALSE)</f>
        <v>A</v>
      </c>
      <c r="K297" s="3">
        <f>VLOOKUP(G297,'[1]Attributes(OUTDATED)'!$A$2:$H$19,8,FALSE)</f>
        <v>1346</v>
      </c>
      <c r="L297" s="3" t="str">
        <f>J297&amp;I297</f>
        <v>AF</v>
      </c>
      <c r="M297" s="11">
        <v>45350</v>
      </c>
      <c r="N297" s="13">
        <v>32.6</v>
      </c>
      <c r="O297" s="13">
        <v>18.899999999999999</v>
      </c>
      <c r="P297" s="13">
        <v>6.2</v>
      </c>
      <c r="Q297" s="13">
        <f>Table24[[#This Row],[2_Temp_H]]-Table24[[#This Row],[2_Temp_L]]</f>
        <v>26.400000000000002</v>
      </c>
      <c r="R297" s="13">
        <v>23.3</v>
      </c>
      <c r="S297" s="13">
        <v>4</v>
      </c>
      <c r="T297" s="13">
        <v>1015.92</v>
      </c>
      <c r="U297" s="13">
        <v>1009.82</v>
      </c>
      <c r="V297" s="13">
        <v>0</v>
      </c>
      <c r="W297" s="13" t="s">
        <v>148</v>
      </c>
      <c r="X297" s="16" t="s">
        <v>171</v>
      </c>
      <c r="Y297" s="13" t="s">
        <v>137</v>
      </c>
      <c r="Z297" s="13" t="s">
        <v>143</v>
      </c>
      <c r="AA297" s="13" t="s">
        <v>145</v>
      </c>
      <c r="AB297" s="13" t="s">
        <v>137</v>
      </c>
      <c r="AC297" s="13">
        <f>VLOOKUP(Table24[[#This Row],[3_Elephant_ID]],'[1]Attributes(OUTDATED)'!$A$2:$N$19,12,FALSE)</f>
        <v>474</v>
      </c>
      <c r="AD297" s="13">
        <f>VLOOKUP(Table24[[#This Row],[3_Elephant_ID]],'[1]Attributes(OUTDATED)'!$A$2:$N$19,13,FALSE)</f>
        <v>0.121</v>
      </c>
      <c r="AE297" s="13">
        <f>VLOOKUP(Table24[[#This Row],[3_Elephant_ID]],'[1]Attributes(OUTDATED)'!$A$2:$N$19,14,FALSE)</f>
        <v>0.1206993463154281</v>
      </c>
      <c r="AF297" s="13">
        <v>3</v>
      </c>
      <c r="AG297" s="13">
        <v>0</v>
      </c>
      <c r="AH297" s="13">
        <v>0</v>
      </c>
      <c r="AI297" s="13">
        <v>0</v>
      </c>
      <c r="AJ297" s="13">
        <f>VLOOKUP(Table24[[#This Row],[3_Elephant_ID]],'[1]Attributes(OUTDATED)'!$A$2:$P$19,16,FALSE)</f>
        <v>1</v>
      </c>
      <c r="AK297" s="13">
        <f>VLOOKUP(Table24[[#This Row],[3_Elephant_ID]],'[1]Attributes(OUTDATED)'!$A$2:$S$19,17,FALSE)</f>
        <v>16</v>
      </c>
      <c r="AL297" s="13">
        <f>VLOOKUP(Table24[[#This Row],[3_Elephant_ID]],'[1]Attributes(OUTDATED)'!$A$2:$S$19,18,FALSE)</f>
        <v>1</v>
      </c>
    </row>
    <row r="298" spans="1:38" ht="28" x14ac:dyDescent="0.15">
      <c r="A298" s="3">
        <v>373</v>
      </c>
      <c r="B298" s="6" t="s">
        <v>128</v>
      </c>
      <c r="C298" s="7">
        <v>5</v>
      </c>
      <c r="D298" s="7">
        <v>3</v>
      </c>
      <c r="E298" s="7">
        <v>2024</v>
      </c>
      <c r="F298" s="5">
        <v>45356</v>
      </c>
      <c r="G298" s="6" t="s">
        <v>1</v>
      </c>
      <c r="H298" s="17">
        <v>0.28519626168224299</v>
      </c>
      <c r="I298" s="3" t="str">
        <f>VLOOKUP(G298,'[1]Attributes(OUTDATED)'!$A$2:$C$19,2,FALSE)</f>
        <v>F</v>
      </c>
      <c r="J298" s="3" t="str">
        <f>VLOOKUP(G298,'[1]Attributes(OUTDATED)'!$A$2:$C$19,3,FALSE)</f>
        <v>A</v>
      </c>
      <c r="K298" s="3">
        <f>VLOOKUP(G298,'[1]Attributes(OUTDATED)'!$A$2:$H$19,8,FALSE)</f>
        <v>929</v>
      </c>
      <c r="L298" s="3" t="str">
        <f>J298&amp;I298</f>
        <v>AF</v>
      </c>
      <c r="M298" s="11">
        <v>45354</v>
      </c>
      <c r="N298" s="13">
        <v>31.7</v>
      </c>
      <c r="O298" s="13">
        <v>21.9</v>
      </c>
      <c r="P298" s="13">
        <v>15.9</v>
      </c>
      <c r="Q298" s="13">
        <f>Table24[[#This Row],[2_Temp_H]]-Table24[[#This Row],[2_Temp_L]]</f>
        <v>15.799999999999999</v>
      </c>
      <c r="R298" s="13">
        <v>37</v>
      </c>
      <c r="S298" s="13">
        <v>6.3</v>
      </c>
      <c r="T298" s="13">
        <v>1012.87</v>
      </c>
      <c r="U298" s="13">
        <v>1005.08</v>
      </c>
      <c r="V298" s="13">
        <v>1.78</v>
      </c>
      <c r="W298" s="13" t="s">
        <v>148</v>
      </c>
      <c r="X298" s="16" t="s">
        <v>171</v>
      </c>
      <c r="Y298" s="13" t="s">
        <v>137</v>
      </c>
      <c r="Z298" s="13" t="s">
        <v>143</v>
      </c>
      <c r="AA298" s="13" t="s">
        <v>145</v>
      </c>
      <c r="AB298" s="13" t="s">
        <v>137</v>
      </c>
      <c r="AC298" s="13">
        <f>VLOOKUP(Table24[[#This Row],[3_Elephant_ID]],'[1]Attributes(OUTDATED)'!$A$2:$N$19,12,FALSE)</f>
        <v>321</v>
      </c>
      <c r="AD298" s="13">
        <f>VLOOKUP(Table24[[#This Row],[3_Elephant_ID]],'[1]Attributes(OUTDATED)'!$A$2:$N$19,13,FALSE)</f>
        <v>0.17599999999999999</v>
      </c>
      <c r="AE298" s="13">
        <f>VLOOKUP(Table24[[#This Row],[3_Elephant_ID]],'[1]Attributes(OUTDATED)'!$A$2:$N$19,14,FALSE)</f>
        <v>0.17530262753188491</v>
      </c>
      <c r="AF298" s="13">
        <v>0</v>
      </c>
      <c r="AG298" s="13">
        <v>0</v>
      </c>
      <c r="AH298" s="13">
        <v>0</v>
      </c>
      <c r="AI298" s="13">
        <v>0</v>
      </c>
      <c r="AJ298" s="13">
        <f>VLOOKUP(Table24[[#This Row],[3_Elephant_ID]],'[1]Attributes(OUTDATED)'!$A$2:$P$19,16,FALSE)</f>
        <v>1</v>
      </c>
      <c r="AK298" s="13">
        <f>VLOOKUP(Table24[[#This Row],[3_Elephant_ID]],'[1]Attributes(OUTDATED)'!$A$2:$S$19,17,FALSE)</f>
        <v>6</v>
      </c>
      <c r="AL298" s="13">
        <f>VLOOKUP(Table24[[#This Row],[3_Elephant_ID]],'[1]Attributes(OUTDATED)'!$A$2:$S$19,18,FALSE)</f>
        <v>8</v>
      </c>
    </row>
    <row r="299" spans="1:38" ht="28" x14ac:dyDescent="0.15">
      <c r="A299" s="3">
        <v>372</v>
      </c>
      <c r="B299" s="6" t="s">
        <v>127</v>
      </c>
      <c r="C299" s="7">
        <v>7</v>
      </c>
      <c r="D299" s="7">
        <v>3</v>
      </c>
      <c r="E299" s="7">
        <v>2024</v>
      </c>
      <c r="F299" s="5">
        <v>45358</v>
      </c>
      <c r="G299" s="6" t="s">
        <v>2</v>
      </c>
      <c r="H299" s="17">
        <v>0.46308394160583938</v>
      </c>
      <c r="I299" s="3" t="str">
        <f>VLOOKUP(G299,'[1]Attributes(OUTDATED)'!$A$2:$C$19,2,FALSE)</f>
        <v>F</v>
      </c>
      <c r="J299" s="3" t="str">
        <f>VLOOKUP(G299,'[1]Attributes(OUTDATED)'!$A$2:$C$19,3,FALSE)</f>
        <v>A</v>
      </c>
      <c r="K299" s="3">
        <f>VLOOKUP(G299,'[1]Attributes(OUTDATED)'!$A$2:$H$19,8,FALSE)</f>
        <v>892</v>
      </c>
      <c r="L299" s="3" t="str">
        <f>J299&amp;I299</f>
        <v>AF</v>
      </c>
      <c r="M299" s="11">
        <v>45356</v>
      </c>
      <c r="N299" s="13">
        <v>23.6</v>
      </c>
      <c r="O299" s="13">
        <v>17.600000000000001</v>
      </c>
      <c r="P299" s="13">
        <v>12</v>
      </c>
      <c r="Q299" s="13">
        <f>Table24[[#This Row],[2_Temp_H]]-Table24[[#This Row],[2_Temp_L]]</f>
        <v>11.600000000000001</v>
      </c>
      <c r="R299" s="13">
        <v>38.799999999999997</v>
      </c>
      <c r="S299" s="13">
        <v>10.3</v>
      </c>
      <c r="T299" s="13">
        <v>1010.84</v>
      </c>
      <c r="U299" s="13">
        <v>1002.03</v>
      </c>
      <c r="V299" s="13">
        <v>0</v>
      </c>
      <c r="W299" s="13" t="s">
        <v>148</v>
      </c>
      <c r="X299" s="16" t="s">
        <v>171</v>
      </c>
      <c r="Y299" s="13" t="s">
        <v>137</v>
      </c>
      <c r="Z299" s="13" t="s">
        <v>143</v>
      </c>
      <c r="AA299" s="13" t="s">
        <v>145</v>
      </c>
      <c r="AB299" s="13" t="s">
        <v>137</v>
      </c>
      <c r="AC299" s="13">
        <f>VLOOKUP(Table24[[#This Row],[3_Elephant_ID]],'[1]Attributes(OUTDATED)'!$A$2:$N$19,12,FALSE)</f>
        <v>378</v>
      </c>
      <c r="AD299" s="13">
        <f>VLOOKUP(Table24[[#This Row],[3_Elephant_ID]],'[1]Attributes(OUTDATED)'!$A$2:$N$19,13,FALSE)</f>
        <v>8.6999999999999994E-2</v>
      </c>
      <c r="AE299" s="13">
        <f>VLOOKUP(Table24[[#This Row],[3_Elephant_ID]],'[1]Attributes(OUTDATED)'!$A$2:$N$19,14,FALSE)</f>
        <v>8.6599138783086713E-2</v>
      </c>
      <c r="AF299" s="13">
        <v>0</v>
      </c>
      <c r="AG299" s="13">
        <v>0</v>
      </c>
      <c r="AH299" s="13">
        <v>0</v>
      </c>
      <c r="AI299" s="13">
        <v>0</v>
      </c>
      <c r="AJ299" s="13">
        <f>VLOOKUP(Table24[[#This Row],[3_Elephant_ID]],'[1]Attributes(OUTDATED)'!$A$2:$P$19,16,FALSE)</f>
        <v>1</v>
      </c>
      <c r="AK299" s="13">
        <f>VLOOKUP(Table24[[#This Row],[3_Elephant_ID]],'[1]Attributes(OUTDATED)'!$A$2:$S$19,17,FALSE)</f>
        <v>4</v>
      </c>
      <c r="AL299" s="13">
        <f>VLOOKUP(Table24[[#This Row],[3_Elephant_ID]],'[1]Attributes(OUTDATED)'!$A$2:$S$19,18,FALSE)</f>
        <v>20</v>
      </c>
    </row>
    <row r="300" spans="1:38" ht="28" x14ac:dyDescent="0.15">
      <c r="A300" s="3">
        <v>371</v>
      </c>
      <c r="B300" s="6" t="s">
        <v>126</v>
      </c>
      <c r="C300" s="7">
        <v>9</v>
      </c>
      <c r="D300" s="7">
        <v>3</v>
      </c>
      <c r="E300" s="7">
        <v>2024</v>
      </c>
      <c r="F300" s="5">
        <v>45360</v>
      </c>
      <c r="G300" s="6" t="s">
        <v>12</v>
      </c>
      <c r="H300" s="17">
        <v>0.37947058823529406</v>
      </c>
      <c r="I300" s="3" t="str">
        <f>VLOOKUP(G300,'[1]Attributes(OUTDATED)'!$A$2:$C$19,2,FALSE)</f>
        <v>M</v>
      </c>
      <c r="J300" s="3" t="str">
        <f>VLOOKUP(G300,'[1]Attributes(OUTDATED)'!$A$2:$C$19,3,FALSE)</f>
        <v>A</v>
      </c>
      <c r="K300" s="3">
        <f>VLOOKUP(G300,'[1]Attributes(OUTDATED)'!$A$2:$H$19,8,FALSE)</f>
        <v>1509</v>
      </c>
      <c r="L300" s="3" t="str">
        <f>J300&amp;I300</f>
        <v>AM</v>
      </c>
      <c r="M300" s="11">
        <v>45358</v>
      </c>
      <c r="N300" s="13">
        <v>32.6</v>
      </c>
      <c r="O300" s="13">
        <v>22.2</v>
      </c>
      <c r="P300" s="13">
        <v>9.6</v>
      </c>
      <c r="Q300" s="13">
        <f>Table24[[#This Row],[2_Temp_H]]-Table24[[#This Row],[2_Temp_L]]</f>
        <v>23</v>
      </c>
      <c r="R300" s="13">
        <v>42</v>
      </c>
      <c r="S300" s="13">
        <v>5</v>
      </c>
      <c r="T300" s="13">
        <v>1009.82</v>
      </c>
      <c r="U300" s="13">
        <v>1005.08</v>
      </c>
      <c r="V300" s="13">
        <v>0</v>
      </c>
      <c r="W300" s="13" t="s">
        <v>148</v>
      </c>
      <c r="X300" s="16" t="s">
        <v>171</v>
      </c>
      <c r="Y300" s="13" t="s">
        <v>137</v>
      </c>
      <c r="Z300" s="13" t="s">
        <v>143</v>
      </c>
      <c r="AA300" s="13" t="s">
        <v>145</v>
      </c>
      <c r="AB300" s="13" t="s">
        <v>137</v>
      </c>
      <c r="AC300" s="13">
        <f>VLOOKUP(Table24[[#This Row],[3_Elephant_ID]],'[1]Attributes(OUTDATED)'!$A$2:$N$19,12,FALSE)</f>
        <v>450</v>
      </c>
      <c r="AD300" s="13">
        <f>VLOOKUP(Table24[[#This Row],[3_Elephant_ID]],'[1]Attributes(OUTDATED)'!$A$2:$N$19,13,FALSE)</f>
        <v>0.375</v>
      </c>
      <c r="AE300" s="13">
        <f>VLOOKUP(Table24[[#This Row],[3_Elephant_ID]],'[1]Attributes(OUTDATED)'!$A$2:$N$19,14,FALSE)</f>
        <v>0.37414375430996583</v>
      </c>
      <c r="AF300" s="13">
        <v>0</v>
      </c>
      <c r="AG300" s="13">
        <v>0</v>
      </c>
      <c r="AH300" s="13">
        <v>0</v>
      </c>
      <c r="AI300" s="13">
        <v>0</v>
      </c>
      <c r="AJ300" s="13">
        <f>VLOOKUP(Table24[[#This Row],[3_Elephant_ID]],'[1]Attributes(OUTDATED)'!$A$2:$P$19,16,FALSE)</f>
        <v>1</v>
      </c>
      <c r="AK300" s="13">
        <f>VLOOKUP(Table24[[#This Row],[3_Elephant_ID]],'[1]Attributes(OUTDATED)'!$A$2:$S$19,17,FALSE)</f>
        <v>48</v>
      </c>
      <c r="AL300" s="13">
        <f>VLOOKUP(Table24[[#This Row],[3_Elephant_ID]],'[1]Attributes(OUTDATED)'!$A$2:$S$19,18,FALSE)</f>
        <v>3</v>
      </c>
    </row>
    <row r="301" spans="1:38" ht="28" x14ac:dyDescent="0.15">
      <c r="A301" s="3">
        <v>370</v>
      </c>
      <c r="B301" s="6">
        <v>1103241143</v>
      </c>
      <c r="C301" s="7">
        <v>11</v>
      </c>
      <c r="D301" s="7">
        <v>3</v>
      </c>
      <c r="E301" s="7">
        <v>2024</v>
      </c>
      <c r="F301" s="5">
        <v>45362</v>
      </c>
      <c r="G301" s="6" t="s">
        <v>6</v>
      </c>
      <c r="H301" s="17">
        <v>0.29231910946196654</v>
      </c>
      <c r="I301" s="3" t="str">
        <f>VLOOKUP(G301,'[1]Attributes(OUTDATED)'!$A$2:$C$19,2,FALSE)</f>
        <v>F</v>
      </c>
      <c r="J301" s="3" t="str">
        <f>VLOOKUP(G301,'[1]Attributes(OUTDATED)'!$A$2:$C$19,3,FALSE)</f>
        <v>A</v>
      </c>
      <c r="K301" s="3">
        <f>VLOOKUP(G301,'[1]Attributes(OUTDATED)'!$A$2:$H$19,8,FALSE)</f>
        <v>1168</v>
      </c>
      <c r="L301" s="3" t="str">
        <f>J301&amp;I301</f>
        <v>AF</v>
      </c>
      <c r="M301" s="11">
        <v>45360</v>
      </c>
      <c r="N301" s="13">
        <v>32.799999999999997</v>
      </c>
      <c r="O301" s="13">
        <v>22</v>
      </c>
      <c r="P301" s="13">
        <v>10.9</v>
      </c>
      <c r="Q301" s="13">
        <f>Table24[[#This Row],[2_Temp_H]]-Table24[[#This Row],[2_Temp_L]]</f>
        <v>21.9</v>
      </c>
      <c r="R301" s="13">
        <v>19</v>
      </c>
      <c r="S301" s="13">
        <v>2.8</v>
      </c>
      <c r="T301" s="13">
        <v>1013.88</v>
      </c>
      <c r="U301" s="13">
        <v>1008.81</v>
      </c>
      <c r="V301" s="13">
        <v>0</v>
      </c>
      <c r="W301" s="13" t="s">
        <v>148</v>
      </c>
      <c r="X301" s="16" t="s">
        <v>171</v>
      </c>
      <c r="Y301" s="13" t="s">
        <v>137</v>
      </c>
      <c r="Z301" s="13" t="s">
        <v>143</v>
      </c>
      <c r="AA301" s="13" t="s">
        <v>145</v>
      </c>
      <c r="AB301" s="13" t="s">
        <v>137</v>
      </c>
      <c r="AC301" s="13">
        <f>VLOOKUP(Table24[[#This Row],[3_Elephant_ID]],'[1]Attributes(OUTDATED)'!$A$2:$N$19,12,FALSE)</f>
        <v>286</v>
      </c>
      <c r="AD301" s="13">
        <f>VLOOKUP(Table24[[#This Row],[3_Elephant_ID]],'[1]Attributes(OUTDATED)'!$A$2:$N$19,13,FALSE)</f>
        <v>0.26800000000000002</v>
      </c>
      <c r="AE301" s="13">
        <f>VLOOKUP(Table24[[#This Row],[3_Elephant_ID]],'[1]Attributes(OUTDATED)'!$A$2:$N$19,14,FALSE)</f>
        <v>0.26721028245328138</v>
      </c>
      <c r="AF301" s="13">
        <v>0</v>
      </c>
      <c r="AG301" s="13">
        <v>0</v>
      </c>
      <c r="AH301" s="13">
        <v>0</v>
      </c>
      <c r="AI301" s="13">
        <v>0</v>
      </c>
      <c r="AJ301" s="13">
        <f>VLOOKUP(Table24[[#This Row],[3_Elephant_ID]],'[1]Attributes(OUTDATED)'!$A$2:$P$19,16,FALSE)</f>
        <v>2</v>
      </c>
      <c r="AK301" s="13">
        <f>VLOOKUP(Table24[[#This Row],[3_Elephant_ID]],'[1]Attributes(OUTDATED)'!$A$2:$S$19,17,FALSE)</f>
        <v>12</v>
      </c>
      <c r="AL301" s="13">
        <f>VLOOKUP(Table24[[#This Row],[3_Elephant_ID]],'[1]Attributes(OUTDATED)'!$A$2:$S$19,18,FALSE)</f>
        <v>5</v>
      </c>
    </row>
    <row r="302" spans="1:38" ht="28" x14ac:dyDescent="0.15">
      <c r="A302" s="3">
        <v>369</v>
      </c>
      <c r="B302" s="6">
        <v>1103241152</v>
      </c>
      <c r="C302" s="7">
        <v>11</v>
      </c>
      <c r="D302" s="7">
        <v>3</v>
      </c>
      <c r="E302" s="7">
        <v>2024</v>
      </c>
      <c r="F302" s="5">
        <v>45362</v>
      </c>
      <c r="G302" s="6" t="s">
        <v>13</v>
      </c>
      <c r="H302" s="17">
        <v>0.23213754646840148</v>
      </c>
      <c r="I302" s="3" t="str">
        <f>VLOOKUP(G302,'[1]Attributes(OUTDATED)'!$A$2:$C$19,2,FALSE)</f>
        <v>F</v>
      </c>
      <c r="J302" s="3" t="str">
        <f>VLOOKUP(G302,'[1]Attributes(OUTDATED)'!$A$2:$C$19,3,FALSE)</f>
        <v>A</v>
      </c>
      <c r="K302" s="3">
        <f>VLOOKUP(G302,'[1]Attributes(OUTDATED)'!$A$2:$H$19,8,FALSE)</f>
        <v>963</v>
      </c>
      <c r="L302" s="3" t="str">
        <f>J302&amp;I302</f>
        <v>AF</v>
      </c>
      <c r="M302" s="11">
        <v>45360</v>
      </c>
      <c r="N302" s="13">
        <v>32.799999999999997</v>
      </c>
      <c r="O302" s="13">
        <v>22</v>
      </c>
      <c r="P302" s="13">
        <v>10.9</v>
      </c>
      <c r="Q302" s="13">
        <f>Table24[[#This Row],[2_Temp_H]]-Table24[[#This Row],[2_Temp_L]]</f>
        <v>21.9</v>
      </c>
      <c r="R302" s="13">
        <v>19</v>
      </c>
      <c r="S302" s="13">
        <v>2.8</v>
      </c>
      <c r="T302" s="13">
        <v>1013.88</v>
      </c>
      <c r="U302" s="13">
        <v>1008.81</v>
      </c>
      <c r="V302" s="13">
        <v>0</v>
      </c>
      <c r="W302" s="13" t="s">
        <v>148</v>
      </c>
      <c r="X302" s="16" t="s">
        <v>171</v>
      </c>
      <c r="Y302" s="13" t="s">
        <v>137</v>
      </c>
      <c r="Z302" s="13" t="s">
        <v>143</v>
      </c>
      <c r="AA302" s="13" t="s">
        <v>145</v>
      </c>
      <c r="AB302" s="13" t="s">
        <v>137</v>
      </c>
      <c r="AC302" s="13">
        <f>VLOOKUP(Table24[[#This Row],[3_Elephant_ID]],'[1]Attributes(OUTDATED)'!$A$2:$N$19,12,FALSE)</f>
        <v>289</v>
      </c>
      <c r="AD302" s="13">
        <f>VLOOKUP(Table24[[#This Row],[3_Elephant_ID]],'[1]Attributes(OUTDATED)'!$A$2:$N$19,13,FALSE)</f>
        <v>0.32400000000000001</v>
      </c>
      <c r="AE302" s="13">
        <f>VLOOKUP(Table24[[#This Row],[3_Elephant_ID]],'[1]Attributes(OUTDATED)'!$A$2:$N$19,14,FALSE)</f>
        <v>0.32380809109629533</v>
      </c>
      <c r="AF302" s="13">
        <v>0</v>
      </c>
      <c r="AG302" s="13">
        <v>0</v>
      </c>
      <c r="AH302" s="13">
        <v>0</v>
      </c>
      <c r="AI302" s="13">
        <v>0</v>
      </c>
      <c r="AJ302" s="13">
        <f>VLOOKUP(Table24[[#This Row],[3_Elephant_ID]],'[1]Attributes(OUTDATED)'!$A$2:$P$19,16,FALSE)</f>
        <v>2</v>
      </c>
      <c r="AK302" s="13">
        <f>VLOOKUP(Table24[[#This Row],[3_Elephant_ID]],'[1]Attributes(OUTDATED)'!$A$2:$S$19,17,FALSE)</f>
        <v>9</v>
      </c>
      <c r="AL302" s="13">
        <f>VLOOKUP(Table24[[#This Row],[3_Elephant_ID]],'[1]Attributes(OUTDATED)'!$A$2:$S$19,18,FALSE)</f>
        <v>9</v>
      </c>
    </row>
    <row r="303" spans="1:38" ht="28" x14ac:dyDescent="0.15">
      <c r="A303" s="3">
        <v>365</v>
      </c>
      <c r="B303" s="6" t="s">
        <v>125</v>
      </c>
      <c r="C303" s="7">
        <v>13</v>
      </c>
      <c r="D303" s="7">
        <v>3</v>
      </c>
      <c r="E303" s="7">
        <v>2024</v>
      </c>
      <c r="F303" s="5">
        <v>45364</v>
      </c>
      <c r="G303" s="6" t="s">
        <v>4</v>
      </c>
      <c r="H303" s="17">
        <v>0.3635019455252918</v>
      </c>
      <c r="I303" s="3" t="str">
        <f>VLOOKUP(G303,'[1]Attributes(OUTDATED)'!$A$2:$C$19,2,FALSE)</f>
        <v>M</v>
      </c>
      <c r="J303" s="3" t="str">
        <f>VLOOKUP(G303,'[1]Attributes(OUTDATED)'!$A$2:$C$19,3,FALSE)</f>
        <v>J</v>
      </c>
      <c r="K303" s="3">
        <f>VLOOKUP(G303,'[1]Attributes(OUTDATED)'!$A$2:$H$19,8,FALSE)</f>
        <v>1055</v>
      </c>
      <c r="L303" s="3" t="str">
        <f>J303&amp;I303</f>
        <v>JM</v>
      </c>
      <c r="M303" s="11">
        <v>45362</v>
      </c>
      <c r="N303" s="13">
        <v>37.1</v>
      </c>
      <c r="O303" s="13">
        <v>24.3</v>
      </c>
      <c r="P303" s="13">
        <v>12.1</v>
      </c>
      <c r="Q303" s="13">
        <f>Table24[[#This Row],[2_Temp_H]]-Table24[[#This Row],[2_Temp_L]]</f>
        <v>25</v>
      </c>
      <c r="R303" s="13">
        <v>21.9</v>
      </c>
      <c r="S303" s="13">
        <v>3.5</v>
      </c>
      <c r="T303" s="13">
        <v>1014.9</v>
      </c>
      <c r="U303" s="13">
        <v>1008.81</v>
      </c>
      <c r="V303" s="13">
        <v>0</v>
      </c>
      <c r="W303" s="13" t="s">
        <v>148</v>
      </c>
      <c r="X303" s="16" t="s">
        <v>171</v>
      </c>
      <c r="Y303" s="13" t="s">
        <v>137</v>
      </c>
      <c r="Z303" s="13" t="s">
        <v>143</v>
      </c>
      <c r="AA303" s="13" t="s">
        <v>145</v>
      </c>
      <c r="AB303" s="13" t="s">
        <v>137</v>
      </c>
      <c r="AC303" s="13">
        <f>VLOOKUP(Table24[[#This Row],[3_Elephant_ID]],'[1]Attributes(OUTDATED)'!$A$2:$N$19,12,FALSE)</f>
        <v>181</v>
      </c>
      <c r="AD303" s="13">
        <f>VLOOKUP(Table24[[#This Row],[3_Elephant_ID]],'[1]Attributes(OUTDATED)'!$A$2:$N$19,13,FALSE)</f>
        <v>7.3999999999999996E-2</v>
      </c>
      <c r="AE303" s="13">
        <f>VLOOKUP(Table24[[#This Row],[3_Elephant_ID]],'[1]Attributes(OUTDATED)'!$A$2:$N$19,14,FALSE)</f>
        <v>7.3914663535330896E-2</v>
      </c>
      <c r="AF303" s="13">
        <v>0</v>
      </c>
      <c r="AG303" s="13">
        <v>0</v>
      </c>
      <c r="AH303" s="13">
        <v>0</v>
      </c>
      <c r="AI303" s="13">
        <v>0</v>
      </c>
      <c r="AJ303" s="13">
        <f>VLOOKUP(Table24[[#This Row],[3_Elephant_ID]],'[1]Attributes(OUTDATED)'!$A$2:$P$19,16,FALSE)</f>
        <v>1</v>
      </c>
      <c r="AK303" s="13">
        <f>VLOOKUP(Table24[[#This Row],[3_Elephant_ID]],'[1]Attributes(OUTDATED)'!$A$2:$S$19,17,FALSE)</f>
        <v>7</v>
      </c>
      <c r="AL303" s="13">
        <f>VLOOKUP(Table24[[#This Row],[3_Elephant_ID]],'[1]Attributes(OUTDATED)'!$A$2:$S$19,18,FALSE)</f>
        <v>9</v>
      </c>
    </row>
    <row r="304" spans="1:38" ht="28" x14ac:dyDescent="0.15">
      <c r="A304" s="3">
        <v>366</v>
      </c>
      <c r="B304" s="6">
        <v>1303241231</v>
      </c>
      <c r="C304" s="7">
        <v>13</v>
      </c>
      <c r="D304" s="7">
        <v>3</v>
      </c>
      <c r="E304" s="7">
        <v>2024</v>
      </c>
      <c r="F304" s="5">
        <v>45364</v>
      </c>
      <c r="G304" s="6" t="s">
        <v>4</v>
      </c>
      <c r="H304" s="17">
        <v>0.23265654648956358</v>
      </c>
      <c r="I304" s="3" t="str">
        <f>VLOOKUP(G304,'[1]Attributes(OUTDATED)'!$A$2:$C$19,2,FALSE)</f>
        <v>M</v>
      </c>
      <c r="J304" s="3" t="str">
        <f>VLOOKUP(G304,'[1]Attributes(OUTDATED)'!$A$2:$C$19,3,FALSE)</f>
        <v>J</v>
      </c>
      <c r="K304" s="3">
        <f>VLOOKUP(G304,'[1]Attributes(OUTDATED)'!$A$2:$H$19,8,FALSE)</f>
        <v>1055</v>
      </c>
      <c r="L304" s="3" t="str">
        <f>J304&amp;I304</f>
        <v>JM</v>
      </c>
      <c r="M304" s="11">
        <v>45362</v>
      </c>
      <c r="N304" s="13">
        <v>37.1</v>
      </c>
      <c r="O304" s="13">
        <v>24.3</v>
      </c>
      <c r="P304" s="13">
        <v>12.1</v>
      </c>
      <c r="Q304" s="13">
        <f>Table24[[#This Row],[2_Temp_H]]-Table24[[#This Row],[2_Temp_L]]</f>
        <v>25</v>
      </c>
      <c r="R304" s="13">
        <v>21.9</v>
      </c>
      <c r="S304" s="13">
        <v>3.5</v>
      </c>
      <c r="T304" s="13">
        <v>1014.9</v>
      </c>
      <c r="U304" s="13">
        <v>1008.81</v>
      </c>
      <c r="V304" s="13">
        <v>0</v>
      </c>
      <c r="W304" s="13" t="s">
        <v>148</v>
      </c>
      <c r="X304" s="16" t="s">
        <v>171</v>
      </c>
      <c r="Y304" s="13" t="s">
        <v>137</v>
      </c>
      <c r="Z304" s="13" t="s">
        <v>143</v>
      </c>
      <c r="AA304" s="13" t="s">
        <v>145</v>
      </c>
      <c r="AB304" s="13" t="s">
        <v>137</v>
      </c>
      <c r="AC304" s="13">
        <f>VLOOKUP(Table24[[#This Row],[3_Elephant_ID]],'[1]Attributes(OUTDATED)'!$A$2:$N$19,12,FALSE)</f>
        <v>181</v>
      </c>
      <c r="AD304" s="13">
        <f>VLOOKUP(Table24[[#This Row],[3_Elephant_ID]],'[1]Attributes(OUTDATED)'!$A$2:$N$19,13,FALSE)</f>
        <v>7.3999999999999996E-2</v>
      </c>
      <c r="AE304" s="13">
        <f>VLOOKUP(Table24[[#This Row],[3_Elephant_ID]],'[1]Attributes(OUTDATED)'!$A$2:$N$19,14,FALSE)</f>
        <v>7.3914663535330896E-2</v>
      </c>
      <c r="AF304" s="13">
        <v>0</v>
      </c>
      <c r="AG304" s="13">
        <v>0</v>
      </c>
      <c r="AH304" s="13">
        <v>0</v>
      </c>
      <c r="AI304" s="13">
        <v>0</v>
      </c>
      <c r="AJ304" s="13">
        <f>VLOOKUP(Table24[[#This Row],[3_Elephant_ID]],'[1]Attributes(OUTDATED)'!$A$2:$P$19,16,FALSE)</f>
        <v>1</v>
      </c>
      <c r="AK304" s="13">
        <f>VLOOKUP(Table24[[#This Row],[3_Elephant_ID]],'[1]Attributes(OUTDATED)'!$A$2:$S$19,17,FALSE)</f>
        <v>7</v>
      </c>
      <c r="AL304" s="13">
        <f>VLOOKUP(Table24[[#This Row],[3_Elephant_ID]],'[1]Attributes(OUTDATED)'!$A$2:$S$19,18,FALSE)</f>
        <v>9</v>
      </c>
    </row>
    <row r="305" spans="1:38" ht="28" x14ac:dyDescent="0.15">
      <c r="A305" s="3">
        <v>368</v>
      </c>
      <c r="B305" s="6">
        <v>1303240923</v>
      </c>
      <c r="C305" s="7">
        <v>13</v>
      </c>
      <c r="D305" s="7">
        <v>3</v>
      </c>
      <c r="E305" s="7">
        <v>2024</v>
      </c>
      <c r="F305" s="5">
        <v>45364</v>
      </c>
      <c r="G305" s="6" t="s">
        <v>11</v>
      </c>
      <c r="H305" s="17">
        <v>0.3130857142857143</v>
      </c>
      <c r="I305" s="3" t="str">
        <f>VLOOKUP(G305,'[1]Attributes(OUTDATED)'!$A$2:$C$19,2,FALSE)</f>
        <v>M</v>
      </c>
      <c r="J305" s="3" t="str">
        <f>VLOOKUP(G305,'[1]Attributes(OUTDATED)'!$A$2:$C$19,3,FALSE)</f>
        <v>A</v>
      </c>
      <c r="K305" s="3">
        <f>VLOOKUP(G305,'[1]Attributes(OUTDATED)'!$A$2:$H$19,8,FALSE)</f>
        <v>1223</v>
      </c>
      <c r="L305" s="3" t="str">
        <f>J305&amp;I305</f>
        <v>AM</v>
      </c>
      <c r="M305" s="11">
        <v>45362</v>
      </c>
      <c r="N305" s="13">
        <v>37.1</v>
      </c>
      <c r="O305" s="13">
        <v>24.3</v>
      </c>
      <c r="P305" s="13">
        <v>12.1</v>
      </c>
      <c r="Q305" s="13">
        <f>Table24[[#This Row],[2_Temp_H]]-Table24[[#This Row],[2_Temp_L]]</f>
        <v>25</v>
      </c>
      <c r="R305" s="13">
        <v>21.9</v>
      </c>
      <c r="S305" s="13">
        <v>3.5</v>
      </c>
      <c r="T305" s="13">
        <v>1014.9</v>
      </c>
      <c r="U305" s="13">
        <v>1008.81</v>
      </c>
      <c r="V305" s="13">
        <v>0</v>
      </c>
      <c r="W305" s="13" t="s">
        <v>148</v>
      </c>
      <c r="X305" s="16" t="s">
        <v>171</v>
      </c>
      <c r="Y305" s="13" t="s">
        <v>137</v>
      </c>
      <c r="Z305" s="13" t="s">
        <v>143</v>
      </c>
      <c r="AA305" s="13" t="s">
        <v>145</v>
      </c>
      <c r="AB305" s="13" t="s">
        <v>137</v>
      </c>
      <c r="AC305" s="13">
        <f>VLOOKUP(Table24[[#This Row],[3_Elephant_ID]],'[1]Attributes(OUTDATED)'!$A$2:$N$19,12,FALSE)</f>
        <v>404</v>
      </c>
      <c r="AD305" s="13">
        <f>VLOOKUP(Table24[[#This Row],[3_Elephant_ID]],'[1]Attributes(OUTDATED)'!$A$2:$N$19,13,FALSE)</f>
        <v>0.91700000000000004</v>
      </c>
      <c r="AE305" s="13">
        <f>VLOOKUP(Table24[[#This Row],[3_Elephant_ID]],'[1]Attributes(OUTDATED)'!$A$2:$N$19,14,FALSE)</f>
        <v>0.91664628583929353</v>
      </c>
      <c r="AF305" s="13">
        <v>0</v>
      </c>
      <c r="AG305" s="13">
        <v>0</v>
      </c>
      <c r="AH305" s="13">
        <v>0</v>
      </c>
      <c r="AI305" s="13">
        <v>0</v>
      </c>
      <c r="AJ305" s="13">
        <f>VLOOKUP(Table24[[#This Row],[3_Elephant_ID]],'[1]Attributes(OUTDATED)'!$A$2:$P$19,16,FALSE)</f>
        <v>1</v>
      </c>
      <c r="AK305" s="13">
        <f>VLOOKUP(Table24[[#This Row],[3_Elephant_ID]],'[1]Attributes(OUTDATED)'!$A$2:$S$19,17,FALSE)</f>
        <v>14</v>
      </c>
      <c r="AL305" s="13">
        <f>VLOOKUP(Table24[[#This Row],[3_Elephant_ID]],'[1]Attributes(OUTDATED)'!$A$2:$S$19,18,FALSE)</f>
        <v>17</v>
      </c>
    </row>
    <row r="306" spans="1:38" ht="28" x14ac:dyDescent="0.15">
      <c r="A306" s="3">
        <v>367</v>
      </c>
      <c r="B306" s="6">
        <v>1303241212</v>
      </c>
      <c r="C306" s="7">
        <v>13</v>
      </c>
      <c r="D306" s="7">
        <v>3</v>
      </c>
      <c r="E306" s="7">
        <v>2024</v>
      </c>
      <c r="F306" s="5">
        <v>45364</v>
      </c>
      <c r="G306" s="6" t="s">
        <v>15</v>
      </c>
      <c r="H306" s="17">
        <v>0.33097142857142858</v>
      </c>
      <c r="I306" s="3" t="str">
        <f>VLOOKUP(G306,'[1]Attributes(OUTDATED)'!$A$2:$C$19,2,FALSE)</f>
        <v>M</v>
      </c>
      <c r="J306" s="3" t="str">
        <f>VLOOKUP(G306,'[1]Attributes(OUTDATED)'!$A$2:$C$19,3,FALSE)</f>
        <v>J</v>
      </c>
      <c r="K306" s="3">
        <f>VLOOKUP(G306,'[1]Attributes(OUTDATED)'!$A$2:$H$19,8,FALSE)</f>
        <v>828</v>
      </c>
      <c r="L306" s="3" t="str">
        <f>J306&amp;I306</f>
        <v>JM</v>
      </c>
      <c r="M306" s="11">
        <v>45362</v>
      </c>
      <c r="N306" s="13">
        <v>37.1</v>
      </c>
      <c r="O306" s="13">
        <v>24.3</v>
      </c>
      <c r="P306" s="13">
        <v>12.1</v>
      </c>
      <c r="Q306" s="13">
        <f>Table24[[#This Row],[2_Temp_H]]-Table24[[#This Row],[2_Temp_L]]</f>
        <v>25</v>
      </c>
      <c r="R306" s="13">
        <v>21.9</v>
      </c>
      <c r="S306" s="13">
        <v>3.5</v>
      </c>
      <c r="T306" s="13">
        <v>1014.9</v>
      </c>
      <c r="U306" s="13">
        <v>1008.81</v>
      </c>
      <c r="V306" s="13">
        <v>0</v>
      </c>
      <c r="W306" s="13" t="s">
        <v>148</v>
      </c>
      <c r="X306" s="16" t="s">
        <v>171</v>
      </c>
      <c r="Y306" s="13" t="s">
        <v>137</v>
      </c>
      <c r="Z306" s="13" t="s">
        <v>143</v>
      </c>
      <c r="AA306" s="13" t="s">
        <v>145</v>
      </c>
      <c r="AB306" s="13" t="s">
        <v>137</v>
      </c>
      <c r="AC306" s="13">
        <f>VLOOKUP(Table24[[#This Row],[3_Elephant_ID]],'[1]Attributes(OUTDATED)'!$A$2:$N$19,12,FALSE)</f>
        <v>219</v>
      </c>
      <c r="AD306" s="13">
        <f>VLOOKUP(Table24[[#This Row],[3_Elephant_ID]],'[1]Attributes(OUTDATED)'!$A$2:$N$19,13,FALSE)</f>
        <v>0.32300000000000001</v>
      </c>
      <c r="AE306" s="13">
        <f>VLOOKUP(Table24[[#This Row],[3_Elephant_ID]],'[1]Attributes(OUTDATED)'!$A$2:$N$19,14,FALSE)</f>
        <v>0.32257531484312868</v>
      </c>
      <c r="AF306" s="13">
        <v>0</v>
      </c>
      <c r="AG306" s="13">
        <v>0</v>
      </c>
      <c r="AH306" s="13">
        <v>0</v>
      </c>
      <c r="AI306" s="13">
        <v>0</v>
      </c>
      <c r="AJ306" s="13">
        <f>VLOOKUP(Table24[[#This Row],[3_Elephant_ID]],'[1]Attributes(OUTDATED)'!$A$2:$P$19,16,FALSE)</f>
        <v>2</v>
      </c>
      <c r="AK306" s="13">
        <f>VLOOKUP(Table24[[#This Row],[3_Elephant_ID]],'[1]Attributes(OUTDATED)'!$A$2:$S$19,17,FALSE)</f>
        <v>1</v>
      </c>
      <c r="AL306" s="13">
        <f>VLOOKUP(Table24[[#This Row],[3_Elephant_ID]],'[1]Attributes(OUTDATED)'!$A$2:$S$19,18,FALSE)</f>
        <v>6</v>
      </c>
    </row>
    <row r="307" spans="1:38" ht="28" x14ac:dyDescent="0.15">
      <c r="A307" s="3">
        <v>357</v>
      </c>
      <c r="B307" s="6">
        <v>2003241233</v>
      </c>
      <c r="C307" s="7">
        <v>20</v>
      </c>
      <c r="D307" s="7">
        <v>3</v>
      </c>
      <c r="E307" s="7">
        <v>2024</v>
      </c>
      <c r="F307" s="5">
        <v>45371</v>
      </c>
      <c r="G307" s="6" t="s">
        <v>3</v>
      </c>
      <c r="H307" s="17">
        <v>0.32576923076923081</v>
      </c>
      <c r="I307" s="3" t="str">
        <f>VLOOKUP(G307,'[1]Attributes(OUTDATED)'!$A$2:$C$19,2,FALSE)</f>
        <v>M</v>
      </c>
      <c r="J307" s="3" t="str">
        <f>VLOOKUP(G307,'[1]Attributes(OUTDATED)'!$A$2:$C$19,3,FALSE)</f>
        <v>J</v>
      </c>
      <c r="K307" s="3">
        <f>VLOOKUP(G307,'[1]Attributes(OUTDATED)'!$A$2:$H$19,8,FALSE)</f>
        <v>1031</v>
      </c>
      <c r="L307" s="3" t="str">
        <f>J307&amp;I307</f>
        <v>JM</v>
      </c>
      <c r="M307" s="11">
        <v>45369</v>
      </c>
      <c r="N307" s="13">
        <v>31.3</v>
      </c>
      <c r="O307" s="13">
        <v>19</v>
      </c>
      <c r="P307" s="13">
        <v>8.1999999999999993</v>
      </c>
      <c r="Q307" s="13">
        <f>Table24[[#This Row],[2_Temp_H]]-Table24[[#This Row],[2_Temp_L]]</f>
        <v>23.1</v>
      </c>
      <c r="R307" s="13">
        <v>17.5</v>
      </c>
      <c r="S307" s="13">
        <v>2.6</v>
      </c>
      <c r="T307" s="13">
        <v>1014.9</v>
      </c>
      <c r="U307" s="13">
        <v>1007.79</v>
      </c>
      <c r="V307" s="13">
        <v>0</v>
      </c>
      <c r="W307" s="13" t="s">
        <v>148</v>
      </c>
      <c r="X307" s="13" t="s">
        <v>139</v>
      </c>
      <c r="Y307" s="13" t="s">
        <v>26</v>
      </c>
      <c r="Z307" s="13" t="s">
        <v>143</v>
      </c>
      <c r="AA307" s="13" t="s">
        <v>145</v>
      </c>
      <c r="AB307" s="13" t="s">
        <v>137</v>
      </c>
      <c r="AC307" s="13">
        <f>VLOOKUP(Table24[[#This Row],[3_Elephant_ID]],'[1]Attributes(OUTDATED)'!$A$2:$N$19,12,FALSE)</f>
        <v>234</v>
      </c>
      <c r="AD307" s="13">
        <f>VLOOKUP(Table24[[#This Row],[3_Elephant_ID]],'[1]Attributes(OUTDATED)'!$A$2:$N$19,13,FALSE)</f>
        <v>0.16500000000000001</v>
      </c>
      <c r="AE307" s="13">
        <f>VLOOKUP(Table24[[#This Row],[3_Elephant_ID]],'[1]Attributes(OUTDATED)'!$A$2:$N$19,14,FALSE)</f>
        <v>0.16420161303383449</v>
      </c>
      <c r="AF307" s="13">
        <v>0</v>
      </c>
      <c r="AG307" s="13">
        <v>0</v>
      </c>
      <c r="AH307" s="13">
        <v>0</v>
      </c>
      <c r="AI307" s="13">
        <v>0</v>
      </c>
      <c r="AJ307" s="13">
        <f>VLOOKUP(Table24[[#This Row],[3_Elephant_ID]],'[1]Attributes(OUTDATED)'!$A$2:$P$19,16,FALSE)</f>
        <v>1</v>
      </c>
      <c r="AK307" s="13">
        <f>VLOOKUP(Table24[[#This Row],[3_Elephant_ID]],'[1]Attributes(OUTDATED)'!$A$2:$S$19,17,FALSE)</f>
        <v>9</v>
      </c>
      <c r="AL307" s="13">
        <f>VLOOKUP(Table24[[#This Row],[3_Elephant_ID]],'[1]Attributes(OUTDATED)'!$A$2:$S$19,18,FALSE)</f>
        <v>9</v>
      </c>
    </row>
    <row r="308" spans="1:38" ht="28" x14ac:dyDescent="0.15">
      <c r="A308" s="3">
        <v>358</v>
      </c>
      <c r="B308" s="6">
        <v>2003241218</v>
      </c>
      <c r="C308" s="7">
        <v>20</v>
      </c>
      <c r="D308" s="7">
        <v>3</v>
      </c>
      <c r="E308" s="7">
        <v>2024</v>
      </c>
      <c r="F308" s="5">
        <v>45371</v>
      </c>
      <c r="G308" s="6" t="s">
        <v>14</v>
      </c>
      <c r="H308" s="17">
        <v>0.49967307692307694</v>
      </c>
      <c r="I308" s="3" t="str">
        <f>VLOOKUP(G308,'[1]Attributes(OUTDATED)'!$A$2:$C$19,2,FALSE)</f>
        <v>F</v>
      </c>
      <c r="J308" s="3" t="str">
        <f>VLOOKUP(G308,'[1]Attributes(OUTDATED)'!$A$2:$C$19,3,FALSE)</f>
        <v>J</v>
      </c>
      <c r="K308" s="3">
        <f>VLOOKUP(G308,'[1]Attributes(OUTDATED)'!$A$2:$H$19,8,FALSE)</f>
        <v>879</v>
      </c>
      <c r="L308" s="3" t="str">
        <f>J308&amp;I308</f>
        <v>JF</v>
      </c>
      <c r="M308" s="11">
        <v>45369</v>
      </c>
      <c r="N308" s="13">
        <v>31.3</v>
      </c>
      <c r="O308" s="13">
        <v>19</v>
      </c>
      <c r="P308" s="13">
        <v>8.1999999999999993</v>
      </c>
      <c r="Q308" s="13">
        <f>Table24[[#This Row],[2_Temp_H]]-Table24[[#This Row],[2_Temp_L]]</f>
        <v>23.1</v>
      </c>
      <c r="R308" s="13">
        <v>17.5</v>
      </c>
      <c r="S308" s="13">
        <v>2.6</v>
      </c>
      <c r="T308" s="13">
        <v>1014.9</v>
      </c>
      <c r="U308" s="13">
        <v>1007.79</v>
      </c>
      <c r="V308" s="13">
        <v>0</v>
      </c>
      <c r="W308" s="13" t="s">
        <v>148</v>
      </c>
      <c r="X308" s="13" t="s">
        <v>139</v>
      </c>
      <c r="Y308" s="13" t="s">
        <v>26</v>
      </c>
      <c r="Z308" s="13" t="s">
        <v>143</v>
      </c>
      <c r="AA308" s="13" t="s">
        <v>145</v>
      </c>
      <c r="AB308" s="13" t="s">
        <v>137</v>
      </c>
      <c r="AC308" s="13">
        <f>VLOOKUP(Table24[[#This Row],[3_Elephant_ID]],'[1]Attributes(OUTDATED)'!$A$2:$N$19,12,FALSE)</f>
        <v>269</v>
      </c>
      <c r="AD308" s="13">
        <f>VLOOKUP(Table24[[#This Row],[3_Elephant_ID]],'[1]Attributes(OUTDATED)'!$A$2:$N$19,13,FALSE)</f>
        <v>0.65800000000000003</v>
      </c>
      <c r="AE308" s="13">
        <f>VLOOKUP(Table24[[#This Row],[3_Elephant_ID]],'[1]Attributes(OUTDATED)'!$A$2:$N$19,14,FALSE)</f>
        <v>0.65767064449315993</v>
      </c>
      <c r="AF308" s="13">
        <v>0</v>
      </c>
      <c r="AG308" s="13">
        <v>0</v>
      </c>
      <c r="AH308" s="13">
        <v>0</v>
      </c>
      <c r="AI308" s="13">
        <v>0</v>
      </c>
      <c r="AJ308" s="13">
        <f>VLOOKUP(Table24[[#This Row],[3_Elephant_ID]],'[1]Attributes(OUTDATED)'!$A$2:$P$19,16,FALSE)</f>
        <v>1</v>
      </c>
      <c r="AK308" s="13">
        <f>VLOOKUP(Table24[[#This Row],[3_Elephant_ID]],'[1]Attributes(OUTDATED)'!$A$2:$S$19,17,FALSE)</f>
        <v>3</v>
      </c>
      <c r="AL308" s="13">
        <f>VLOOKUP(Table24[[#This Row],[3_Elephant_ID]],'[1]Attributes(OUTDATED)'!$A$2:$S$19,18,FALSE)</f>
        <v>9</v>
      </c>
    </row>
    <row r="309" spans="1:38" ht="28" x14ac:dyDescent="0.15">
      <c r="A309" s="3">
        <v>360</v>
      </c>
      <c r="B309" s="6">
        <v>2003241118</v>
      </c>
      <c r="C309" s="7">
        <v>20</v>
      </c>
      <c r="D309" s="7">
        <v>3</v>
      </c>
      <c r="E309" s="7">
        <v>2024</v>
      </c>
      <c r="F309" s="5">
        <v>45371</v>
      </c>
      <c r="G309" s="6" t="s">
        <v>12</v>
      </c>
      <c r="H309" s="17">
        <v>0.44244360902255653</v>
      </c>
      <c r="I309" s="3" t="str">
        <f>VLOOKUP(G309,'[1]Attributes(OUTDATED)'!$A$2:$C$19,2,FALSE)</f>
        <v>M</v>
      </c>
      <c r="J309" s="3" t="str">
        <f>VLOOKUP(G309,'[1]Attributes(OUTDATED)'!$A$2:$C$19,3,FALSE)</f>
        <v>A</v>
      </c>
      <c r="K309" s="3">
        <f>VLOOKUP(G309,'[1]Attributes(OUTDATED)'!$A$2:$H$19,8,FALSE)</f>
        <v>1509</v>
      </c>
      <c r="L309" s="3" t="str">
        <f>J309&amp;I309</f>
        <v>AM</v>
      </c>
      <c r="M309" s="11">
        <v>45369</v>
      </c>
      <c r="N309" s="13">
        <v>31.3</v>
      </c>
      <c r="O309" s="13">
        <v>19</v>
      </c>
      <c r="P309" s="13">
        <v>8.1999999999999993</v>
      </c>
      <c r="Q309" s="13">
        <f>Table24[[#This Row],[2_Temp_H]]-Table24[[#This Row],[2_Temp_L]]</f>
        <v>23.1</v>
      </c>
      <c r="R309" s="13">
        <v>17.5</v>
      </c>
      <c r="S309" s="13">
        <v>2.6</v>
      </c>
      <c r="T309" s="13">
        <v>1014.9</v>
      </c>
      <c r="U309" s="13">
        <v>1007.79</v>
      </c>
      <c r="V309" s="13">
        <v>0</v>
      </c>
      <c r="W309" s="13" t="s">
        <v>148</v>
      </c>
      <c r="X309" s="13" t="s">
        <v>139</v>
      </c>
      <c r="Y309" s="13" t="s">
        <v>26</v>
      </c>
      <c r="Z309" s="13" t="s">
        <v>143</v>
      </c>
      <c r="AA309" s="13" t="s">
        <v>145</v>
      </c>
      <c r="AB309" s="13" t="s">
        <v>137</v>
      </c>
      <c r="AC309" s="13">
        <f>VLOOKUP(Table24[[#This Row],[3_Elephant_ID]],'[1]Attributes(OUTDATED)'!$A$2:$N$19,12,FALSE)</f>
        <v>450</v>
      </c>
      <c r="AD309" s="13">
        <f>VLOOKUP(Table24[[#This Row],[3_Elephant_ID]],'[1]Attributes(OUTDATED)'!$A$2:$N$19,13,FALSE)</f>
        <v>0.375</v>
      </c>
      <c r="AE309" s="13">
        <f>VLOOKUP(Table24[[#This Row],[3_Elephant_ID]],'[1]Attributes(OUTDATED)'!$A$2:$N$19,14,FALSE)</f>
        <v>0.37414375430996583</v>
      </c>
      <c r="AF309" s="13">
        <v>0</v>
      </c>
      <c r="AG309" s="13">
        <v>0</v>
      </c>
      <c r="AH309" s="13">
        <v>0</v>
      </c>
      <c r="AI309" s="13">
        <v>0</v>
      </c>
      <c r="AJ309" s="13">
        <f>VLOOKUP(Table24[[#This Row],[3_Elephant_ID]],'[1]Attributes(OUTDATED)'!$A$2:$P$19,16,FALSE)</f>
        <v>1</v>
      </c>
      <c r="AK309" s="13">
        <f>VLOOKUP(Table24[[#This Row],[3_Elephant_ID]],'[1]Attributes(OUTDATED)'!$A$2:$S$19,17,FALSE)</f>
        <v>48</v>
      </c>
      <c r="AL309" s="13">
        <f>VLOOKUP(Table24[[#This Row],[3_Elephant_ID]],'[1]Attributes(OUTDATED)'!$A$2:$S$19,18,FALSE)</f>
        <v>3</v>
      </c>
    </row>
    <row r="310" spans="1:38" ht="28" x14ac:dyDescent="0.15">
      <c r="A310" s="3">
        <v>363</v>
      </c>
      <c r="B310" s="6">
        <v>2003241008</v>
      </c>
      <c r="C310" s="7">
        <v>20</v>
      </c>
      <c r="D310" s="7">
        <v>3</v>
      </c>
      <c r="E310" s="7">
        <v>2024</v>
      </c>
      <c r="F310" s="5">
        <v>45371</v>
      </c>
      <c r="G310" s="6" t="s">
        <v>12</v>
      </c>
      <c r="H310" s="17">
        <v>0.37202247191011228</v>
      </c>
      <c r="I310" s="3" t="str">
        <f>VLOOKUP(G310,'[1]Attributes(OUTDATED)'!$A$2:$C$19,2,FALSE)</f>
        <v>M</v>
      </c>
      <c r="J310" s="3" t="str">
        <f>VLOOKUP(G310,'[1]Attributes(OUTDATED)'!$A$2:$C$19,3,FALSE)</f>
        <v>A</v>
      </c>
      <c r="K310" s="3">
        <f>VLOOKUP(G310,'[1]Attributes(OUTDATED)'!$A$2:$H$19,8,FALSE)</f>
        <v>1509</v>
      </c>
      <c r="L310" s="3" t="str">
        <f>J310&amp;I310</f>
        <v>AM</v>
      </c>
      <c r="M310" s="11">
        <v>45369</v>
      </c>
      <c r="N310" s="13">
        <v>31.3</v>
      </c>
      <c r="O310" s="13">
        <v>19</v>
      </c>
      <c r="P310" s="13">
        <v>8.1999999999999993</v>
      </c>
      <c r="Q310" s="13">
        <f>Table24[[#This Row],[2_Temp_H]]-Table24[[#This Row],[2_Temp_L]]</f>
        <v>23.1</v>
      </c>
      <c r="R310" s="13">
        <v>17.5</v>
      </c>
      <c r="S310" s="13">
        <v>2.6</v>
      </c>
      <c r="T310" s="13">
        <v>1014.9</v>
      </c>
      <c r="U310" s="13">
        <v>1007.79</v>
      </c>
      <c r="V310" s="13">
        <v>0</v>
      </c>
      <c r="W310" s="13" t="s">
        <v>148</v>
      </c>
      <c r="X310" s="13" t="s">
        <v>139</v>
      </c>
      <c r="Y310" s="13" t="s">
        <v>26</v>
      </c>
      <c r="Z310" s="13" t="s">
        <v>143</v>
      </c>
      <c r="AA310" s="13" t="s">
        <v>145</v>
      </c>
      <c r="AB310" s="13" t="s">
        <v>137</v>
      </c>
      <c r="AC310" s="13">
        <f>VLOOKUP(Table24[[#This Row],[3_Elephant_ID]],'[1]Attributes(OUTDATED)'!$A$2:$N$19,12,FALSE)</f>
        <v>450</v>
      </c>
      <c r="AD310" s="13">
        <f>VLOOKUP(Table24[[#This Row],[3_Elephant_ID]],'[1]Attributes(OUTDATED)'!$A$2:$N$19,13,FALSE)</f>
        <v>0.375</v>
      </c>
      <c r="AE310" s="13">
        <f>VLOOKUP(Table24[[#This Row],[3_Elephant_ID]],'[1]Attributes(OUTDATED)'!$A$2:$N$19,14,FALSE)</f>
        <v>0.37414375430996583</v>
      </c>
      <c r="AF310" s="13">
        <v>0</v>
      </c>
      <c r="AG310" s="13">
        <v>0</v>
      </c>
      <c r="AH310" s="13">
        <v>0</v>
      </c>
      <c r="AI310" s="13">
        <v>0</v>
      </c>
      <c r="AJ310" s="13">
        <f>VLOOKUP(Table24[[#This Row],[3_Elephant_ID]],'[1]Attributes(OUTDATED)'!$A$2:$P$19,16,FALSE)</f>
        <v>1</v>
      </c>
      <c r="AK310" s="13">
        <f>VLOOKUP(Table24[[#This Row],[3_Elephant_ID]],'[1]Attributes(OUTDATED)'!$A$2:$S$19,17,FALSE)</f>
        <v>48</v>
      </c>
      <c r="AL310" s="13">
        <f>VLOOKUP(Table24[[#This Row],[3_Elephant_ID]],'[1]Attributes(OUTDATED)'!$A$2:$S$19,18,FALSE)</f>
        <v>3</v>
      </c>
    </row>
    <row r="311" spans="1:38" ht="28" x14ac:dyDescent="0.15">
      <c r="A311" s="3">
        <v>362</v>
      </c>
      <c r="B311" s="6">
        <v>2003241009</v>
      </c>
      <c r="C311" s="7">
        <v>20</v>
      </c>
      <c r="D311" s="7">
        <v>3</v>
      </c>
      <c r="E311" s="7">
        <v>2024</v>
      </c>
      <c r="F311" s="5">
        <v>45371</v>
      </c>
      <c r="G311" s="6" t="s">
        <v>10</v>
      </c>
      <c r="H311" s="17">
        <v>0.81441860465116267</v>
      </c>
      <c r="I311" s="3" t="str">
        <f>VLOOKUP(G311,'[1]Attributes(OUTDATED)'!$A$2:$C$19,2,FALSE)</f>
        <v>F</v>
      </c>
      <c r="J311" s="3" t="str">
        <f>VLOOKUP(G311,'[1]Attributes(OUTDATED)'!$A$2:$C$19,3,FALSE)</f>
        <v>A</v>
      </c>
      <c r="K311" s="3">
        <f>VLOOKUP(G311,'[1]Attributes(OUTDATED)'!$A$2:$H$19,8,FALSE)</f>
        <v>1146</v>
      </c>
      <c r="L311" s="3" t="str">
        <f>J311&amp;I311</f>
        <v>AF</v>
      </c>
      <c r="M311" s="11">
        <v>45369</v>
      </c>
      <c r="N311" s="13">
        <v>31.3</v>
      </c>
      <c r="O311" s="13">
        <v>19</v>
      </c>
      <c r="P311" s="13">
        <v>8.1999999999999993</v>
      </c>
      <c r="Q311" s="13">
        <f>Table24[[#This Row],[2_Temp_H]]-Table24[[#This Row],[2_Temp_L]]</f>
        <v>23.1</v>
      </c>
      <c r="R311" s="13">
        <v>17.5</v>
      </c>
      <c r="S311" s="13">
        <v>2.6</v>
      </c>
      <c r="T311" s="13">
        <v>1014.9</v>
      </c>
      <c r="U311" s="13">
        <v>1007.79</v>
      </c>
      <c r="V311" s="13">
        <v>0</v>
      </c>
      <c r="W311" s="13" t="s">
        <v>148</v>
      </c>
      <c r="X311" s="13" t="s">
        <v>139</v>
      </c>
      <c r="Y311" s="13" t="s">
        <v>26</v>
      </c>
      <c r="Z311" s="13" t="s">
        <v>143</v>
      </c>
      <c r="AA311" s="13" t="s">
        <v>145</v>
      </c>
      <c r="AB311" s="13" t="s">
        <v>137</v>
      </c>
      <c r="AC311" s="13">
        <f>VLOOKUP(Table24[[#This Row],[3_Elephant_ID]],'[1]Attributes(OUTDATED)'!$A$2:$N$19,12,FALSE)</f>
        <v>424</v>
      </c>
      <c r="AD311" s="13">
        <f>VLOOKUP(Table24[[#This Row],[3_Elephant_ID]],'[1]Attributes(OUTDATED)'!$A$2:$N$19,13,FALSE)</f>
        <v>0.10299999999999999</v>
      </c>
      <c r="AE311" s="13">
        <f>VLOOKUP(Table24[[#This Row],[3_Elephant_ID]],'[1]Attributes(OUTDATED)'!$A$2:$N$19,14,FALSE)</f>
        <v>0.10282190709599449</v>
      </c>
      <c r="AF311" s="13">
        <v>0</v>
      </c>
      <c r="AG311" s="13">
        <v>0</v>
      </c>
      <c r="AH311" s="13">
        <v>0</v>
      </c>
      <c r="AI311" s="13">
        <v>0</v>
      </c>
      <c r="AJ311" s="13">
        <f>VLOOKUP(Table24[[#This Row],[3_Elephant_ID]],'[1]Attributes(OUTDATED)'!$A$2:$P$19,16,FALSE)</f>
        <v>1</v>
      </c>
      <c r="AK311" s="13">
        <f>VLOOKUP(Table24[[#This Row],[3_Elephant_ID]],'[1]Attributes(OUTDATED)'!$A$2:$S$19,17,FALSE)</f>
        <v>9</v>
      </c>
      <c r="AL311" s="13">
        <f>VLOOKUP(Table24[[#This Row],[3_Elephant_ID]],'[1]Attributes(OUTDATED)'!$A$2:$S$19,18,FALSE)</f>
        <v>8</v>
      </c>
    </row>
    <row r="312" spans="1:38" ht="28" x14ac:dyDescent="0.15">
      <c r="A312" s="3">
        <v>359</v>
      </c>
      <c r="B312" s="6">
        <v>2003241210</v>
      </c>
      <c r="C312" s="7">
        <v>20</v>
      </c>
      <c r="D312" s="7">
        <v>3</v>
      </c>
      <c r="E312" s="7">
        <v>2024</v>
      </c>
      <c r="F312" s="5">
        <v>45371</v>
      </c>
      <c r="G312" s="6" t="s">
        <v>1</v>
      </c>
      <c r="H312" s="17">
        <v>0.33661682242990654</v>
      </c>
      <c r="I312" s="3" t="str">
        <f>VLOOKUP(G312,'[1]Attributes(OUTDATED)'!$A$2:$C$19,2,FALSE)</f>
        <v>F</v>
      </c>
      <c r="J312" s="3" t="str">
        <f>VLOOKUP(G312,'[1]Attributes(OUTDATED)'!$A$2:$C$19,3,FALSE)</f>
        <v>A</v>
      </c>
      <c r="K312" s="3">
        <f>VLOOKUP(G312,'[1]Attributes(OUTDATED)'!$A$2:$H$19,8,FALSE)</f>
        <v>929</v>
      </c>
      <c r="L312" s="3" t="str">
        <f>J312&amp;I312</f>
        <v>AF</v>
      </c>
      <c r="M312" s="11">
        <v>45369</v>
      </c>
      <c r="N312" s="13">
        <v>31.3</v>
      </c>
      <c r="O312" s="13">
        <v>19</v>
      </c>
      <c r="P312" s="13">
        <v>8.1999999999999993</v>
      </c>
      <c r="Q312" s="13">
        <f>Table24[[#This Row],[2_Temp_H]]-Table24[[#This Row],[2_Temp_L]]</f>
        <v>23.1</v>
      </c>
      <c r="R312" s="13">
        <v>17.5</v>
      </c>
      <c r="S312" s="13">
        <v>2.6</v>
      </c>
      <c r="T312" s="13">
        <v>1014.9</v>
      </c>
      <c r="U312" s="13">
        <v>1007.79</v>
      </c>
      <c r="V312" s="13">
        <v>0</v>
      </c>
      <c r="W312" s="13" t="s">
        <v>148</v>
      </c>
      <c r="X312" s="13" t="s">
        <v>139</v>
      </c>
      <c r="Y312" s="13" t="s">
        <v>26</v>
      </c>
      <c r="Z312" s="13" t="s">
        <v>143</v>
      </c>
      <c r="AA312" s="13" t="s">
        <v>145</v>
      </c>
      <c r="AB312" s="13" t="s">
        <v>137</v>
      </c>
      <c r="AC312" s="13">
        <f>VLOOKUP(Table24[[#This Row],[3_Elephant_ID]],'[1]Attributes(OUTDATED)'!$A$2:$N$19,12,FALSE)</f>
        <v>321</v>
      </c>
      <c r="AD312" s="13">
        <f>VLOOKUP(Table24[[#This Row],[3_Elephant_ID]],'[1]Attributes(OUTDATED)'!$A$2:$N$19,13,FALSE)</f>
        <v>0.17599999999999999</v>
      </c>
      <c r="AE312" s="13">
        <f>VLOOKUP(Table24[[#This Row],[3_Elephant_ID]],'[1]Attributes(OUTDATED)'!$A$2:$N$19,14,FALSE)</f>
        <v>0.17530262753188491</v>
      </c>
      <c r="AF312" s="13">
        <v>0</v>
      </c>
      <c r="AG312" s="13">
        <v>0</v>
      </c>
      <c r="AH312" s="13">
        <v>0</v>
      </c>
      <c r="AI312" s="13">
        <v>0</v>
      </c>
      <c r="AJ312" s="13">
        <f>VLOOKUP(Table24[[#This Row],[3_Elephant_ID]],'[1]Attributes(OUTDATED)'!$A$2:$P$19,16,FALSE)</f>
        <v>1</v>
      </c>
      <c r="AK312" s="13">
        <f>VLOOKUP(Table24[[#This Row],[3_Elephant_ID]],'[1]Attributes(OUTDATED)'!$A$2:$S$19,17,FALSE)</f>
        <v>6</v>
      </c>
      <c r="AL312" s="13">
        <f>VLOOKUP(Table24[[#This Row],[3_Elephant_ID]],'[1]Attributes(OUTDATED)'!$A$2:$S$19,18,FALSE)</f>
        <v>8</v>
      </c>
    </row>
    <row r="313" spans="1:38" ht="28" x14ac:dyDescent="0.15">
      <c r="A313" s="3">
        <v>364</v>
      </c>
      <c r="B313" s="6">
        <v>2003241007</v>
      </c>
      <c r="C313" s="7">
        <v>20</v>
      </c>
      <c r="D313" s="7">
        <v>3</v>
      </c>
      <c r="E313" s="7">
        <v>2024</v>
      </c>
      <c r="F313" s="5">
        <v>45371</v>
      </c>
      <c r="G313" s="6" t="s">
        <v>7</v>
      </c>
      <c r="H313" s="17">
        <v>0.30555343511450378</v>
      </c>
      <c r="I313" s="3" t="str">
        <f>VLOOKUP(G313,'[1]Attributes(OUTDATED)'!$A$2:$C$19,2,FALSE)</f>
        <v>F</v>
      </c>
      <c r="J313" s="3" t="str">
        <f>VLOOKUP(G313,'[1]Attributes(OUTDATED)'!$A$2:$C$19,3,FALSE)</f>
        <v>J</v>
      </c>
      <c r="K313" s="3">
        <f>VLOOKUP(G313,'[1]Attributes(OUTDATED)'!$A$2:$H$19,8,FALSE)</f>
        <v>711</v>
      </c>
      <c r="L313" s="3" t="str">
        <f>J313&amp;I313</f>
        <v>JF</v>
      </c>
      <c r="M313" s="11">
        <v>45369</v>
      </c>
      <c r="N313" s="13">
        <v>31.3</v>
      </c>
      <c r="O313" s="13">
        <v>19</v>
      </c>
      <c r="P313" s="13">
        <v>8.1999999999999993</v>
      </c>
      <c r="Q313" s="13">
        <f>Table24[[#This Row],[2_Temp_H]]-Table24[[#This Row],[2_Temp_L]]</f>
        <v>23.1</v>
      </c>
      <c r="R313" s="13">
        <v>17.5</v>
      </c>
      <c r="S313" s="13">
        <v>2.6</v>
      </c>
      <c r="T313" s="13">
        <v>1014.9</v>
      </c>
      <c r="U313" s="13">
        <v>1007.79</v>
      </c>
      <c r="V313" s="13">
        <v>0</v>
      </c>
      <c r="W313" s="13" t="s">
        <v>148</v>
      </c>
      <c r="X313" s="13" t="s">
        <v>139</v>
      </c>
      <c r="Y313" s="13" t="s">
        <v>26</v>
      </c>
      <c r="Z313" s="13" t="s">
        <v>143</v>
      </c>
      <c r="AA313" s="13" t="s">
        <v>145</v>
      </c>
      <c r="AB313" s="13" t="s">
        <v>137</v>
      </c>
      <c r="AC313" s="13">
        <f>VLOOKUP(Table24[[#This Row],[3_Elephant_ID]],'[1]Attributes(OUTDATED)'!$A$2:$N$19,12,FALSE)</f>
        <v>398</v>
      </c>
      <c r="AD313" s="13">
        <f>VLOOKUP(Table24[[#This Row],[3_Elephant_ID]],'[1]Attributes(OUTDATED)'!$A$2:$N$19,13,FALSE)</f>
        <v>0.47899999999999998</v>
      </c>
      <c r="AE313" s="13">
        <f>VLOOKUP(Table24[[#This Row],[3_Elephant_ID]],'[1]Attributes(OUTDATED)'!$A$2:$N$19,14,FALSE)</f>
        <v>0.47820662037086947</v>
      </c>
      <c r="AF313" s="13">
        <v>0</v>
      </c>
      <c r="AG313" s="13">
        <v>0</v>
      </c>
      <c r="AH313" s="13">
        <v>0</v>
      </c>
      <c r="AI313" s="13">
        <v>0</v>
      </c>
      <c r="AJ313" s="13">
        <f>VLOOKUP(Table24[[#This Row],[3_Elephant_ID]],'[1]Attributes(OUTDATED)'!$A$2:$P$19,16,FALSE)</f>
        <v>1</v>
      </c>
      <c r="AK313" s="13">
        <f>VLOOKUP(Table24[[#This Row],[3_Elephant_ID]],'[1]Attributes(OUTDATED)'!$A$2:$S$19,17,FALSE)</f>
        <v>0</v>
      </c>
      <c r="AL313" s="13">
        <f>VLOOKUP(Table24[[#This Row],[3_Elephant_ID]],'[1]Attributes(OUTDATED)'!$A$2:$S$19,18,FALSE)</f>
        <v>12</v>
      </c>
    </row>
    <row r="314" spans="1:38" ht="28" x14ac:dyDescent="0.15">
      <c r="A314" s="3">
        <v>361</v>
      </c>
      <c r="B314" s="6">
        <v>2003241109</v>
      </c>
      <c r="C314" s="7">
        <v>20</v>
      </c>
      <c r="D314" s="7">
        <v>3</v>
      </c>
      <c r="E314" s="7">
        <v>2024</v>
      </c>
      <c r="F314" s="5">
        <v>45371</v>
      </c>
      <c r="G314" s="6" t="s">
        <v>16</v>
      </c>
      <c r="H314" s="17">
        <v>0.52270793036750474</v>
      </c>
      <c r="I314" s="3" t="str">
        <f>VLOOKUP(G314,'[1]Attributes(OUTDATED)'!$A$2:$C$19,2,FALSE)</f>
        <v>F</v>
      </c>
      <c r="J314" s="3" t="str">
        <f>VLOOKUP(G314,'[1]Attributes(OUTDATED)'!$A$2:$C$19,3,FALSE)</f>
        <v>A</v>
      </c>
      <c r="K314" s="3">
        <f>VLOOKUP(G314,'[1]Attributes(OUTDATED)'!$A$2:$H$19,8,FALSE)</f>
        <v>1346</v>
      </c>
      <c r="L314" s="3" t="str">
        <f>J314&amp;I314</f>
        <v>AF</v>
      </c>
      <c r="M314" s="11">
        <v>45369</v>
      </c>
      <c r="N314" s="13">
        <v>31.3</v>
      </c>
      <c r="O314" s="13">
        <v>19</v>
      </c>
      <c r="P314" s="13">
        <v>8.1999999999999993</v>
      </c>
      <c r="Q314" s="13">
        <f>Table24[[#This Row],[2_Temp_H]]-Table24[[#This Row],[2_Temp_L]]</f>
        <v>23.1</v>
      </c>
      <c r="R314" s="13">
        <v>17.5</v>
      </c>
      <c r="S314" s="13">
        <v>2.6</v>
      </c>
      <c r="T314" s="13">
        <v>1014.9</v>
      </c>
      <c r="U314" s="13">
        <v>1007.79</v>
      </c>
      <c r="V314" s="13">
        <v>0</v>
      </c>
      <c r="W314" s="13" t="s">
        <v>148</v>
      </c>
      <c r="X314" s="13" t="s">
        <v>139</v>
      </c>
      <c r="Y314" s="13" t="s">
        <v>26</v>
      </c>
      <c r="Z314" s="13" t="s">
        <v>143</v>
      </c>
      <c r="AA314" s="13" t="s">
        <v>145</v>
      </c>
      <c r="AB314" s="13" t="s">
        <v>137</v>
      </c>
      <c r="AC314" s="13">
        <f>VLOOKUP(Table24[[#This Row],[3_Elephant_ID]],'[1]Attributes(OUTDATED)'!$A$2:$N$19,12,FALSE)</f>
        <v>474</v>
      </c>
      <c r="AD314" s="13">
        <f>VLOOKUP(Table24[[#This Row],[3_Elephant_ID]],'[1]Attributes(OUTDATED)'!$A$2:$N$19,13,FALSE)</f>
        <v>0.121</v>
      </c>
      <c r="AE314" s="13">
        <f>VLOOKUP(Table24[[#This Row],[3_Elephant_ID]],'[1]Attributes(OUTDATED)'!$A$2:$N$19,14,FALSE)</f>
        <v>0.1206993463154281</v>
      </c>
      <c r="AF314" s="13">
        <v>0</v>
      </c>
      <c r="AG314" s="13">
        <v>0</v>
      </c>
      <c r="AH314" s="13">
        <v>0</v>
      </c>
      <c r="AI314" s="13">
        <v>0</v>
      </c>
      <c r="AJ314" s="13">
        <f>VLOOKUP(Table24[[#This Row],[3_Elephant_ID]],'[1]Attributes(OUTDATED)'!$A$2:$P$19,16,FALSE)</f>
        <v>1</v>
      </c>
      <c r="AK314" s="13">
        <f>VLOOKUP(Table24[[#This Row],[3_Elephant_ID]],'[1]Attributes(OUTDATED)'!$A$2:$S$19,17,FALSE)</f>
        <v>16</v>
      </c>
      <c r="AL314" s="13">
        <f>VLOOKUP(Table24[[#This Row],[3_Elephant_ID]],'[1]Attributes(OUTDATED)'!$A$2:$S$19,18,FALSE)</f>
        <v>1</v>
      </c>
    </row>
    <row r="315" spans="1:38" ht="28" x14ac:dyDescent="0.15">
      <c r="A315" s="3">
        <v>356</v>
      </c>
      <c r="B315" s="6">
        <v>2903240904</v>
      </c>
      <c r="C315" s="7">
        <v>29</v>
      </c>
      <c r="D315" s="7">
        <v>3</v>
      </c>
      <c r="E315" s="7">
        <v>2024</v>
      </c>
      <c r="F315" s="5">
        <v>45380</v>
      </c>
      <c r="G315" s="6" t="s">
        <v>10</v>
      </c>
      <c r="H315" s="17">
        <v>0.57028735632183913</v>
      </c>
      <c r="I315" s="3" t="str">
        <f>VLOOKUP(G315,'[1]Attributes(OUTDATED)'!$A$2:$C$19,2,FALSE)</f>
        <v>F</v>
      </c>
      <c r="J315" s="3" t="str">
        <f>VLOOKUP(G315,'[1]Attributes(OUTDATED)'!$A$2:$C$19,3,FALSE)</f>
        <v>A</v>
      </c>
      <c r="K315" s="3">
        <f>VLOOKUP(G315,'[1]Attributes(OUTDATED)'!$A$2:$H$19,8,FALSE)</f>
        <v>1146</v>
      </c>
      <c r="L315" s="3" t="str">
        <f>J315&amp;I315</f>
        <v>AF</v>
      </c>
      <c r="M315" s="11">
        <v>45378</v>
      </c>
      <c r="N315" s="13">
        <v>23.6</v>
      </c>
      <c r="O315" s="13">
        <v>17.899999999999999</v>
      </c>
      <c r="P315" s="13">
        <v>15.4</v>
      </c>
      <c r="Q315" s="13">
        <f>Table24[[#This Row],[2_Temp_H]]-Table24[[#This Row],[2_Temp_L]]</f>
        <v>8.2000000000000011</v>
      </c>
      <c r="R315" s="13">
        <v>26.2</v>
      </c>
      <c r="S315" s="13">
        <v>2.7</v>
      </c>
      <c r="T315" s="13">
        <v>1016.93</v>
      </c>
      <c r="U315" s="13">
        <v>1012.87</v>
      </c>
      <c r="V315" s="13">
        <v>5.59</v>
      </c>
      <c r="W315" s="13" t="s">
        <v>148</v>
      </c>
      <c r="X315" s="16" t="s">
        <v>171</v>
      </c>
      <c r="Y315" s="13" t="s">
        <v>137</v>
      </c>
      <c r="Z315" s="13" t="s">
        <v>143</v>
      </c>
      <c r="AA315" s="13" t="s">
        <v>145</v>
      </c>
      <c r="AB315" s="13" t="s">
        <v>137</v>
      </c>
      <c r="AC315" s="13">
        <f>VLOOKUP(Table24[[#This Row],[3_Elephant_ID]],'[1]Attributes(OUTDATED)'!$A$2:$N$19,12,FALSE)</f>
        <v>424</v>
      </c>
      <c r="AD315" s="13">
        <f>VLOOKUP(Table24[[#This Row],[3_Elephant_ID]],'[1]Attributes(OUTDATED)'!$A$2:$N$19,13,FALSE)</f>
        <v>0.10299999999999999</v>
      </c>
      <c r="AE315" s="13">
        <f>VLOOKUP(Table24[[#This Row],[3_Elephant_ID]],'[1]Attributes(OUTDATED)'!$A$2:$N$19,14,FALSE)</f>
        <v>0.10282190709599449</v>
      </c>
      <c r="AF315" s="13">
        <v>0</v>
      </c>
      <c r="AG315" s="13">
        <v>0</v>
      </c>
      <c r="AH315" s="13">
        <v>0</v>
      </c>
      <c r="AI315" s="13">
        <v>0</v>
      </c>
      <c r="AJ315" s="13">
        <f>VLOOKUP(Table24[[#This Row],[3_Elephant_ID]],'[1]Attributes(OUTDATED)'!$A$2:$P$19,16,FALSE)</f>
        <v>1</v>
      </c>
      <c r="AK315" s="13">
        <f>VLOOKUP(Table24[[#This Row],[3_Elephant_ID]],'[1]Attributes(OUTDATED)'!$A$2:$S$19,17,FALSE)</f>
        <v>9</v>
      </c>
      <c r="AL315" s="13">
        <f>VLOOKUP(Table24[[#This Row],[3_Elephant_ID]],'[1]Attributes(OUTDATED)'!$A$2:$S$19,18,FALSE)</f>
        <v>8</v>
      </c>
    </row>
    <row r="316" spans="1:38" ht="28" x14ac:dyDescent="0.15">
      <c r="A316" s="3">
        <v>355</v>
      </c>
      <c r="B316" s="6">
        <v>3003241506</v>
      </c>
      <c r="C316" s="7">
        <v>30</v>
      </c>
      <c r="D316" s="7">
        <v>3</v>
      </c>
      <c r="E316" s="7">
        <v>2024</v>
      </c>
      <c r="F316" s="5">
        <v>45381</v>
      </c>
      <c r="G316" s="6" t="s">
        <v>16</v>
      </c>
      <c r="H316" s="17">
        <v>0.5099999999999999</v>
      </c>
      <c r="I316" s="3" t="str">
        <f>VLOOKUP(G316,'[1]Attributes(OUTDATED)'!$A$2:$C$19,2,FALSE)</f>
        <v>F</v>
      </c>
      <c r="J316" s="3" t="str">
        <f>VLOOKUP(G316,'[1]Attributes(OUTDATED)'!$A$2:$C$19,3,FALSE)</f>
        <v>A</v>
      </c>
      <c r="K316" s="3">
        <f>VLOOKUP(G316,'[1]Attributes(OUTDATED)'!$A$2:$H$19,8,FALSE)</f>
        <v>1346</v>
      </c>
      <c r="L316" s="3" t="str">
        <f>J316&amp;I316</f>
        <v>AF</v>
      </c>
      <c r="M316" s="11">
        <v>45379</v>
      </c>
      <c r="N316" s="13">
        <v>25.5</v>
      </c>
      <c r="O316" s="13">
        <v>19.2</v>
      </c>
      <c r="P316" s="13">
        <v>15</v>
      </c>
      <c r="Q316" s="13">
        <f>Table24[[#This Row],[2_Temp_H]]-Table24[[#This Row],[2_Temp_L]]</f>
        <v>10.5</v>
      </c>
      <c r="R316" s="13">
        <v>20.399999999999999</v>
      </c>
      <c r="S316" s="13">
        <v>3.4</v>
      </c>
      <c r="T316" s="13">
        <v>1015.92</v>
      </c>
      <c r="U316" s="13">
        <v>1011.85</v>
      </c>
      <c r="V316" s="13">
        <v>0</v>
      </c>
      <c r="W316" s="13" t="s">
        <v>148</v>
      </c>
      <c r="X316" s="16" t="s">
        <v>171</v>
      </c>
      <c r="Y316" s="13" t="s">
        <v>137</v>
      </c>
      <c r="Z316" s="13" t="s">
        <v>143</v>
      </c>
      <c r="AA316" s="13" t="s">
        <v>145</v>
      </c>
      <c r="AB316" s="13" t="s">
        <v>137</v>
      </c>
      <c r="AC316" s="13">
        <f>VLOOKUP(Table24[[#This Row],[3_Elephant_ID]],'[1]Attributes(OUTDATED)'!$A$2:$N$19,12,FALSE)</f>
        <v>474</v>
      </c>
      <c r="AD316" s="13">
        <f>VLOOKUP(Table24[[#This Row],[3_Elephant_ID]],'[1]Attributes(OUTDATED)'!$A$2:$N$19,13,FALSE)</f>
        <v>0.121</v>
      </c>
      <c r="AE316" s="13">
        <f>VLOOKUP(Table24[[#This Row],[3_Elephant_ID]],'[1]Attributes(OUTDATED)'!$A$2:$N$19,14,FALSE)</f>
        <v>0.1206993463154281</v>
      </c>
      <c r="AF316" s="13">
        <v>0</v>
      </c>
      <c r="AG316" s="13">
        <v>0</v>
      </c>
      <c r="AH316" s="13">
        <v>0</v>
      </c>
      <c r="AI316" s="13">
        <v>0</v>
      </c>
      <c r="AJ316" s="13">
        <f>VLOOKUP(Table24[[#This Row],[3_Elephant_ID]],'[1]Attributes(OUTDATED)'!$A$2:$P$19,16,FALSE)</f>
        <v>1</v>
      </c>
      <c r="AK316" s="13">
        <f>VLOOKUP(Table24[[#This Row],[3_Elephant_ID]],'[1]Attributes(OUTDATED)'!$A$2:$S$19,17,FALSE)</f>
        <v>16</v>
      </c>
      <c r="AL316" s="13">
        <f>VLOOKUP(Table24[[#This Row],[3_Elephant_ID]],'[1]Attributes(OUTDATED)'!$A$2:$S$19,18,FALSE)</f>
        <v>1</v>
      </c>
    </row>
    <row r="317" spans="1:38" ht="28" x14ac:dyDescent="0.15">
      <c r="A317" s="3">
        <v>354</v>
      </c>
      <c r="B317" s="6">
        <v>3103240810</v>
      </c>
      <c r="C317" s="7">
        <v>31</v>
      </c>
      <c r="D317" s="7">
        <v>3</v>
      </c>
      <c r="E317" s="7">
        <v>2024</v>
      </c>
      <c r="F317" s="5">
        <v>45382</v>
      </c>
      <c r="G317" s="6" t="s">
        <v>3</v>
      </c>
      <c r="H317" s="17">
        <v>0.7238446601941747</v>
      </c>
      <c r="I317" s="3" t="str">
        <f>VLOOKUP(G317,'[1]Attributes(OUTDATED)'!$A$2:$C$19,2,FALSE)</f>
        <v>M</v>
      </c>
      <c r="J317" s="3" t="str">
        <f>VLOOKUP(G317,'[1]Attributes(OUTDATED)'!$A$2:$C$19,3,FALSE)</f>
        <v>J</v>
      </c>
      <c r="K317" s="3">
        <f>VLOOKUP(G317,'[1]Attributes(OUTDATED)'!$A$2:$H$19,8,FALSE)</f>
        <v>1031</v>
      </c>
      <c r="L317" s="3" t="str">
        <f>J317&amp;I317</f>
        <v>JM</v>
      </c>
      <c r="M317" s="11">
        <v>45380</v>
      </c>
      <c r="N317" s="13">
        <v>24.5</v>
      </c>
      <c r="O317" s="13">
        <v>17.899999999999999</v>
      </c>
      <c r="P317" s="13">
        <v>13.2</v>
      </c>
      <c r="Q317" s="13">
        <f>Table24[[#This Row],[2_Temp_H]]-Table24[[#This Row],[2_Temp_L]]</f>
        <v>11.3</v>
      </c>
      <c r="R317" s="13">
        <v>15</v>
      </c>
      <c r="S317" s="13">
        <v>2.4</v>
      </c>
      <c r="T317" s="13">
        <v>1015.92</v>
      </c>
      <c r="U317" s="13">
        <v>1012.87</v>
      </c>
      <c r="V317" s="13">
        <v>0</v>
      </c>
      <c r="W317" s="13" t="s">
        <v>148</v>
      </c>
      <c r="X317" s="16" t="s">
        <v>171</v>
      </c>
      <c r="Y317" s="13" t="s">
        <v>137</v>
      </c>
      <c r="Z317" s="13" t="s">
        <v>143</v>
      </c>
      <c r="AA317" s="13" t="s">
        <v>145</v>
      </c>
      <c r="AB317" s="13" t="s">
        <v>137</v>
      </c>
      <c r="AC317" s="13">
        <f>VLOOKUP(Table24[[#This Row],[3_Elephant_ID]],'[1]Attributes(OUTDATED)'!$A$2:$N$19,12,FALSE)</f>
        <v>234</v>
      </c>
      <c r="AD317" s="13">
        <f>VLOOKUP(Table24[[#This Row],[3_Elephant_ID]],'[1]Attributes(OUTDATED)'!$A$2:$N$19,13,FALSE)</f>
        <v>0.16500000000000001</v>
      </c>
      <c r="AE317" s="13">
        <f>VLOOKUP(Table24[[#This Row],[3_Elephant_ID]],'[1]Attributes(OUTDATED)'!$A$2:$N$19,14,FALSE)</f>
        <v>0.16420161303383449</v>
      </c>
      <c r="AF317" s="13">
        <v>0</v>
      </c>
      <c r="AG317" s="13">
        <v>0</v>
      </c>
      <c r="AH317" s="13">
        <v>0</v>
      </c>
      <c r="AI317" s="13">
        <v>0</v>
      </c>
      <c r="AJ317" s="13">
        <f>VLOOKUP(Table24[[#This Row],[3_Elephant_ID]],'[1]Attributes(OUTDATED)'!$A$2:$P$19,16,FALSE)</f>
        <v>1</v>
      </c>
      <c r="AK317" s="13">
        <f>VLOOKUP(Table24[[#This Row],[3_Elephant_ID]],'[1]Attributes(OUTDATED)'!$A$2:$S$19,17,FALSE)</f>
        <v>9</v>
      </c>
      <c r="AL317" s="13">
        <f>VLOOKUP(Table24[[#This Row],[3_Elephant_ID]],'[1]Attributes(OUTDATED)'!$A$2:$S$19,18,FALSE)</f>
        <v>9</v>
      </c>
    </row>
    <row r="318" spans="1:38" ht="28" x14ac:dyDescent="0.15">
      <c r="A318" s="3">
        <v>349</v>
      </c>
      <c r="B318" s="6">
        <v>3103241306</v>
      </c>
      <c r="C318" s="7">
        <v>31</v>
      </c>
      <c r="D318" s="7">
        <v>3</v>
      </c>
      <c r="E318" s="7">
        <v>2024</v>
      </c>
      <c r="F318" s="5">
        <v>45382</v>
      </c>
      <c r="G318" s="6" t="s">
        <v>17</v>
      </c>
      <c r="H318" s="17">
        <v>0.65411428571428576</v>
      </c>
      <c r="I318" s="3" t="str">
        <f>VLOOKUP(G318,'[1]Attributes(OUTDATED)'!$A$2:$C$19,2,FALSE)</f>
        <v>M</v>
      </c>
      <c r="J318" s="3" t="str">
        <f>VLOOKUP(G318,'[1]Attributes(OUTDATED)'!$A$2:$C$19,3,FALSE)</f>
        <v>J</v>
      </c>
      <c r="K318" s="3">
        <f>VLOOKUP(G318,'[1]Attributes(OUTDATED)'!$A$2:$H$19,8,FALSE)</f>
        <v>699</v>
      </c>
      <c r="L318" s="3" t="str">
        <f>J318&amp;I318</f>
        <v>JM</v>
      </c>
      <c r="M318" s="11">
        <v>45380</v>
      </c>
      <c r="N318" s="13">
        <v>24.5</v>
      </c>
      <c r="O318" s="13">
        <v>17.899999999999999</v>
      </c>
      <c r="P318" s="13">
        <v>13.2</v>
      </c>
      <c r="Q318" s="13">
        <f>Table24[[#This Row],[2_Temp_H]]-Table24[[#This Row],[2_Temp_L]]</f>
        <v>11.3</v>
      </c>
      <c r="R318" s="13">
        <v>15</v>
      </c>
      <c r="S318" s="13">
        <v>2.4</v>
      </c>
      <c r="T318" s="13">
        <v>1015.92</v>
      </c>
      <c r="U318" s="13">
        <v>1012.87</v>
      </c>
      <c r="V318" s="13">
        <v>0</v>
      </c>
      <c r="W318" s="13" t="s">
        <v>148</v>
      </c>
      <c r="X318" s="16" t="s">
        <v>171</v>
      </c>
      <c r="Y318" s="13" t="s">
        <v>137</v>
      </c>
      <c r="Z318" s="13" t="s">
        <v>143</v>
      </c>
      <c r="AA318" s="13" t="s">
        <v>145</v>
      </c>
      <c r="AB318" s="13" t="s">
        <v>137</v>
      </c>
      <c r="AC318" s="13">
        <f>VLOOKUP(Table24[[#This Row],[3_Elephant_ID]],'[1]Attributes(OUTDATED)'!$A$2:$N$19,12,FALSE)</f>
        <v>343</v>
      </c>
      <c r="AD318" s="13">
        <f>VLOOKUP(Table24[[#This Row],[3_Elephant_ID]],'[1]Attributes(OUTDATED)'!$A$2:$N$19,13,FALSE)</f>
        <v>0.81</v>
      </c>
      <c r="AE318" s="13">
        <f>VLOOKUP(Table24[[#This Row],[3_Elephant_ID]],'[1]Attributes(OUTDATED)'!$A$2:$N$19,14,FALSE)</f>
        <v>0.80966774571167055</v>
      </c>
      <c r="AF318" s="13">
        <v>0</v>
      </c>
      <c r="AG318" s="13">
        <v>0</v>
      </c>
      <c r="AH318" s="13">
        <v>0</v>
      </c>
      <c r="AI318" s="13">
        <v>0</v>
      </c>
      <c r="AJ318" s="13">
        <f>VLOOKUP(Table24[[#This Row],[3_Elephant_ID]],'[1]Attributes(OUTDATED)'!$A$2:$P$19,16,FALSE)</f>
        <v>1</v>
      </c>
      <c r="AK318" s="13">
        <f>VLOOKUP(Table24[[#This Row],[3_Elephant_ID]],'[1]Attributes(OUTDATED)'!$A$2:$S$19,17,FALSE)</f>
        <v>0</v>
      </c>
      <c r="AL318" s="13">
        <f>VLOOKUP(Table24[[#This Row],[3_Elephant_ID]],'[1]Attributes(OUTDATED)'!$A$2:$S$19,18,FALSE)</f>
        <v>8</v>
      </c>
    </row>
    <row r="319" spans="1:38" ht="28" x14ac:dyDescent="0.15">
      <c r="A319" s="3">
        <v>353</v>
      </c>
      <c r="B319" s="6">
        <v>3103240821</v>
      </c>
      <c r="C319" s="7">
        <v>31</v>
      </c>
      <c r="D319" s="7">
        <v>3</v>
      </c>
      <c r="E319" s="7">
        <v>2024</v>
      </c>
      <c r="F319" s="5">
        <v>45382</v>
      </c>
      <c r="G319" s="6" t="s">
        <v>31</v>
      </c>
      <c r="H319" s="17">
        <v>0.64067039106145263</v>
      </c>
      <c r="I319" s="3" t="str">
        <f>VLOOKUP(G319,'[1]Attributes(OUTDATED)'!$A$2:$C$19,2,FALSE)</f>
        <v>F</v>
      </c>
      <c r="J319" s="3" t="str">
        <f>VLOOKUP(G319,'[1]Attributes(OUTDATED)'!$A$2:$C$19,3,FALSE)</f>
        <v>J</v>
      </c>
      <c r="K319" s="3">
        <f>VLOOKUP(G319,'[1]Attributes(OUTDATED)'!$A$2:$H$19,8,FALSE)</f>
        <v>765</v>
      </c>
      <c r="L319" s="3" t="str">
        <f>J319&amp;I319</f>
        <v>JF</v>
      </c>
      <c r="M319" s="11">
        <v>45380</v>
      </c>
      <c r="N319" s="13">
        <v>24.5</v>
      </c>
      <c r="O319" s="13">
        <v>17.899999999999999</v>
      </c>
      <c r="P319" s="13">
        <v>13.2</v>
      </c>
      <c r="Q319" s="13">
        <f>Table24[[#This Row],[2_Temp_H]]-Table24[[#This Row],[2_Temp_L]]</f>
        <v>11.3</v>
      </c>
      <c r="R319" s="13">
        <v>15</v>
      </c>
      <c r="S319" s="13">
        <v>2.4</v>
      </c>
      <c r="T319" s="13">
        <v>1015.92</v>
      </c>
      <c r="U319" s="13">
        <v>1012.87</v>
      </c>
      <c r="V319" s="13">
        <v>0</v>
      </c>
      <c r="W319" s="13" t="s">
        <v>148</v>
      </c>
      <c r="X319" s="16" t="s">
        <v>171</v>
      </c>
      <c r="Y319" s="13" t="s">
        <v>137</v>
      </c>
      <c r="Z319" s="13" t="s">
        <v>143</v>
      </c>
      <c r="AA319" s="13" t="s">
        <v>145</v>
      </c>
      <c r="AB319" s="13" t="s">
        <v>137</v>
      </c>
      <c r="AC319" s="13">
        <f>VLOOKUP(Table24[[#This Row],[3_Elephant_ID]],'[1]Attributes(OUTDATED)'!$A$2:$N$19,12,FALSE)</f>
        <v>258</v>
      </c>
      <c r="AD319" s="13">
        <f>VLOOKUP(Table24[[#This Row],[3_Elephant_ID]],'[1]Attributes(OUTDATED)'!$A$2:$N$19,13,FALSE)</f>
        <v>0.25700000000000001</v>
      </c>
      <c r="AE319" s="13">
        <f>VLOOKUP(Table24[[#This Row],[3_Elephant_ID]],'[1]Attributes(OUTDATED)'!$A$2:$N$19,14,FALSE)</f>
        <v>0.25665547185998128</v>
      </c>
      <c r="AF319" s="13">
        <v>0</v>
      </c>
      <c r="AG319" s="13">
        <v>0</v>
      </c>
      <c r="AH319" s="13">
        <v>0</v>
      </c>
      <c r="AI319" s="13">
        <v>0</v>
      </c>
      <c r="AJ319" s="13">
        <f>VLOOKUP(Table24[[#This Row],[3_Elephant_ID]],'[1]Attributes(OUTDATED)'!$A$2:$P$19,16,FALSE)</f>
        <v>2</v>
      </c>
      <c r="AK319" s="13">
        <f>VLOOKUP(Table24[[#This Row],[3_Elephant_ID]],'[1]Attributes(OUTDATED)'!$A$2:$S$19,17,FALSE)</f>
        <v>1</v>
      </c>
      <c r="AL319" s="13">
        <f>VLOOKUP(Table24[[#This Row],[3_Elephant_ID]],'[1]Attributes(OUTDATED)'!$A$2:$S$19,18,FALSE)</f>
        <v>10</v>
      </c>
    </row>
    <row r="320" spans="1:38" ht="28" x14ac:dyDescent="0.15">
      <c r="A320" s="3">
        <v>352</v>
      </c>
      <c r="B320" s="6">
        <v>3103240901</v>
      </c>
      <c r="C320" s="7">
        <v>31</v>
      </c>
      <c r="D320" s="7">
        <v>3</v>
      </c>
      <c r="E320" s="7">
        <v>2024</v>
      </c>
      <c r="F320" s="5">
        <v>45382</v>
      </c>
      <c r="G320" s="6" t="s">
        <v>5</v>
      </c>
      <c r="H320" s="17">
        <v>0.67572222222222222</v>
      </c>
      <c r="I320" s="3" t="str">
        <f>VLOOKUP(G320,'[1]Attributes(OUTDATED)'!$A$2:$C$19,2,FALSE)</f>
        <v>M</v>
      </c>
      <c r="J320" s="3" t="str">
        <f>VLOOKUP(G320,'[1]Attributes(OUTDATED)'!$A$2:$C$19,3,FALSE)</f>
        <v>J</v>
      </c>
      <c r="K320" s="3">
        <f>VLOOKUP(G320,'[1]Attributes(OUTDATED)'!$A$2:$H$19,8,FALSE)</f>
        <v>940</v>
      </c>
      <c r="L320" s="3" t="str">
        <f>J320&amp;I320</f>
        <v>JM</v>
      </c>
      <c r="M320" s="11">
        <v>45380</v>
      </c>
      <c r="N320" s="13">
        <v>24.5</v>
      </c>
      <c r="O320" s="13">
        <v>17.899999999999999</v>
      </c>
      <c r="P320" s="13">
        <v>13.2</v>
      </c>
      <c r="Q320" s="13">
        <f>Table24[[#This Row],[2_Temp_H]]-Table24[[#This Row],[2_Temp_L]]</f>
        <v>11.3</v>
      </c>
      <c r="R320" s="13">
        <v>15</v>
      </c>
      <c r="S320" s="13">
        <v>2.4</v>
      </c>
      <c r="T320" s="13">
        <v>1015.92</v>
      </c>
      <c r="U320" s="13">
        <v>1012.87</v>
      </c>
      <c r="V320" s="13">
        <v>0</v>
      </c>
      <c r="W320" s="13" t="s">
        <v>148</v>
      </c>
      <c r="X320" s="16" t="s">
        <v>171</v>
      </c>
      <c r="Y320" s="13" t="s">
        <v>137</v>
      </c>
      <c r="Z320" s="13" t="s">
        <v>143</v>
      </c>
      <c r="AA320" s="13" t="s">
        <v>145</v>
      </c>
      <c r="AB320" s="13" t="s">
        <v>137</v>
      </c>
      <c r="AC320" s="13">
        <f>VLOOKUP(Table24[[#This Row],[3_Elephant_ID]],'[1]Attributes(OUTDATED)'!$A$2:$N$19,12,FALSE)</f>
        <v>361</v>
      </c>
      <c r="AD320" s="13">
        <f>VLOOKUP(Table24[[#This Row],[3_Elephant_ID]],'[1]Attributes(OUTDATED)'!$A$2:$N$19,13,FALSE)</f>
        <v>0.40600000000000003</v>
      </c>
      <c r="AE320" s="13">
        <f>VLOOKUP(Table24[[#This Row],[3_Elephant_ID]],'[1]Attributes(OUTDATED)'!$A$2:$N$19,14,FALSE)</f>
        <v>0.40590323220736402</v>
      </c>
      <c r="AF320" s="13">
        <v>0</v>
      </c>
      <c r="AG320" s="13">
        <v>0</v>
      </c>
      <c r="AH320" s="13">
        <v>0</v>
      </c>
      <c r="AI320" s="13">
        <v>0</v>
      </c>
      <c r="AJ320" s="13">
        <f>VLOOKUP(Table24[[#This Row],[3_Elephant_ID]],'[1]Attributes(OUTDATED)'!$A$2:$P$19,16,FALSE)</f>
        <v>1</v>
      </c>
      <c r="AK320" s="13">
        <f>VLOOKUP(Table24[[#This Row],[3_Elephant_ID]],'[1]Attributes(OUTDATED)'!$A$2:$S$19,17,FALSE)</f>
        <v>2</v>
      </c>
      <c r="AL320" s="13">
        <f>VLOOKUP(Table24[[#This Row],[3_Elephant_ID]],'[1]Attributes(OUTDATED)'!$A$2:$S$19,18,FALSE)</f>
        <v>7</v>
      </c>
    </row>
    <row r="321" spans="1:38" ht="28" x14ac:dyDescent="0.15">
      <c r="A321" s="3">
        <v>351</v>
      </c>
      <c r="B321" s="6">
        <v>3103240947</v>
      </c>
      <c r="C321" s="7">
        <v>31</v>
      </c>
      <c r="D321" s="7">
        <v>3</v>
      </c>
      <c r="E321" s="7">
        <v>2024</v>
      </c>
      <c r="F321" s="5">
        <v>45382</v>
      </c>
      <c r="G321" s="6" t="s">
        <v>10</v>
      </c>
      <c r="H321" s="17">
        <v>0.66444664031620548</v>
      </c>
      <c r="I321" s="3" t="str">
        <f>VLOOKUP(G321,'[1]Attributes(OUTDATED)'!$A$2:$C$19,2,FALSE)</f>
        <v>F</v>
      </c>
      <c r="J321" s="3" t="str">
        <f>VLOOKUP(G321,'[1]Attributes(OUTDATED)'!$A$2:$C$19,3,FALSE)</f>
        <v>A</v>
      </c>
      <c r="K321" s="3">
        <f>VLOOKUP(G321,'[1]Attributes(OUTDATED)'!$A$2:$H$19,8,FALSE)</f>
        <v>1146</v>
      </c>
      <c r="L321" s="3" t="str">
        <f>J321&amp;I321</f>
        <v>AF</v>
      </c>
      <c r="M321" s="11">
        <v>45380</v>
      </c>
      <c r="N321" s="13">
        <v>24.5</v>
      </c>
      <c r="O321" s="13">
        <v>17.899999999999999</v>
      </c>
      <c r="P321" s="13">
        <v>13.2</v>
      </c>
      <c r="Q321" s="13">
        <f>Table24[[#This Row],[2_Temp_H]]-Table24[[#This Row],[2_Temp_L]]</f>
        <v>11.3</v>
      </c>
      <c r="R321" s="13">
        <v>15</v>
      </c>
      <c r="S321" s="13">
        <v>2.4</v>
      </c>
      <c r="T321" s="13">
        <v>1015.92</v>
      </c>
      <c r="U321" s="13">
        <v>1012.87</v>
      </c>
      <c r="V321" s="13">
        <v>0</v>
      </c>
      <c r="W321" s="13" t="s">
        <v>148</v>
      </c>
      <c r="X321" s="16" t="s">
        <v>171</v>
      </c>
      <c r="Y321" s="13" t="s">
        <v>137</v>
      </c>
      <c r="Z321" s="13" t="s">
        <v>143</v>
      </c>
      <c r="AA321" s="13" t="s">
        <v>145</v>
      </c>
      <c r="AB321" s="13" t="s">
        <v>137</v>
      </c>
      <c r="AC321" s="13">
        <f>VLOOKUP(Table24[[#This Row],[3_Elephant_ID]],'[1]Attributes(OUTDATED)'!$A$2:$N$19,12,FALSE)</f>
        <v>424</v>
      </c>
      <c r="AD321" s="13">
        <f>VLOOKUP(Table24[[#This Row],[3_Elephant_ID]],'[1]Attributes(OUTDATED)'!$A$2:$N$19,13,FALSE)</f>
        <v>0.10299999999999999</v>
      </c>
      <c r="AE321" s="13">
        <f>VLOOKUP(Table24[[#This Row],[3_Elephant_ID]],'[1]Attributes(OUTDATED)'!$A$2:$N$19,14,FALSE)</f>
        <v>0.10282190709599449</v>
      </c>
      <c r="AF321" s="13">
        <v>0</v>
      </c>
      <c r="AG321" s="13">
        <v>0</v>
      </c>
      <c r="AH321" s="13">
        <v>0</v>
      </c>
      <c r="AI321" s="13">
        <v>0</v>
      </c>
      <c r="AJ321" s="13">
        <f>VLOOKUP(Table24[[#This Row],[3_Elephant_ID]],'[1]Attributes(OUTDATED)'!$A$2:$P$19,16,FALSE)</f>
        <v>1</v>
      </c>
      <c r="AK321" s="13">
        <f>VLOOKUP(Table24[[#This Row],[3_Elephant_ID]],'[1]Attributes(OUTDATED)'!$A$2:$S$19,17,FALSE)</f>
        <v>9</v>
      </c>
      <c r="AL321" s="13">
        <f>VLOOKUP(Table24[[#This Row],[3_Elephant_ID]],'[1]Attributes(OUTDATED)'!$A$2:$S$19,18,FALSE)</f>
        <v>8</v>
      </c>
    </row>
    <row r="322" spans="1:38" ht="28" x14ac:dyDescent="0.15">
      <c r="A322" s="3">
        <v>348</v>
      </c>
      <c r="B322" s="6">
        <v>3103241422</v>
      </c>
      <c r="C322" s="7">
        <v>31</v>
      </c>
      <c r="D322" s="7">
        <v>3</v>
      </c>
      <c r="E322" s="7">
        <v>2024</v>
      </c>
      <c r="F322" s="5">
        <v>45382</v>
      </c>
      <c r="G322" s="6" t="s">
        <v>2</v>
      </c>
      <c r="H322" s="17">
        <v>0.42099264705882355</v>
      </c>
      <c r="I322" s="3" t="str">
        <f>VLOOKUP(G322,'[1]Attributes(OUTDATED)'!$A$2:$C$19,2,FALSE)</f>
        <v>F</v>
      </c>
      <c r="J322" s="3" t="str">
        <f>VLOOKUP(G322,'[1]Attributes(OUTDATED)'!$A$2:$C$19,3,FALSE)</f>
        <v>A</v>
      </c>
      <c r="K322" s="3">
        <f>VLOOKUP(G322,'[1]Attributes(OUTDATED)'!$A$2:$H$19,8,FALSE)</f>
        <v>892</v>
      </c>
      <c r="L322" s="3" t="str">
        <f>J322&amp;I322</f>
        <v>AF</v>
      </c>
      <c r="M322" s="11">
        <v>45380</v>
      </c>
      <c r="N322" s="13">
        <v>24.5</v>
      </c>
      <c r="O322" s="13">
        <v>17.899999999999999</v>
      </c>
      <c r="P322" s="13">
        <v>13.2</v>
      </c>
      <c r="Q322" s="13">
        <f>Table24[[#This Row],[2_Temp_H]]-Table24[[#This Row],[2_Temp_L]]</f>
        <v>11.3</v>
      </c>
      <c r="R322" s="13">
        <v>15</v>
      </c>
      <c r="S322" s="13">
        <v>2.4</v>
      </c>
      <c r="T322" s="13">
        <v>1015.92</v>
      </c>
      <c r="U322" s="13">
        <v>1012.87</v>
      </c>
      <c r="V322" s="13">
        <v>0</v>
      </c>
      <c r="W322" s="13" t="s">
        <v>148</v>
      </c>
      <c r="X322" s="16" t="s">
        <v>171</v>
      </c>
      <c r="Y322" s="13" t="s">
        <v>137</v>
      </c>
      <c r="Z322" s="13" t="s">
        <v>143</v>
      </c>
      <c r="AA322" s="13" t="s">
        <v>145</v>
      </c>
      <c r="AB322" s="13" t="s">
        <v>137</v>
      </c>
      <c r="AC322" s="13">
        <f>VLOOKUP(Table24[[#This Row],[3_Elephant_ID]],'[1]Attributes(OUTDATED)'!$A$2:$N$19,12,FALSE)</f>
        <v>378</v>
      </c>
      <c r="AD322" s="13">
        <f>VLOOKUP(Table24[[#This Row],[3_Elephant_ID]],'[1]Attributes(OUTDATED)'!$A$2:$N$19,13,FALSE)</f>
        <v>8.6999999999999994E-2</v>
      </c>
      <c r="AE322" s="13">
        <f>VLOOKUP(Table24[[#This Row],[3_Elephant_ID]],'[1]Attributes(OUTDATED)'!$A$2:$N$19,14,FALSE)</f>
        <v>8.6599138783086713E-2</v>
      </c>
      <c r="AF322" s="13">
        <v>0</v>
      </c>
      <c r="AG322" s="13">
        <v>0</v>
      </c>
      <c r="AH322" s="13">
        <v>0</v>
      </c>
      <c r="AI322" s="13">
        <v>0</v>
      </c>
      <c r="AJ322" s="13">
        <f>VLOOKUP(Table24[[#This Row],[3_Elephant_ID]],'[1]Attributes(OUTDATED)'!$A$2:$P$19,16,FALSE)</f>
        <v>1</v>
      </c>
      <c r="AK322" s="13">
        <f>VLOOKUP(Table24[[#This Row],[3_Elephant_ID]],'[1]Attributes(OUTDATED)'!$A$2:$S$19,17,FALSE)</f>
        <v>4</v>
      </c>
      <c r="AL322" s="13">
        <f>VLOOKUP(Table24[[#This Row],[3_Elephant_ID]],'[1]Attributes(OUTDATED)'!$A$2:$S$19,18,FALSE)</f>
        <v>20</v>
      </c>
    </row>
    <row r="323" spans="1:38" ht="28" x14ac:dyDescent="0.15">
      <c r="A323" s="3">
        <v>350</v>
      </c>
      <c r="B323" s="6">
        <v>3103240957</v>
      </c>
      <c r="C323" s="7">
        <v>31</v>
      </c>
      <c r="D323" s="7">
        <v>3</v>
      </c>
      <c r="E323" s="7">
        <v>2024</v>
      </c>
      <c r="F323" s="5">
        <v>45382</v>
      </c>
      <c r="G323" s="6" t="s">
        <v>2</v>
      </c>
      <c r="H323" s="17">
        <v>0.64457943925233629</v>
      </c>
      <c r="I323" s="3" t="str">
        <f>VLOOKUP(G323,'[1]Attributes(OUTDATED)'!$A$2:$C$19,2,FALSE)</f>
        <v>F</v>
      </c>
      <c r="J323" s="3" t="str">
        <f>VLOOKUP(G323,'[1]Attributes(OUTDATED)'!$A$2:$C$19,3,FALSE)</f>
        <v>A</v>
      </c>
      <c r="K323" s="3">
        <f>VLOOKUP(G323,'[1]Attributes(OUTDATED)'!$A$2:$H$19,8,FALSE)</f>
        <v>892</v>
      </c>
      <c r="L323" s="3" t="str">
        <f>J323&amp;I323</f>
        <v>AF</v>
      </c>
      <c r="M323" s="11">
        <v>45380</v>
      </c>
      <c r="N323" s="13">
        <v>24.5</v>
      </c>
      <c r="O323" s="13">
        <v>17.899999999999999</v>
      </c>
      <c r="P323" s="13">
        <v>13.2</v>
      </c>
      <c r="Q323" s="13">
        <f>Table24[[#This Row],[2_Temp_H]]-Table24[[#This Row],[2_Temp_L]]</f>
        <v>11.3</v>
      </c>
      <c r="R323" s="13">
        <v>15</v>
      </c>
      <c r="S323" s="13">
        <v>2.4</v>
      </c>
      <c r="T323" s="13">
        <v>1015.92</v>
      </c>
      <c r="U323" s="13">
        <v>1012.87</v>
      </c>
      <c r="V323" s="13">
        <v>0</v>
      </c>
      <c r="W323" s="13" t="s">
        <v>148</v>
      </c>
      <c r="X323" s="16" t="s">
        <v>171</v>
      </c>
      <c r="Y323" s="13" t="s">
        <v>137</v>
      </c>
      <c r="Z323" s="13" t="s">
        <v>143</v>
      </c>
      <c r="AA323" s="13" t="s">
        <v>145</v>
      </c>
      <c r="AB323" s="13" t="s">
        <v>137</v>
      </c>
      <c r="AC323" s="13">
        <f>VLOOKUP(Table24[[#This Row],[3_Elephant_ID]],'[1]Attributes(OUTDATED)'!$A$2:$N$19,12,FALSE)</f>
        <v>378</v>
      </c>
      <c r="AD323" s="13">
        <f>VLOOKUP(Table24[[#This Row],[3_Elephant_ID]],'[1]Attributes(OUTDATED)'!$A$2:$N$19,13,FALSE)</f>
        <v>8.6999999999999994E-2</v>
      </c>
      <c r="AE323" s="13">
        <f>VLOOKUP(Table24[[#This Row],[3_Elephant_ID]],'[1]Attributes(OUTDATED)'!$A$2:$N$19,14,FALSE)</f>
        <v>8.6599138783086713E-2</v>
      </c>
      <c r="AF323" s="13">
        <v>0</v>
      </c>
      <c r="AG323" s="13">
        <v>0</v>
      </c>
      <c r="AH323" s="13">
        <v>0</v>
      </c>
      <c r="AI323" s="13">
        <v>0</v>
      </c>
      <c r="AJ323" s="13">
        <f>VLOOKUP(Table24[[#This Row],[3_Elephant_ID]],'[1]Attributes(OUTDATED)'!$A$2:$P$19,16,FALSE)</f>
        <v>1</v>
      </c>
      <c r="AK323" s="13">
        <f>VLOOKUP(Table24[[#This Row],[3_Elephant_ID]],'[1]Attributes(OUTDATED)'!$A$2:$S$19,17,FALSE)</f>
        <v>4</v>
      </c>
      <c r="AL323" s="13">
        <f>VLOOKUP(Table24[[#This Row],[3_Elephant_ID]],'[1]Attributes(OUTDATED)'!$A$2:$S$19,18,FALSE)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fGCM conc. in AE</vt:lpstr>
      <vt:lpstr>PostDarting</vt:lpstr>
      <vt:lpstr>AllEXCEPTDarting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N Hagenah</dc:creator>
  <cp:keywords/>
  <dc:description/>
  <cp:lastModifiedBy>Kyla Reanne Funk</cp:lastModifiedBy>
  <cp:lastPrinted>2024-07-04T10:38:50Z</cp:lastPrinted>
  <dcterms:created xsi:type="dcterms:W3CDTF">2023-04-01T05:01:54Z</dcterms:created>
  <dcterms:modified xsi:type="dcterms:W3CDTF">2026-03-09T13:29:00Z</dcterms:modified>
  <cp:category/>
</cp:coreProperties>
</file>